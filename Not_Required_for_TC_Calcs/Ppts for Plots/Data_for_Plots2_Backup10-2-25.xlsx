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ml.chartshapes+xml"/>
  <Override PartName="/xl/ink/ink1.xml" ContentType="application/inkml+xml"/>
  <Override PartName="/xl/ink/ink2.xml" ContentType="application/inkml+xml"/>
  <Override PartName="/xl/ink/ink3.xml" ContentType="application/inkml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9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0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1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2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3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6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omments2.xml" ContentType="application/vnd.openxmlformats-officedocument.spreadsheetml.comments+xml"/>
  <Override PartName="/xl/drawings/drawing28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9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30.xml" ContentType="application/vnd.openxmlformats-officedocument.drawingml.chartshapes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Not_Required_for_TC_Calcs\Ppts for Plots\"/>
    </mc:Choice>
  </mc:AlternateContent>
  <xr:revisionPtr revIDLastSave="0" documentId="8_{C26711EC-E3B3-45D7-9FAD-ED5BF9EBB43C}" xr6:coauthVersionLast="36" xr6:coauthVersionMax="36" xr10:uidLastSave="{00000000-0000-0000-0000-000000000000}"/>
  <bookViews>
    <workbookView xWindow="-120" yWindow="-120" windowWidth="29040" windowHeight="15720" activeTab="2" xr2:uid="{10FB8AA1-DB39-4795-9C33-1B799A6CE7BB}"/>
  </bookViews>
  <sheets>
    <sheet name="Figs" sheetId="1" r:id="rId1"/>
    <sheet name="Fig1_Fig2 (2)" sheetId="3" r:id="rId2"/>
    <sheet name="MFP-rsum" sheetId="2" r:id="rId3"/>
    <sheet name="GUI_plotter_results_BC" sheetId="7" r:id="rId4"/>
    <sheet name="GUI_plotter_results_Final_9-4-2" sheetId="10" r:id="rId5"/>
    <sheet name="ChargeCalcs" sheetId="5" r:id="rId6"/>
    <sheet name="WalzPDFpeaks" sheetId="4" r:id="rId7"/>
    <sheet name="1.0LiF_PLot_for_Figs" sheetId="6" r:id="rId8"/>
    <sheet name="0.64NaCl_0.36UCl3_plot_data" sheetId="8" r:id="rId9"/>
    <sheet name="1.0LiF_plot_data" sheetId="9" r:id="rId10"/>
  </sheets>
  <externalReferences>
    <externalReference r:id="rId11"/>
  </externalReferences>
  <calcPr calcId="191029"/>
</workbook>
</file>

<file path=xl/calcChain.xml><?xml version="1.0" encoding="utf-8"?>
<calcChain xmlns="http://schemas.openxmlformats.org/spreadsheetml/2006/main">
  <c r="BJ3" i="2" l="1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" i="2"/>
  <c r="AK23" i="2"/>
  <c r="AK20" i="2"/>
  <c r="AK21" i="2"/>
  <c r="AK22" i="2"/>
  <c r="AJ19" i="2"/>
  <c r="AK19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2" i="2"/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2" i="2"/>
  <c r="T17" i="10" l="1"/>
  <c r="T18" i="10"/>
  <c r="T19" i="10"/>
  <c r="T20" i="10"/>
  <c r="T21" i="10"/>
  <c r="T22" i="10"/>
  <c r="T26" i="10"/>
  <c r="T27" i="10"/>
  <c r="T30" i="10"/>
  <c r="T31" i="10"/>
  <c r="T33" i="10"/>
  <c r="T16" i="10"/>
  <c r="U34" i="10"/>
  <c r="U4" i="10"/>
  <c r="U5" i="10"/>
  <c r="U6" i="10"/>
  <c r="U7" i="10"/>
  <c r="U8" i="10"/>
  <c r="U9" i="10"/>
  <c r="U10" i="10"/>
  <c r="U11" i="10"/>
  <c r="U12" i="10"/>
  <c r="U13" i="10"/>
  <c r="U14" i="10"/>
  <c r="U17" i="10"/>
  <c r="U18" i="10"/>
  <c r="U19" i="10"/>
  <c r="U20" i="10"/>
  <c r="U21" i="10"/>
  <c r="U22" i="10"/>
  <c r="U26" i="10"/>
  <c r="U27" i="10"/>
  <c r="U30" i="10"/>
  <c r="U31" i="10"/>
  <c r="U33" i="10"/>
  <c r="U16" i="10"/>
  <c r="U3" i="10"/>
  <c r="T4" i="10"/>
  <c r="T5" i="10"/>
  <c r="T6" i="10"/>
  <c r="T7" i="10"/>
  <c r="T8" i="10"/>
  <c r="T9" i="10"/>
  <c r="T10" i="10"/>
  <c r="T11" i="10"/>
  <c r="T12" i="10"/>
  <c r="T13" i="10"/>
  <c r="T14" i="10"/>
  <c r="T3" i="10"/>
  <c r="AK33" i="10" l="1"/>
  <c r="AK31" i="10"/>
  <c r="AK30" i="10"/>
  <c r="AK27" i="10"/>
  <c r="AK26" i="10"/>
  <c r="AK17" i="10"/>
  <c r="AK18" i="10"/>
  <c r="AK19" i="10"/>
  <c r="AK20" i="10"/>
  <c r="AK21" i="10"/>
  <c r="AK22" i="10"/>
  <c r="AK16" i="10"/>
  <c r="AK4" i="10"/>
  <c r="AK5" i="10"/>
  <c r="AK6" i="10"/>
  <c r="AK7" i="10"/>
  <c r="AK8" i="10"/>
  <c r="AK9" i="10"/>
  <c r="AK10" i="10"/>
  <c r="AK11" i="10"/>
  <c r="AK12" i="10"/>
  <c r="AK13" i="10"/>
  <c r="AK14" i="10"/>
  <c r="AK3" i="10"/>
  <c r="AJ4" i="10" l="1"/>
  <c r="AJ5" i="10"/>
  <c r="AJ6" i="10"/>
  <c r="AJ7" i="10"/>
  <c r="AJ9" i="10"/>
  <c r="AJ3" i="10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U3" i="4"/>
  <c r="U23" i="4" s="1"/>
  <c r="R3" i="4"/>
  <c r="R23" i="4" s="1"/>
  <c r="V13" i="7" l="1"/>
  <c r="V15" i="7"/>
  <c r="V14" i="7"/>
  <c r="V12" i="7"/>
  <c r="AA28" i="7" l="1"/>
  <c r="Y28" i="7"/>
  <c r="Z28" i="7"/>
  <c r="E28" i="7"/>
  <c r="AA6" i="7"/>
  <c r="Z12" i="7"/>
  <c r="Z14" i="7"/>
  <c r="V6" i="7"/>
  <c r="Z6" i="7" s="1"/>
  <c r="U20" i="7"/>
  <c r="U11" i="7"/>
  <c r="U12" i="7"/>
  <c r="U13" i="7"/>
  <c r="Y13" i="7" s="1"/>
  <c r="U10" i="7"/>
  <c r="U3" i="7"/>
  <c r="U4" i="7"/>
  <c r="U5" i="7"/>
  <c r="U6" i="7"/>
  <c r="U7" i="7"/>
  <c r="U8" i="7"/>
  <c r="U9" i="7"/>
  <c r="U14" i="7"/>
  <c r="Y14" i="7" s="1"/>
  <c r="U15" i="7"/>
  <c r="U16" i="7"/>
  <c r="U17" i="7"/>
  <c r="U18" i="7"/>
  <c r="U19" i="7"/>
  <c r="U21" i="7"/>
  <c r="U22" i="7"/>
  <c r="U23" i="7"/>
  <c r="U24" i="7"/>
  <c r="U25" i="7"/>
  <c r="Y25" i="7" s="1"/>
  <c r="U26" i="7"/>
  <c r="U27" i="7"/>
  <c r="U2" i="7"/>
  <c r="AA2" i="7" s="1"/>
  <c r="P15" i="7"/>
  <c r="Z15" i="7" s="1"/>
  <c r="P16" i="7"/>
  <c r="P20" i="7"/>
  <c r="P11" i="7"/>
  <c r="P12" i="7"/>
  <c r="P13" i="7"/>
  <c r="Z13" i="7" s="1"/>
  <c r="P10" i="7"/>
  <c r="P3" i="7"/>
  <c r="Z3" i="7" s="1"/>
  <c r="P4" i="7"/>
  <c r="Z4" i="7" s="1"/>
  <c r="P5" i="7"/>
  <c r="P6" i="7"/>
  <c r="P7" i="7"/>
  <c r="P8" i="7"/>
  <c r="P9" i="7"/>
  <c r="P14" i="7"/>
  <c r="P17" i="7"/>
  <c r="P18" i="7"/>
  <c r="P19" i="7"/>
  <c r="P21" i="7"/>
  <c r="P22" i="7"/>
  <c r="P23" i="7"/>
  <c r="P24" i="7"/>
  <c r="P25" i="7"/>
  <c r="Z25" i="7" s="1"/>
  <c r="P26" i="7"/>
  <c r="P27" i="7"/>
  <c r="Z27" i="7" s="1"/>
  <c r="P2" i="7"/>
  <c r="W27" i="7"/>
  <c r="V27" i="7"/>
  <c r="Y27" i="7" s="1"/>
  <c r="W26" i="7"/>
  <c r="V26" i="7"/>
  <c r="W25" i="7"/>
  <c r="W24" i="7"/>
  <c r="V24" i="7"/>
  <c r="W23" i="7"/>
  <c r="V23" i="7"/>
  <c r="W22" i="7"/>
  <c r="V22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W14" i="7"/>
  <c r="W13" i="7"/>
  <c r="W12" i="7"/>
  <c r="W11" i="7"/>
  <c r="V11" i="7"/>
  <c r="W10" i="7"/>
  <c r="V10" i="7"/>
  <c r="W9" i="7"/>
  <c r="V9" i="7"/>
  <c r="W8" i="7"/>
  <c r="V8" i="7"/>
  <c r="W7" i="7"/>
  <c r="V7" i="7"/>
  <c r="W6" i="7"/>
  <c r="W5" i="7"/>
  <c r="V5" i="7"/>
  <c r="W4" i="7"/>
  <c r="V4" i="7"/>
  <c r="W3" i="7"/>
  <c r="V3" i="7"/>
  <c r="W2" i="7"/>
  <c r="V2" i="7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" i="2"/>
  <c r="BU35" i="2"/>
  <c r="BU36" i="2"/>
  <c r="BU37" i="2"/>
  <c r="BU33" i="2"/>
  <c r="BU24" i="2"/>
  <c r="BU25" i="2"/>
  <c r="BU26" i="2"/>
  <c r="BU27" i="2"/>
  <c r="BU28" i="2"/>
  <c r="BU29" i="2"/>
  <c r="BU30" i="2"/>
  <c r="BU3" i="2"/>
  <c r="BU4" i="2"/>
  <c r="BU7" i="2"/>
  <c r="BU8" i="2"/>
  <c r="BU9" i="2"/>
  <c r="BU14" i="2"/>
  <c r="BU15" i="2"/>
  <c r="BU16" i="2"/>
  <c r="BU2" i="2"/>
  <c r="AA4" i="7" l="1"/>
  <c r="AA12" i="7"/>
  <c r="AA15" i="7"/>
  <c r="AA3" i="7"/>
  <c r="AA27" i="7"/>
  <c r="Y6" i="7"/>
  <c r="Y15" i="7"/>
  <c r="Y3" i="7"/>
  <c r="Z26" i="7"/>
  <c r="Z2" i="7"/>
  <c r="Z9" i="7"/>
  <c r="Z5" i="7"/>
  <c r="AA26" i="7"/>
  <c r="AA9" i="7"/>
  <c r="Y5" i="7"/>
  <c r="Y2" i="7"/>
  <c r="AA14" i="7"/>
  <c r="AA13" i="7"/>
  <c r="Y9" i="7"/>
  <c r="AA5" i="7"/>
  <c r="Y26" i="7"/>
  <c r="Y12" i="7"/>
  <c r="Y4" i="7"/>
  <c r="AA25" i="7"/>
  <c r="J2" i="6"/>
  <c r="I4" i="6"/>
  <c r="I103" i="6"/>
  <c r="E103" i="6"/>
  <c r="I102" i="6"/>
  <c r="E102" i="6"/>
  <c r="I101" i="6"/>
  <c r="E101" i="6"/>
  <c r="I100" i="6"/>
  <c r="E100" i="6"/>
  <c r="I99" i="6"/>
  <c r="E99" i="6"/>
  <c r="I98" i="6"/>
  <c r="E98" i="6"/>
  <c r="I97" i="6"/>
  <c r="E97" i="6"/>
  <c r="I96" i="6"/>
  <c r="E96" i="6"/>
  <c r="I95" i="6"/>
  <c r="E95" i="6"/>
  <c r="I94" i="6"/>
  <c r="E94" i="6"/>
  <c r="I93" i="6"/>
  <c r="E93" i="6"/>
  <c r="I92" i="6"/>
  <c r="E92" i="6"/>
  <c r="I91" i="6"/>
  <c r="E91" i="6"/>
  <c r="I90" i="6"/>
  <c r="E90" i="6"/>
  <c r="I89" i="6"/>
  <c r="E89" i="6"/>
  <c r="I88" i="6"/>
  <c r="E88" i="6"/>
  <c r="I87" i="6"/>
  <c r="E87" i="6"/>
  <c r="I86" i="6"/>
  <c r="E86" i="6"/>
  <c r="I85" i="6"/>
  <c r="E85" i="6"/>
  <c r="I84" i="6"/>
  <c r="E84" i="6"/>
  <c r="I83" i="6"/>
  <c r="E83" i="6"/>
  <c r="I82" i="6"/>
  <c r="E82" i="6"/>
  <c r="I81" i="6"/>
  <c r="E81" i="6"/>
  <c r="I80" i="6"/>
  <c r="E80" i="6"/>
  <c r="I79" i="6"/>
  <c r="E79" i="6"/>
  <c r="I78" i="6"/>
  <c r="E78" i="6"/>
  <c r="I77" i="6"/>
  <c r="E77" i="6"/>
  <c r="I76" i="6"/>
  <c r="E76" i="6"/>
  <c r="I75" i="6"/>
  <c r="E75" i="6"/>
  <c r="I74" i="6"/>
  <c r="E74" i="6"/>
  <c r="I73" i="6"/>
  <c r="E73" i="6"/>
  <c r="I72" i="6"/>
  <c r="E72" i="6"/>
  <c r="I71" i="6"/>
  <c r="E71" i="6"/>
  <c r="I70" i="6"/>
  <c r="E70" i="6"/>
  <c r="I69" i="6"/>
  <c r="E69" i="6"/>
  <c r="I68" i="6"/>
  <c r="E68" i="6"/>
  <c r="I67" i="6"/>
  <c r="E67" i="6"/>
  <c r="I66" i="6"/>
  <c r="E66" i="6"/>
  <c r="I65" i="6"/>
  <c r="E65" i="6"/>
  <c r="I64" i="6"/>
  <c r="E64" i="6"/>
  <c r="I63" i="6"/>
  <c r="E63" i="6"/>
  <c r="I62" i="6"/>
  <c r="E62" i="6"/>
  <c r="I61" i="6"/>
  <c r="E61" i="6"/>
  <c r="I60" i="6"/>
  <c r="E60" i="6"/>
  <c r="I59" i="6"/>
  <c r="E59" i="6"/>
  <c r="I58" i="6"/>
  <c r="E58" i="6"/>
  <c r="I57" i="6"/>
  <c r="E57" i="6"/>
  <c r="I56" i="6"/>
  <c r="E56" i="6"/>
  <c r="I55" i="6"/>
  <c r="E55" i="6"/>
  <c r="I54" i="6"/>
  <c r="E54" i="6"/>
  <c r="I53" i="6"/>
  <c r="E53" i="6"/>
  <c r="I52" i="6"/>
  <c r="E52" i="6"/>
  <c r="I51" i="6"/>
  <c r="E51" i="6"/>
  <c r="I50" i="6"/>
  <c r="E50" i="6"/>
  <c r="I49" i="6"/>
  <c r="E49" i="6"/>
  <c r="I48" i="6"/>
  <c r="E48" i="6"/>
  <c r="I47" i="6"/>
  <c r="E47" i="6"/>
  <c r="I46" i="6"/>
  <c r="E46" i="6"/>
  <c r="I45" i="6"/>
  <c r="E45" i="6"/>
  <c r="I44" i="6"/>
  <c r="E44" i="6"/>
  <c r="I43" i="6"/>
  <c r="E43" i="6"/>
  <c r="I42" i="6"/>
  <c r="E42" i="6"/>
  <c r="I41" i="6"/>
  <c r="E41" i="6"/>
  <c r="I40" i="6"/>
  <c r="E40" i="6"/>
  <c r="I39" i="6"/>
  <c r="E39" i="6"/>
  <c r="I38" i="6"/>
  <c r="E38" i="6"/>
  <c r="I37" i="6"/>
  <c r="E37" i="6"/>
  <c r="S36" i="6"/>
  <c r="I36" i="6"/>
  <c r="E36" i="6"/>
  <c r="S35" i="6"/>
  <c r="I35" i="6"/>
  <c r="E35" i="6"/>
  <c r="S34" i="6"/>
  <c r="I34" i="6"/>
  <c r="E34" i="6"/>
  <c r="S33" i="6"/>
  <c r="I33" i="6"/>
  <c r="E33" i="6"/>
  <c r="S32" i="6"/>
  <c r="I32" i="6"/>
  <c r="E32" i="6"/>
  <c r="S31" i="6"/>
  <c r="I31" i="6"/>
  <c r="E31" i="6"/>
  <c r="S30" i="6"/>
  <c r="I30" i="6"/>
  <c r="E30" i="6"/>
  <c r="S29" i="6"/>
  <c r="I29" i="6"/>
  <c r="E29" i="6"/>
  <c r="S28" i="6"/>
  <c r="I28" i="6"/>
  <c r="E28" i="6"/>
  <c r="I27" i="6"/>
  <c r="E27" i="6"/>
  <c r="R26" i="6"/>
  <c r="I26" i="6"/>
  <c r="E26" i="6"/>
  <c r="R25" i="6"/>
  <c r="I25" i="6"/>
  <c r="E25" i="6"/>
  <c r="R24" i="6"/>
  <c r="I24" i="6"/>
  <c r="E24" i="6"/>
  <c r="R23" i="6"/>
  <c r="I23" i="6"/>
  <c r="E23" i="6"/>
  <c r="R22" i="6"/>
  <c r="I22" i="6"/>
  <c r="E22" i="6"/>
  <c r="R21" i="6"/>
  <c r="I21" i="6"/>
  <c r="E21" i="6"/>
  <c r="R20" i="6"/>
  <c r="I20" i="6"/>
  <c r="E20" i="6"/>
  <c r="R19" i="6"/>
  <c r="I19" i="6"/>
  <c r="E19" i="6"/>
  <c r="R18" i="6"/>
  <c r="I18" i="6"/>
  <c r="E18" i="6"/>
  <c r="I17" i="6"/>
  <c r="E17" i="6"/>
  <c r="I16" i="6"/>
  <c r="E16" i="6"/>
  <c r="I15" i="6"/>
  <c r="E15" i="6"/>
  <c r="I14" i="6"/>
  <c r="E14" i="6"/>
  <c r="I13" i="6"/>
  <c r="E13" i="6"/>
  <c r="I12" i="6"/>
  <c r="E12" i="6"/>
  <c r="I11" i="6"/>
  <c r="E11" i="6"/>
  <c r="I10" i="6"/>
  <c r="E10" i="6"/>
  <c r="I9" i="6"/>
  <c r="E9" i="6"/>
  <c r="I8" i="6"/>
  <c r="E8" i="6"/>
  <c r="I7" i="6"/>
  <c r="E7" i="6"/>
  <c r="I6" i="6"/>
  <c r="E6" i="6"/>
  <c r="I5" i="6"/>
  <c r="E5" i="6"/>
  <c r="Q4" i="6"/>
  <c r="N103" i="6" s="1"/>
  <c r="K4" i="6" l="1"/>
  <c r="J32" i="6" s="1"/>
  <c r="J52" i="6"/>
  <c r="N27" i="6"/>
  <c r="N21" i="6"/>
  <c r="J49" i="6"/>
  <c r="J9" i="6"/>
  <c r="J17" i="6"/>
  <c r="J29" i="6"/>
  <c r="J62" i="6"/>
  <c r="J74" i="6"/>
  <c r="J86" i="6"/>
  <c r="J92" i="6"/>
  <c r="J6" i="6"/>
  <c r="J12" i="6"/>
  <c r="J14" i="6"/>
  <c r="J18" i="6"/>
  <c r="N32" i="6"/>
  <c r="J53" i="6"/>
  <c r="J59" i="6"/>
  <c r="J65" i="6"/>
  <c r="J71" i="6"/>
  <c r="J77" i="6"/>
  <c r="J83" i="6"/>
  <c r="J89" i="6"/>
  <c r="J95" i="6"/>
  <c r="J4" i="6"/>
  <c r="J11" i="6"/>
  <c r="J56" i="6"/>
  <c r="J68" i="6"/>
  <c r="J80" i="6"/>
  <c r="J98" i="6"/>
  <c r="N4" i="6"/>
  <c r="J19" i="6"/>
  <c r="J41" i="6"/>
  <c r="J45" i="6"/>
  <c r="J40" i="6"/>
  <c r="J48" i="6"/>
  <c r="J10" i="6"/>
  <c r="J22" i="6"/>
  <c r="J24" i="6"/>
  <c r="J37" i="6"/>
  <c r="J54" i="6"/>
  <c r="J57" i="6"/>
  <c r="J60" i="6"/>
  <c r="J63" i="6"/>
  <c r="J66" i="6"/>
  <c r="J69" i="6"/>
  <c r="J72" i="6"/>
  <c r="J75" i="6"/>
  <c r="J78" i="6"/>
  <c r="J5" i="6"/>
  <c r="J16" i="6"/>
  <c r="J26" i="6"/>
  <c r="J28" i="6"/>
  <c r="J30" i="6"/>
  <c r="J84" i="6"/>
  <c r="J81" i="6"/>
  <c r="J7" i="6"/>
  <c r="J15" i="6"/>
  <c r="J23" i="6"/>
  <c r="J25" i="6"/>
  <c r="J34" i="6"/>
  <c r="J36" i="6"/>
  <c r="J38" i="6"/>
  <c r="J43" i="6"/>
  <c r="J8" i="6"/>
  <c r="J13" i="6"/>
  <c r="J20" i="6"/>
  <c r="J31" i="6"/>
  <c r="J39" i="6"/>
  <c r="J44" i="6"/>
  <c r="J87" i="6"/>
  <c r="J90" i="6"/>
  <c r="J93" i="6"/>
  <c r="J96" i="6"/>
  <c r="J99" i="6"/>
  <c r="J46" i="6"/>
  <c r="J33" i="6"/>
  <c r="J35" i="6"/>
  <c r="J42" i="6"/>
  <c r="J47" i="6"/>
  <c r="J50" i="6"/>
  <c r="J101" i="6"/>
  <c r="J51" i="6"/>
  <c r="J102" i="6"/>
  <c r="J103" i="6"/>
  <c r="J61" i="6"/>
  <c r="J70" i="6"/>
  <c r="J79" i="6"/>
  <c r="J82" i="6"/>
  <c r="J91" i="6"/>
  <c r="J97" i="6"/>
  <c r="N16" i="6"/>
  <c r="N20" i="6"/>
  <c r="N26" i="6"/>
  <c r="N37" i="6"/>
  <c r="N49" i="6"/>
  <c r="N52" i="6"/>
  <c r="N55" i="6"/>
  <c r="N58" i="6"/>
  <c r="N64" i="6"/>
  <c r="N67" i="6"/>
  <c r="N70" i="6"/>
  <c r="N73" i="6"/>
  <c r="N76" i="6"/>
  <c r="N79" i="6"/>
  <c r="N82" i="6"/>
  <c r="N85" i="6"/>
  <c r="N88" i="6"/>
  <c r="N91" i="6"/>
  <c r="N94" i="6"/>
  <c r="N97" i="6"/>
  <c r="N100" i="6"/>
  <c r="N36" i="6"/>
  <c r="N6" i="6"/>
  <c r="N9" i="6"/>
  <c r="N12" i="6"/>
  <c r="N15" i="6"/>
  <c r="N18" i="6"/>
  <c r="N24" i="6"/>
  <c r="N29" i="6"/>
  <c r="N35" i="6"/>
  <c r="N39" i="6"/>
  <c r="N42" i="6"/>
  <c r="N45" i="6"/>
  <c r="N48" i="6"/>
  <c r="N51" i="6"/>
  <c r="N54" i="6"/>
  <c r="N57" i="6"/>
  <c r="N60" i="6"/>
  <c r="N63" i="6"/>
  <c r="N66" i="6"/>
  <c r="N69" i="6"/>
  <c r="N72" i="6"/>
  <c r="N75" i="6"/>
  <c r="N78" i="6"/>
  <c r="N81" i="6"/>
  <c r="N84" i="6"/>
  <c r="N87" i="6"/>
  <c r="N90" i="6"/>
  <c r="N93" i="6"/>
  <c r="N96" i="6"/>
  <c r="N99" i="6"/>
  <c r="N102" i="6"/>
  <c r="J55" i="6"/>
  <c r="J58" i="6"/>
  <c r="J64" i="6"/>
  <c r="J67" i="6"/>
  <c r="J73" i="6"/>
  <c r="J76" i="6"/>
  <c r="J85" i="6"/>
  <c r="J88" i="6"/>
  <c r="J94" i="6"/>
  <c r="J100" i="6"/>
  <c r="N7" i="6"/>
  <c r="N10" i="6"/>
  <c r="N13" i="6"/>
  <c r="N31" i="6"/>
  <c r="N40" i="6"/>
  <c r="N43" i="6"/>
  <c r="N46" i="6"/>
  <c r="N61" i="6"/>
  <c r="N19" i="6"/>
  <c r="N25" i="6"/>
  <c r="N30" i="6"/>
  <c r="N23" i="6"/>
  <c r="N28" i="6"/>
  <c r="N34" i="6"/>
  <c r="N5" i="6"/>
  <c r="N8" i="6"/>
  <c r="N11" i="6"/>
  <c r="N14" i="6"/>
  <c r="N17" i="6"/>
  <c r="J21" i="6"/>
  <c r="N22" i="6"/>
  <c r="J27" i="6"/>
  <c r="N33" i="6"/>
  <c r="N38" i="6"/>
  <c r="N41" i="6"/>
  <c r="N44" i="6"/>
  <c r="N47" i="6"/>
  <c r="N50" i="6"/>
  <c r="N53" i="6"/>
  <c r="N56" i="6"/>
  <c r="N59" i="6"/>
  <c r="N62" i="6"/>
  <c r="N65" i="6"/>
  <c r="N68" i="6"/>
  <c r="N71" i="6"/>
  <c r="N74" i="6"/>
  <c r="N77" i="6"/>
  <c r="N80" i="6"/>
  <c r="N83" i="6"/>
  <c r="N86" i="6"/>
  <c r="N89" i="6"/>
  <c r="N92" i="6"/>
  <c r="N95" i="6"/>
  <c r="N98" i="6"/>
  <c r="N101" i="6"/>
  <c r="BX7" i="2" l="1"/>
  <c r="BX8" i="2"/>
  <c r="BX9" i="2"/>
  <c r="BX14" i="2"/>
  <c r="BX15" i="2"/>
  <c r="BX16" i="2"/>
  <c r="BX2" i="2"/>
  <c r="BV38" i="2"/>
  <c r="BV39" i="2"/>
  <c r="BV40" i="2"/>
  <c r="BV21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X3" i="2"/>
  <c r="BX4" i="2"/>
  <c r="B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" i="2"/>
  <c r="BY3" i="2" l="1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L15" i="2"/>
  <c r="L2" i="2"/>
  <c r="CA2" i="2" s="1"/>
  <c r="L25" i="5" l="1"/>
  <c r="L41" i="5"/>
  <c r="AD16" i="5"/>
  <c r="AE15" i="5"/>
  <c r="W15" i="5"/>
  <c r="O15" i="5" s="1"/>
  <c r="AF15" i="5" s="1"/>
  <c r="AD15" i="5"/>
  <c r="U15" i="5"/>
  <c r="V15" i="5" s="1"/>
  <c r="M15" i="5"/>
  <c r="L15" i="5"/>
  <c r="BC15" i="5" s="1"/>
  <c r="I15" i="5"/>
  <c r="G15" i="5"/>
  <c r="F15" i="5"/>
  <c r="AK4" i="5"/>
  <c r="AK5" i="5"/>
  <c r="AK6" i="5"/>
  <c r="AK7" i="5"/>
  <c r="AK8" i="5"/>
  <c r="AK9" i="5"/>
  <c r="AK10" i="5"/>
  <c r="AK3" i="5"/>
  <c r="AI8" i="5"/>
  <c r="AJ8" i="5"/>
  <c r="AI9" i="5"/>
  <c r="AJ9" i="5"/>
  <c r="AI10" i="5"/>
  <c r="AJ10" i="5"/>
  <c r="AJ7" i="5"/>
  <c r="AI4" i="5"/>
  <c r="AJ4" i="5"/>
  <c r="AI5" i="5"/>
  <c r="AJ5" i="5"/>
  <c r="AI6" i="5"/>
  <c r="AJ6" i="5"/>
  <c r="AI7" i="5"/>
  <c r="AJ3" i="5"/>
  <c r="AI3" i="5"/>
  <c r="AS15" i="5" l="1"/>
  <c r="AT15" i="5" s="1"/>
  <c r="J15" i="5"/>
  <c r="H15" i="5"/>
  <c r="AA3" i="4"/>
  <c r="K8" i="4"/>
  <c r="M8" i="4" s="1"/>
  <c r="K13" i="4"/>
  <c r="M13" i="4" s="1"/>
  <c r="K18" i="4"/>
  <c r="K4" i="4"/>
  <c r="M4" i="4" s="1"/>
  <c r="K9" i="4"/>
  <c r="M9" i="4" s="1"/>
  <c r="K14" i="4"/>
  <c r="M14" i="4" s="1"/>
  <c r="K19" i="4"/>
  <c r="M19" i="4" s="1"/>
  <c r="K5" i="4"/>
  <c r="M5" i="4" s="1"/>
  <c r="K10" i="4"/>
  <c r="M10" i="4" s="1"/>
  <c r="K15" i="4"/>
  <c r="M15" i="4" s="1"/>
  <c r="K20" i="4"/>
  <c r="M20" i="4" s="1"/>
  <c r="K6" i="4"/>
  <c r="M6" i="4" s="1"/>
  <c r="K11" i="4"/>
  <c r="M11" i="4" s="1"/>
  <c r="K16" i="4"/>
  <c r="M16" i="4" s="1"/>
  <c r="K21" i="4"/>
  <c r="M21" i="4" s="1"/>
  <c r="K7" i="4"/>
  <c r="M7" i="4" s="1"/>
  <c r="K12" i="4"/>
  <c r="M12" i="4" s="1"/>
  <c r="K17" i="4"/>
  <c r="M17" i="4" s="1"/>
  <c r="K22" i="4"/>
  <c r="M22" i="4" s="1"/>
  <c r="K3" i="4"/>
  <c r="M3" i="4" s="1"/>
  <c r="AU15" i="5" l="1"/>
  <c r="AV15" i="5"/>
  <c r="M2" i="4"/>
  <c r="M18" i="4"/>
  <c r="F14" i="5"/>
  <c r="G14" i="5"/>
  <c r="I14" i="5"/>
  <c r="L14" i="5"/>
  <c r="M14" i="5"/>
  <c r="U14" i="5"/>
  <c r="V14" i="5" s="1"/>
  <c r="W14" i="5"/>
  <c r="O14" i="5" s="1"/>
  <c r="AD14" i="5"/>
  <c r="P3" i="5"/>
  <c r="AF11" i="5"/>
  <c r="AE11" i="5"/>
  <c r="P4" i="5"/>
  <c r="P5" i="5"/>
  <c r="P6" i="5"/>
  <c r="P7" i="5"/>
  <c r="P9" i="5"/>
  <c r="P10" i="5"/>
  <c r="P11" i="5"/>
  <c r="P18" i="5"/>
  <c r="P19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AR4" i="5"/>
  <c r="AR5" i="5"/>
  <c r="AR6" i="5"/>
  <c r="AR7" i="5"/>
  <c r="AR8" i="5"/>
  <c r="AR9" i="5"/>
  <c r="AR10" i="5"/>
  <c r="AR18" i="5"/>
  <c r="AE18" i="5" s="1"/>
  <c r="AR19" i="5"/>
  <c r="AF19" i="5" s="1"/>
  <c r="AR3" i="5"/>
  <c r="BC42" i="5"/>
  <c r="V42" i="5"/>
  <c r="M42" i="5"/>
  <c r="I42" i="5"/>
  <c r="G42" i="5"/>
  <c r="F42" i="5"/>
  <c r="AD41" i="5"/>
  <c r="X41" i="5"/>
  <c r="AD40" i="5"/>
  <c r="X40" i="5"/>
  <c r="L40" i="5"/>
  <c r="AD39" i="5"/>
  <c r="X39" i="5"/>
  <c r="L39" i="5"/>
  <c r="AD38" i="5"/>
  <c r="M38" i="5"/>
  <c r="L38" i="5"/>
  <c r="BC38" i="5" s="1"/>
  <c r="I38" i="5"/>
  <c r="G38" i="5"/>
  <c r="F38" i="5"/>
  <c r="AD37" i="5"/>
  <c r="M37" i="5"/>
  <c r="L37" i="5"/>
  <c r="BC37" i="5" s="1"/>
  <c r="I37" i="5"/>
  <c r="G37" i="5"/>
  <c r="F37" i="5"/>
  <c r="AD36" i="5"/>
  <c r="M36" i="5"/>
  <c r="L36" i="5"/>
  <c r="BC36" i="5" s="1"/>
  <c r="I36" i="5"/>
  <c r="G36" i="5"/>
  <c r="F36" i="5"/>
  <c r="AD35" i="5"/>
  <c r="M35" i="5"/>
  <c r="L35" i="5"/>
  <c r="BC35" i="5" s="1"/>
  <c r="I35" i="5"/>
  <c r="G35" i="5"/>
  <c r="F35" i="5"/>
  <c r="AD34" i="5"/>
  <c r="M34" i="5"/>
  <c r="I34" i="5"/>
  <c r="G34" i="5"/>
  <c r="F34" i="5"/>
  <c r="AD33" i="5"/>
  <c r="M33" i="5"/>
  <c r="I33" i="5"/>
  <c r="G33" i="5"/>
  <c r="F33" i="5"/>
  <c r="AD32" i="5"/>
  <c r="M32" i="5"/>
  <c r="I32" i="5"/>
  <c r="G32" i="5"/>
  <c r="F32" i="5"/>
  <c r="AD31" i="5"/>
  <c r="M31" i="5"/>
  <c r="L31" i="5"/>
  <c r="BC31" i="5" s="1"/>
  <c r="I31" i="5"/>
  <c r="G31" i="5"/>
  <c r="F31" i="5"/>
  <c r="AD30" i="5"/>
  <c r="M30" i="5"/>
  <c r="L30" i="5"/>
  <c r="BC30" i="5" s="1"/>
  <c r="I30" i="5"/>
  <c r="G30" i="5"/>
  <c r="F30" i="5"/>
  <c r="AD29" i="5"/>
  <c r="M29" i="5"/>
  <c r="L29" i="5"/>
  <c r="BC29" i="5" s="1"/>
  <c r="I29" i="5"/>
  <c r="G29" i="5"/>
  <c r="F29" i="5"/>
  <c r="AD28" i="5"/>
  <c r="M28" i="5"/>
  <c r="I28" i="5"/>
  <c r="G28" i="5"/>
  <c r="F28" i="5"/>
  <c r="AD27" i="5"/>
  <c r="M27" i="5"/>
  <c r="L27" i="5"/>
  <c r="BC27" i="5" s="1"/>
  <c r="I27" i="5"/>
  <c r="G27" i="5"/>
  <c r="F27" i="5"/>
  <c r="AD26" i="5"/>
  <c r="M26" i="5"/>
  <c r="L26" i="5"/>
  <c r="BC26" i="5" s="1"/>
  <c r="I26" i="5"/>
  <c r="G26" i="5"/>
  <c r="F26" i="5"/>
  <c r="AD25" i="5"/>
  <c r="M25" i="5"/>
  <c r="BC25" i="5"/>
  <c r="I25" i="5"/>
  <c r="G25" i="5"/>
  <c r="F25" i="5"/>
  <c r="AD24" i="5"/>
  <c r="M24" i="5"/>
  <c r="L24" i="5"/>
  <c r="BC24" i="5" s="1"/>
  <c r="I24" i="5"/>
  <c r="G24" i="5"/>
  <c r="F24" i="5"/>
  <c r="U23" i="5"/>
  <c r="V23" i="5" s="1"/>
  <c r="O23" i="5"/>
  <c r="P23" i="5" s="1"/>
  <c r="M23" i="5"/>
  <c r="L23" i="5"/>
  <c r="BC23" i="5" s="1"/>
  <c r="I23" i="5"/>
  <c r="G23" i="5"/>
  <c r="F23" i="5"/>
  <c r="U22" i="5"/>
  <c r="V22" i="5" s="1"/>
  <c r="O22" i="5"/>
  <c r="AE22" i="5" s="1"/>
  <c r="M22" i="5"/>
  <c r="L22" i="5"/>
  <c r="BC22" i="5" s="1"/>
  <c r="I22" i="5"/>
  <c r="G22" i="5"/>
  <c r="F22" i="5"/>
  <c r="U21" i="5"/>
  <c r="V21" i="5" s="1"/>
  <c r="O21" i="5"/>
  <c r="AE21" i="5" s="1"/>
  <c r="M21" i="5"/>
  <c r="I21" i="5"/>
  <c r="G21" i="5"/>
  <c r="F21" i="5"/>
  <c r="W20" i="5"/>
  <c r="O20" i="5" s="1"/>
  <c r="AE20" i="5" s="1"/>
  <c r="U20" i="5"/>
  <c r="V20" i="5" s="1"/>
  <c r="M20" i="5"/>
  <c r="I20" i="5"/>
  <c r="G20" i="5"/>
  <c r="F20" i="5"/>
  <c r="AD19" i="5"/>
  <c r="W19" i="5"/>
  <c r="U19" i="5"/>
  <c r="V19" i="5" s="1"/>
  <c r="M19" i="5"/>
  <c r="I19" i="5"/>
  <c r="G19" i="5"/>
  <c r="F19" i="5"/>
  <c r="AD18" i="5"/>
  <c r="W18" i="5"/>
  <c r="U18" i="5"/>
  <c r="V18" i="5" s="1"/>
  <c r="M18" i="5"/>
  <c r="I18" i="5"/>
  <c r="G18" i="5"/>
  <c r="F18" i="5"/>
  <c r="AD17" i="5"/>
  <c r="W17" i="5"/>
  <c r="O17" i="5" s="1"/>
  <c r="AE17" i="5" s="1"/>
  <c r="U17" i="5"/>
  <c r="V17" i="5" s="1"/>
  <c r="M17" i="5"/>
  <c r="L17" i="5"/>
  <c r="I17" i="5"/>
  <c r="G17" i="5"/>
  <c r="F17" i="5"/>
  <c r="W16" i="5"/>
  <c r="O16" i="5" s="1"/>
  <c r="AE16" i="5" s="1"/>
  <c r="U16" i="5"/>
  <c r="V16" i="5" s="1"/>
  <c r="M16" i="5"/>
  <c r="L16" i="5"/>
  <c r="I16" i="5"/>
  <c r="G16" i="5"/>
  <c r="F16" i="5"/>
  <c r="AD13" i="5"/>
  <c r="W13" i="5"/>
  <c r="O13" i="5" s="1"/>
  <c r="AE13" i="5" s="1"/>
  <c r="U13" i="5"/>
  <c r="V13" i="5" s="1"/>
  <c r="M13" i="5"/>
  <c r="L13" i="5"/>
  <c r="I13" i="5"/>
  <c r="G13" i="5"/>
  <c r="F13" i="5"/>
  <c r="AD12" i="5"/>
  <c r="W12" i="5"/>
  <c r="O12" i="5" s="1"/>
  <c r="AE12" i="5" s="1"/>
  <c r="U12" i="5"/>
  <c r="V12" i="5" s="1"/>
  <c r="M12" i="5"/>
  <c r="L12" i="5"/>
  <c r="I12" i="5"/>
  <c r="G12" i="5"/>
  <c r="F12" i="5"/>
  <c r="AD11" i="5"/>
  <c r="U11" i="5"/>
  <c r="V11" i="5" s="1"/>
  <c r="M11" i="5"/>
  <c r="L11" i="5"/>
  <c r="I11" i="5"/>
  <c r="G11" i="5"/>
  <c r="F11" i="5"/>
  <c r="AD10" i="5"/>
  <c r="U10" i="5"/>
  <c r="V10" i="5" s="1"/>
  <c r="M10" i="5"/>
  <c r="L10" i="5"/>
  <c r="BC10" i="5" s="1"/>
  <c r="I10" i="5"/>
  <c r="G10" i="5"/>
  <c r="F10" i="5"/>
  <c r="AD9" i="5"/>
  <c r="U9" i="5"/>
  <c r="M9" i="5"/>
  <c r="L9" i="5"/>
  <c r="BC9" i="5" s="1"/>
  <c r="I9" i="5"/>
  <c r="G9" i="5"/>
  <c r="F9" i="5"/>
  <c r="AD8" i="5"/>
  <c r="U8" i="5"/>
  <c r="O8" i="5"/>
  <c r="M8" i="5"/>
  <c r="L8" i="5"/>
  <c r="BC8" i="5" s="1"/>
  <c r="I8" i="5"/>
  <c r="G8" i="5"/>
  <c r="F8" i="5"/>
  <c r="U7" i="5"/>
  <c r="V7" i="5" s="1"/>
  <c r="M7" i="5"/>
  <c r="L7" i="5"/>
  <c r="BC7" i="5" s="1"/>
  <c r="I7" i="5"/>
  <c r="G7" i="5"/>
  <c r="F7" i="5"/>
  <c r="W6" i="5"/>
  <c r="Z6" i="5" s="1"/>
  <c r="U6" i="5"/>
  <c r="M6" i="5"/>
  <c r="L6" i="5"/>
  <c r="I6" i="5"/>
  <c r="G6" i="5"/>
  <c r="F6" i="5"/>
  <c r="AD5" i="5"/>
  <c r="U5" i="5"/>
  <c r="M5" i="5"/>
  <c r="L5" i="5"/>
  <c r="BC5" i="5" s="1"/>
  <c r="I5" i="5"/>
  <c r="G5" i="5"/>
  <c r="F5" i="5"/>
  <c r="AD4" i="5"/>
  <c r="U4" i="5"/>
  <c r="V4" i="5" s="1"/>
  <c r="M4" i="5"/>
  <c r="L4" i="5"/>
  <c r="BC4" i="5" s="1"/>
  <c r="I4" i="5"/>
  <c r="G4" i="5"/>
  <c r="F4" i="5"/>
  <c r="AD3" i="5"/>
  <c r="U3" i="5"/>
  <c r="V3" i="5" s="1"/>
  <c r="M3" i="5"/>
  <c r="L3" i="5"/>
  <c r="BC3" i="5" s="1"/>
  <c r="I3" i="5"/>
  <c r="G3" i="5"/>
  <c r="F3" i="5"/>
  <c r="Z30" i="3"/>
  <c r="W30" i="3"/>
  <c r="Z29" i="3"/>
  <c r="W29" i="3"/>
  <c r="Z28" i="3"/>
  <c r="W28" i="3"/>
  <c r="Z27" i="3"/>
  <c r="W27" i="3"/>
  <c r="Z26" i="3"/>
  <c r="W26" i="3"/>
  <c r="Z25" i="3"/>
  <c r="W25" i="3"/>
  <c r="Z24" i="3"/>
  <c r="W24" i="3"/>
  <c r="Z23" i="3"/>
  <c r="W23" i="3"/>
  <c r="Z22" i="3"/>
  <c r="W22" i="3"/>
  <c r="Z21" i="3"/>
  <c r="W21" i="3"/>
  <c r="Z20" i="3"/>
  <c r="W20" i="3"/>
  <c r="Z19" i="3"/>
  <c r="W19" i="3"/>
  <c r="AH18" i="3"/>
  <c r="W18" i="3" s="1"/>
  <c r="Z17" i="3"/>
  <c r="W17" i="3"/>
  <c r="Z16" i="3"/>
  <c r="W16" i="3"/>
  <c r="Z15" i="3"/>
  <c r="W15" i="3"/>
  <c r="Z14" i="3"/>
  <c r="W14" i="3"/>
  <c r="Z13" i="3"/>
  <c r="W13" i="3"/>
  <c r="Z12" i="3"/>
  <c r="W12" i="3"/>
  <c r="Z11" i="3"/>
  <c r="W11" i="3"/>
  <c r="Z10" i="3"/>
  <c r="W10" i="3"/>
  <c r="Z9" i="3"/>
  <c r="W9" i="3"/>
  <c r="Z8" i="3"/>
  <c r="W8" i="3"/>
  <c r="Z7" i="3"/>
  <c r="W7" i="3"/>
  <c r="Z6" i="3"/>
  <c r="V36" i="3" s="1"/>
  <c r="W6" i="3"/>
  <c r="X41" i="2"/>
  <c r="CA41" i="2"/>
  <c r="BL41" i="2"/>
  <c r="BK41" i="2" s="1"/>
  <c r="BC41" i="2"/>
  <c r="AZ41" i="2"/>
  <c r="AV41" i="2"/>
  <c r="AU41" i="2"/>
  <c r="AQ41" i="2" s="1"/>
  <c r="M41" i="2"/>
  <c r="I41" i="2"/>
  <c r="G41" i="2"/>
  <c r="F41" i="2"/>
  <c r="BL40" i="2"/>
  <c r="BG40" i="2"/>
  <c r="BM40" i="2" s="1"/>
  <c r="BN40" i="2" s="1"/>
  <c r="BB40" i="2"/>
  <c r="BE40" i="2" s="1"/>
  <c r="BF40" i="2" s="1"/>
  <c r="AZ40" i="2"/>
  <c r="AV40" i="2"/>
  <c r="AR40" i="2"/>
  <c r="AJ40" i="2"/>
  <c r="Z40" i="2"/>
  <c r="L40" i="2"/>
  <c r="BL39" i="2"/>
  <c r="BK39" i="2" s="1"/>
  <c r="BG39" i="2"/>
  <c r="BM39" i="2" s="1"/>
  <c r="BN39" i="2" s="1"/>
  <c r="BB39" i="2"/>
  <c r="BE39" i="2" s="1"/>
  <c r="BF39" i="2" s="1"/>
  <c r="AZ39" i="2"/>
  <c r="AY39" i="2"/>
  <c r="AT39" i="2" s="1"/>
  <c r="AV39" i="2"/>
  <c r="AR39" i="2"/>
  <c r="AJ39" i="2"/>
  <c r="Z39" i="2"/>
  <c r="L39" i="2"/>
  <c r="BL38" i="2"/>
  <c r="BK38" i="2" s="1"/>
  <c r="BG38" i="2"/>
  <c r="BM38" i="2" s="1"/>
  <c r="BN38" i="2" s="1"/>
  <c r="BB38" i="2"/>
  <c r="BE38" i="2" s="1"/>
  <c r="BF38" i="2" s="1"/>
  <c r="AZ38" i="2"/>
  <c r="AV38" i="2"/>
  <c r="AR38" i="2"/>
  <c r="AJ38" i="2"/>
  <c r="Z38" i="2"/>
  <c r="L38" i="2"/>
  <c r="BL37" i="2"/>
  <c r="BK37" i="2" s="1"/>
  <c r="BG37" i="2"/>
  <c r="BM37" i="2" s="1"/>
  <c r="BN37" i="2" s="1"/>
  <c r="BC37" i="2"/>
  <c r="AZ37" i="2"/>
  <c r="AV37" i="2"/>
  <c r="AR37" i="2"/>
  <c r="AJ37" i="2"/>
  <c r="M37" i="2"/>
  <c r="L37" i="2"/>
  <c r="CA37" i="2" s="1"/>
  <c r="I37" i="2"/>
  <c r="G37" i="2"/>
  <c r="F37" i="2"/>
  <c r="BL36" i="2"/>
  <c r="BK36" i="2" s="1"/>
  <c r="BG36" i="2"/>
  <c r="BM36" i="2" s="1"/>
  <c r="BN36" i="2" s="1"/>
  <c r="BC36" i="2"/>
  <c r="BB36" i="2" s="1"/>
  <c r="BE36" i="2" s="1"/>
  <c r="BF36" i="2" s="1"/>
  <c r="AZ36" i="2"/>
  <c r="AV36" i="2"/>
  <c r="AR36" i="2"/>
  <c r="AJ36" i="2"/>
  <c r="M36" i="2"/>
  <c r="L36" i="2"/>
  <c r="CA36" i="2" s="1"/>
  <c r="I36" i="2"/>
  <c r="G36" i="2"/>
  <c r="F36" i="2"/>
  <c r="BL35" i="2"/>
  <c r="BK35" i="2" s="1"/>
  <c r="BG35" i="2"/>
  <c r="BM35" i="2" s="1"/>
  <c r="BN35" i="2" s="1"/>
  <c r="BC35" i="2"/>
  <c r="AZ35" i="2"/>
  <c r="AV35" i="2"/>
  <c r="AR35" i="2"/>
  <c r="AJ35" i="2"/>
  <c r="M35" i="2"/>
  <c r="L35" i="2"/>
  <c r="CA35" i="2" s="1"/>
  <c r="I35" i="2"/>
  <c r="G35" i="2"/>
  <c r="F35" i="2"/>
  <c r="BL34" i="2"/>
  <c r="BK34" i="2" s="1"/>
  <c r="BG34" i="2"/>
  <c r="BM34" i="2" s="1"/>
  <c r="BN34" i="2" s="1"/>
  <c r="BC34" i="2"/>
  <c r="AZ34" i="2"/>
  <c r="AV34" i="2"/>
  <c r="AR34" i="2"/>
  <c r="AJ34" i="2"/>
  <c r="M34" i="2"/>
  <c r="L34" i="2"/>
  <c r="CA34" i="2" s="1"/>
  <c r="I34" i="2"/>
  <c r="G34" i="2"/>
  <c r="F34" i="2"/>
  <c r="BL33" i="2"/>
  <c r="BK33" i="2" s="1"/>
  <c r="BG33" i="2"/>
  <c r="BM33" i="2" s="1"/>
  <c r="BN33" i="2" s="1"/>
  <c r="BC33" i="2"/>
  <c r="BB33" i="2" s="1"/>
  <c r="BE33" i="2" s="1"/>
  <c r="BF33" i="2" s="1"/>
  <c r="AZ33" i="2"/>
  <c r="AV33" i="2"/>
  <c r="AR33" i="2"/>
  <c r="AJ33" i="2"/>
  <c r="M33" i="2"/>
  <c r="I33" i="2"/>
  <c r="G33" i="2"/>
  <c r="F33" i="2"/>
  <c r="BL32" i="2"/>
  <c r="BK32" i="2" s="1"/>
  <c r="BG32" i="2"/>
  <c r="BM32" i="2" s="1"/>
  <c r="BN32" i="2" s="1"/>
  <c r="BC32" i="2"/>
  <c r="AZ32" i="2"/>
  <c r="AV32" i="2"/>
  <c r="AR32" i="2"/>
  <c r="AJ32" i="2"/>
  <c r="M32" i="2"/>
  <c r="I32" i="2"/>
  <c r="G32" i="2"/>
  <c r="F32" i="2"/>
  <c r="BL31" i="2"/>
  <c r="BK31" i="2" s="1"/>
  <c r="BG31" i="2"/>
  <c r="BM31" i="2" s="1"/>
  <c r="BN31" i="2" s="1"/>
  <c r="BC31" i="2"/>
  <c r="BB31" i="2" s="1"/>
  <c r="BE31" i="2" s="1"/>
  <c r="BF31" i="2" s="1"/>
  <c r="AZ31" i="2"/>
  <c r="AV31" i="2"/>
  <c r="AR31" i="2"/>
  <c r="AJ31" i="2"/>
  <c r="M31" i="2"/>
  <c r="I31" i="2"/>
  <c r="G31" i="2"/>
  <c r="F31" i="2"/>
  <c r="BL30" i="2"/>
  <c r="BK30" i="2" s="1"/>
  <c r="BG30" i="2"/>
  <c r="BM30" i="2" s="1"/>
  <c r="BN30" i="2" s="1"/>
  <c r="BC30" i="2"/>
  <c r="BB30" i="2" s="1"/>
  <c r="BE30" i="2" s="1"/>
  <c r="BF30" i="2" s="1"/>
  <c r="AZ30" i="2"/>
  <c r="AV30" i="2"/>
  <c r="AR30" i="2"/>
  <c r="AJ30" i="2"/>
  <c r="M30" i="2"/>
  <c r="L30" i="2"/>
  <c r="CA30" i="2" s="1"/>
  <c r="I30" i="2"/>
  <c r="G30" i="2"/>
  <c r="F30" i="2"/>
  <c r="BL29" i="2"/>
  <c r="BK29" i="2" s="1"/>
  <c r="BG29" i="2"/>
  <c r="BM29" i="2" s="1"/>
  <c r="BN29" i="2" s="1"/>
  <c r="BC29" i="2"/>
  <c r="BB29" i="2" s="1"/>
  <c r="BE29" i="2" s="1"/>
  <c r="BF29" i="2" s="1"/>
  <c r="AZ29" i="2"/>
  <c r="AV29" i="2"/>
  <c r="AR29" i="2"/>
  <c r="AJ29" i="2"/>
  <c r="M29" i="2"/>
  <c r="L29" i="2"/>
  <c r="CA29" i="2" s="1"/>
  <c r="I29" i="2"/>
  <c r="G29" i="2"/>
  <c r="F29" i="2"/>
  <c r="BL28" i="2"/>
  <c r="BK28" i="2" s="1"/>
  <c r="BG28" i="2"/>
  <c r="BM28" i="2" s="1"/>
  <c r="BN28" i="2" s="1"/>
  <c r="BC28" i="2"/>
  <c r="AZ28" i="2"/>
  <c r="AV28" i="2"/>
  <c r="AR28" i="2"/>
  <c r="AJ28" i="2"/>
  <c r="M28" i="2"/>
  <c r="L28" i="2"/>
  <c r="CA28" i="2" s="1"/>
  <c r="I28" i="2"/>
  <c r="G28" i="2"/>
  <c r="F28" i="2"/>
  <c r="BL27" i="2"/>
  <c r="BK27" i="2" s="1"/>
  <c r="BG27" i="2"/>
  <c r="BM27" i="2" s="1"/>
  <c r="BN27" i="2" s="1"/>
  <c r="BC27" i="2"/>
  <c r="BB27" i="2" s="1"/>
  <c r="BE27" i="2" s="1"/>
  <c r="BF27" i="2" s="1"/>
  <c r="AZ27" i="2"/>
  <c r="AV27" i="2"/>
  <c r="AR27" i="2"/>
  <c r="AJ27" i="2"/>
  <c r="M27" i="2"/>
  <c r="I27" i="2"/>
  <c r="G27" i="2"/>
  <c r="F27" i="2"/>
  <c r="BL26" i="2"/>
  <c r="BK26" i="2" s="1"/>
  <c r="BG26" i="2"/>
  <c r="BM26" i="2" s="1"/>
  <c r="BN26" i="2" s="1"/>
  <c r="BC26" i="2"/>
  <c r="AZ26" i="2"/>
  <c r="AV26" i="2"/>
  <c r="AR26" i="2"/>
  <c r="AJ26" i="2"/>
  <c r="M26" i="2"/>
  <c r="L26" i="2"/>
  <c r="CA26" i="2" s="1"/>
  <c r="I26" i="2"/>
  <c r="G26" i="2"/>
  <c r="F26" i="2"/>
  <c r="BL25" i="2"/>
  <c r="BK25" i="2" s="1"/>
  <c r="BG25" i="2"/>
  <c r="BM25" i="2" s="1"/>
  <c r="BN25" i="2" s="1"/>
  <c r="BC25" i="2"/>
  <c r="AZ25" i="2"/>
  <c r="AV25" i="2"/>
  <c r="AR25" i="2"/>
  <c r="AJ25" i="2"/>
  <c r="M25" i="2"/>
  <c r="L25" i="2"/>
  <c r="CA25" i="2" s="1"/>
  <c r="I25" i="2"/>
  <c r="G25" i="2"/>
  <c r="F25" i="2"/>
  <c r="BL24" i="2"/>
  <c r="BK24" i="2" s="1"/>
  <c r="BG24" i="2"/>
  <c r="BM24" i="2" s="1"/>
  <c r="BN24" i="2" s="1"/>
  <c r="BC24" i="2"/>
  <c r="AZ24" i="2"/>
  <c r="AV24" i="2"/>
  <c r="AR24" i="2"/>
  <c r="AJ24" i="2"/>
  <c r="M24" i="2"/>
  <c r="L24" i="2"/>
  <c r="CA24" i="2" s="1"/>
  <c r="I24" i="2"/>
  <c r="G24" i="2"/>
  <c r="F24" i="2"/>
  <c r="BL23" i="2"/>
  <c r="BK23" i="2" s="1"/>
  <c r="BG23" i="2"/>
  <c r="BM23" i="2" s="1"/>
  <c r="BN23" i="2" s="1"/>
  <c r="BC23" i="2"/>
  <c r="AZ23" i="2"/>
  <c r="AV23" i="2"/>
  <c r="AR23" i="2"/>
  <c r="AJ23" i="2"/>
  <c r="M23" i="2"/>
  <c r="L23" i="2"/>
  <c r="CA23" i="2" s="1"/>
  <c r="I23" i="2"/>
  <c r="G23" i="2"/>
  <c r="F23" i="2"/>
  <c r="BG22" i="2"/>
  <c r="BC22" i="2"/>
  <c r="T22" i="2"/>
  <c r="O22" i="2"/>
  <c r="BL22" i="2" s="1"/>
  <c r="M22" i="2"/>
  <c r="L22" i="2"/>
  <c r="CA22" i="2" s="1"/>
  <c r="I22" i="2"/>
  <c r="G22" i="2"/>
  <c r="F22" i="2"/>
  <c r="BG21" i="2"/>
  <c r="BC21" i="2"/>
  <c r="T21" i="2"/>
  <c r="O21" i="2"/>
  <c r="BL21" i="2" s="1"/>
  <c r="M21" i="2"/>
  <c r="L21" i="2"/>
  <c r="CA21" i="2" s="1"/>
  <c r="I21" i="2"/>
  <c r="G21" i="2"/>
  <c r="F21" i="2"/>
  <c r="BG20" i="2"/>
  <c r="BC20" i="2"/>
  <c r="T20" i="2"/>
  <c r="O20" i="2"/>
  <c r="BL20" i="2" s="1"/>
  <c r="M20" i="2"/>
  <c r="I20" i="2"/>
  <c r="G20" i="2"/>
  <c r="F20" i="2"/>
  <c r="BG19" i="2"/>
  <c r="BC19" i="2"/>
  <c r="Y19" i="2"/>
  <c r="O19" i="2" s="1"/>
  <c r="BL19" i="2" s="1"/>
  <c r="T19" i="2"/>
  <c r="M19" i="2"/>
  <c r="I19" i="2"/>
  <c r="G19" i="2"/>
  <c r="F19" i="2"/>
  <c r="BL18" i="2"/>
  <c r="BG18" i="2"/>
  <c r="BM18" i="2" s="1"/>
  <c r="BN18" i="2" s="1"/>
  <c r="BC18" i="2"/>
  <c r="AZ18" i="2"/>
  <c r="AV18" i="2"/>
  <c r="AR18" i="2"/>
  <c r="AJ18" i="2"/>
  <c r="Y18" i="2"/>
  <c r="T18" i="2"/>
  <c r="M18" i="2"/>
  <c r="I18" i="2"/>
  <c r="G18" i="2"/>
  <c r="F18" i="2"/>
  <c r="BL17" i="2"/>
  <c r="BG17" i="2"/>
  <c r="BM17" i="2" s="1"/>
  <c r="BN17" i="2" s="1"/>
  <c r="BC17" i="2"/>
  <c r="BZ17" i="2" s="1"/>
  <c r="AZ17" i="2"/>
  <c r="AV17" i="2"/>
  <c r="AR17" i="2"/>
  <c r="AJ17" i="2"/>
  <c r="Y17" i="2"/>
  <c r="T17" i="2"/>
  <c r="M17" i="2"/>
  <c r="I17" i="2"/>
  <c r="G17" i="2"/>
  <c r="F17" i="2"/>
  <c r="BG16" i="2"/>
  <c r="BM16" i="2" s="1"/>
  <c r="BN16" i="2" s="1"/>
  <c r="BC16" i="2"/>
  <c r="AZ16" i="2"/>
  <c r="AV16" i="2"/>
  <c r="AR16" i="2"/>
  <c r="AJ16" i="2"/>
  <c r="Y16" i="2"/>
  <c r="O16" i="2" s="1"/>
  <c r="BL16" i="2" s="1"/>
  <c r="T16" i="2"/>
  <c r="X16" i="2" s="1"/>
  <c r="M16" i="2"/>
  <c r="L16" i="2"/>
  <c r="I16" i="2"/>
  <c r="G16" i="2"/>
  <c r="F16" i="2"/>
  <c r="BG15" i="2"/>
  <c r="BC15" i="2"/>
  <c r="Y15" i="2"/>
  <c r="O15" i="2" s="1"/>
  <c r="BL15" i="2" s="1"/>
  <c r="T15" i="2"/>
  <c r="X15" i="2" s="1"/>
  <c r="M15" i="2"/>
  <c r="I15" i="2"/>
  <c r="G15" i="2"/>
  <c r="F15" i="2"/>
  <c r="BG14" i="2"/>
  <c r="BM14" i="2" s="1"/>
  <c r="BN14" i="2" s="1"/>
  <c r="BC14" i="2"/>
  <c r="AZ14" i="2"/>
  <c r="AV14" i="2"/>
  <c r="AR14" i="2"/>
  <c r="AJ14" i="2"/>
  <c r="Y14" i="2"/>
  <c r="O14" i="2" s="1"/>
  <c r="BL14" i="2" s="1"/>
  <c r="T14" i="2"/>
  <c r="X14" i="2" s="1"/>
  <c r="M14" i="2"/>
  <c r="L14" i="2"/>
  <c r="I14" i="2"/>
  <c r="G14" i="2"/>
  <c r="F14" i="2"/>
  <c r="BG13" i="2"/>
  <c r="BM13" i="2" s="1"/>
  <c r="BN13" i="2" s="1"/>
  <c r="BC13" i="2"/>
  <c r="AZ13" i="2"/>
  <c r="AV13" i="2"/>
  <c r="AR13" i="2"/>
  <c r="AJ13" i="2"/>
  <c r="Y13" i="2"/>
  <c r="O13" i="2" s="1"/>
  <c r="BL13" i="2" s="1"/>
  <c r="T13" i="2"/>
  <c r="M13" i="2"/>
  <c r="L13" i="2"/>
  <c r="I13" i="2"/>
  <c r="G13" i="2"/>
  <c r="F13" i="2"/>
  <c r="BG12" i="2"/>
  <c r="BM12" i="2" s="1"/>
  <c r="BN12" i="2" s="1"/>
  <c r="BC12" i="2"/>
  <c r="AZ12" i="2"/>
  <c r="AV12" i="2"/>
  <c r="AR12" i="2"/>
  <c r="AJ12" i="2"/>
  <c r="Y12" i="2"/>
  <c r="O12" i="2" s="1"/>
  <c r="BL12" i="2" s="1"/>
  <c r="T12" i="2"/>
  <c r="M12" i="2"/>
  <c r="L12" i="2"/>
  <c r="I12" i="2"/>
  <c r="G12" i="2"/>
  <c r="F12" i="2"/>
  <c r="BG11" i="2"/>
  <c r="BM11" i="2" s="1"/>
  <c r="BN11" i="2" s="1"/>
  <c r="BC11" i="2"/>
  <c r="AZ11" i="2"/>
  <c r="AV11" i="2"/>
  <c r="AR11" i="2"/>
  <c r="AJ11" i="2"/>
  <c r="Y11" i="2"/>
  <c r="O11" i="2" s="1"/>
  <c r="BL11" i="2" s="1"/>
  <c r="T11" i="2"/>
  <c r="M11" i="2"/>
  <c r="L11" i="2"/>
  <c r="I11" i="2"/>
  <c r="G11" i="2"/>
  <c r="F11" i="2"/>
  <c r="BL10" i="2"/>
  <c r="BG10" i="2"/>
  <c r="BM10" i="2" s="1"/>
  <c r="BN10" i="2" s="1"/>
  <c r="BC10" i="2"/>
  <c r="BZ10" i="2" s="1"/>
  <c r="AZ10" i="2"/>
  <c r="AV10" i="2"/>
  <c r="AR10" i="2"/>
  <c r="AJ10" i="2"/>
  <c r="T10" i="2"/>
  <c r="M10" i="2"/>
  <c r="L10" i="2"/>
  <c r="I10" i="2"/>
  <c r="G10" i="2"/>
  <c r="F10" i="2"/>
  <c r="BL9" i="2"/>
  <c r="BG9" i="2"/>
  <c r="BM9" i="2" s="1"/>
  <c r="BN9" i="2" s="1"/>
  <c r="BC9" i="2"/>
  <c r="AZ9" i="2"/>
  <c r="AV9" i="2"/>
  <c r="AR9" i="2"/>
  <c r="AJ9" i="2"/>
  <c r="T9" i="2"/>
  <c r="X9" i="2" s="1"/>
  <c r="M9" i="2"/>
  <c r="L9" i="2"/>
  <c r="CA9" i="2" s="1"/>
  <c r="I9" i="2"/>
  <c r="G9" i="2"/>
  <c r="F9" i="2"/>
  <c r="BL8" i="2"/>
  <c r="BG8" i="2"/>
  <c r="BM8" i="2" s="1"/>
  <c r="BN8" i="2" s="1"/>
  <c r="BC8" i="2"/>
  <c r="BZ8" i="2" s="1"/>
  <c r="AZ8" i="2"/>
  <c r="AV8" i="2"/>
  <c r="AR8" i="2"/>
  <c r="AJ8" i="2"/>
  <c r="T8" i="2"/>
  <c r="X8" i="2" s="1"/>
  <c r="M8" i="2"/>
  <c r="L8" i="2"/>
  <c r="CA8" i="2" s="1"/>
  <c r="I8" i="2"/>
  <c r="G8" i="2"/>
  <c r="F8" i="2"/>
  <c r="BG7" i="2"/>
  <c r="BM7" i="2" s="1"/>
  <c r="BN7" i="2" s="1"/>
  <c r="BC7" i="2"/>
  <c r="AZ7" i="2"/>
  <c r="AV7" i="2"/>
  <c r="AR7" i="2"/>
  <c r="AJ7" i="2"/>
  <c r="T7" i="2"/>
  <c r="X7" i="2" s="1"/>
  <c r="O7" i="2"/>
  <c r="BL7" i="2" s="1"/>
  <c r="M7" i="2"/>
  <c r="L7" i="2"/>
  <c r="CA7" i="2" s="1"/>
  <c r="I7" i="2"/>
  <c r="G7" i="2"/>
  <c r="F7" i="2"/>
  <c r="BL6" i="2"/>
  <c r="BG6" i="2"/>
  <c r="BC6" i="2"/>
  <c r="BZ6" i="2" s="1"/>
  <c r="T6" i="2"/>
  <c r="BX6" i="2" s="1"/>
  <c r="M6" i="2"/>
  <c r="L6" i="2"/>
  <c r="CA6" i="2" s="1"/>
  <c r="I6" i="2"/>
  <c r="G6" i="2"/>
  <c r="F6" i="2"/>
  <c r="BL5" i="2"/>
  <c r="BG5" i="2"/>
  <c r="BC5" i="2"/>
  <c r="BZ5" i="2" s="1"/>
  <c r="Y5" i="2"/>
  <c r="AB5" i="2" s="1"/>
  <c r="T5" i="2"/>
  <c r="M5" i="2"/>
  <c r="L5" i="2"/>
  <c r="I5" i="2"/>
  <c r="G5" i="2"/>
  <c r="F5" i="2"/>
  <c r="BL4" i="2"/>
  <c r="BG4" i="2"/>
  <c r="BM4" i="2" s="1"/>
  <c r="BN4" i="2" s="1"/>
  <c r="BC4" i="2"/>
  <c r="AZ4" i="2"/>
  <c r="AV4" i="2"/>
  <c r="AR4" i="2"/>
  <c r="AJ4" i="2"/>
  <c r="T4" i="2"/>
  <c r="X4" i="2" s="1"/>
  <c r="M4" i="2"/>
  <c r="L4" i="2"/>
  <c r="CA4" i="2" s="1"/>
  <c r="I4" i="2"/>
  <c r="G4" i="2"/>
  <c r="F4" i="2"/>
  <c r="BL3" i="2"/>
  <c r="BG3" i="2"/>
  <c r="BM3" i="2" s="1"/>
  <c r="BN3" i="2" s="1"/>
  <c r="BC3" i="2"/>
  <c r="BZ3" i="2" s="1"/>
  <c r="AZ3" i="2"/>
  <c r="AV3" i="2"/>
  <c r="AR3" i="2"/>
  <c r="AJ3" i="2"/>
  <c r="T3" i="2"/>
  <c r="X3" i="2" s="1"/>
  <c r="M3" i="2"/>
  <c r="L3" i="2"/>
  <c r="CA3" i="2" s="1"/>
  <c r="I3" i="2"/>
  <c r="G3" i="2"/>
  <c r="F3" i="2"/>
  <c r="BL2" i="2"/>
  <c r="BG2" i="2"/>
  <c r="BM2" i="2" s="1"/>
  <c r="BN2" i="2" s="1"/>
  <c r="BC2" i="2"/>
  <c r="AZ2" i="2"/>
  <c r="AV2" i="2"/>
  <c r="AR2" i="2"/>
  <c r="AJ2" i="2"/>
  <c r="T2" i="2"/>
  <c r="X2" i="2" s="1"/>
  <c r="M2" i="2"/>
  <c r="I2" i="2"/>
  <c r="G2" i="2"/>
  <c r="F2" i="2"/>
  <c r="Z7" i="1"/>
  <c r="Z8" i="1"/>
  <c r="Z9" i="1"/>
  <c r="Z10" i="1"/>
  <c r="Z11" i="1"/>
  <c r="Z12" i="1"/>
  <c r="Z13" i="1"/>
  <c r="Z14" i="1"/>
  <c r="Z15" i="1"/>
  <c r="Z16" i="1"/>
  <c r="Z17" i="1"/>
  <c r="Z19" i="1"/>
  <c r="Z20" i="1"/>
  <c r="Z21" i="1"/>
  <c r="Z22" i="1"/>
  <c r="Z23" i="1"/>
  <c r="Z24" i="1"/>
  <c r="Z25" i="1"/>
  <c r="Z26" i="1"/>
  <c r="Z27" i="1"/>
  <c r="Z28" i="1"/>
  <c r="Z29" i="1"/>
  <c r="Z30" i="1"/>
  <c r="Z6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6" i="1"/>
  <c r="AH18" i="1"/>
  <c r="W18" i="1" s="1"/>
  <c r="BZ16" i="2" l="1"/>
  <c r="BZ11" i="2"/>
  <c r="BZ15" i="2"/>
  <c r="BZ22" i="2"/>
  <c r="BB2" i="2"/>
  <c r="BE2" i="2" s="1"/>
  <c r="BF2" i="2" s="1"/>
  <c r="BZ2" i="2"/>
  <c r="BB9" i="2"/>
  <c r="BE9" i="2" s="1"/>
  <c r="BF9" i="2" s="1"/>
  <c r="BZ9" i="2"/>
  <c r="X10" i="2"/>
  <c r="BX10" i="2"/>
  <c r="BZ12" i="2"/>
  <c r="BB18" i="2"/>
  <c r="BE18" i="2" s="1"/>
  <c r="BF18" i="2" s="1"/>
  <c r="BZ18" i="2"/>
  <c r="X20" i="2"/>
  <c r="BX20" i="2"/>
  <c r="X11" i="2"/>
  <c r="BX11" i="2"/>
  <c r="BB13" i="2"/>
  <c r="BE13" i="2" s="1"/>
  <c r="BF13" i="2" s="1"/>
  <c r="BZ13" i="2"/>
  <c r="X17" i="2"/>
  <c r="BX17" i="2"/>
  <c r="BZ19" i="2"/>
  <c r="BZ20" i="2"/>
  <c r="X21" i="2"/>
  <c r="BX21" i="2"/>
  <c r="BB4" i="2"/>
  <c r="BE4" i="2" s="1"/>
  <c r="BF4" i="2" s="1"/>
  <c r="BZ4" i="2"/>
  <c r="X5" i="2"/>
  <c r="BX5" i="2"/>
  <c r="X12" i="2"/>
  <c r="BX12" i="2"/>
  <c r="BZ14" i="2"/>
  <c r="X18" i="2"/>
  <c r="BX18" i="2"/>
  <c r="BZ21" i="2"/>
  <c r="X22" i="2"/>
  <c r="BX22" i="2"/>
  <c r="BB7" i="2"/>
  <c r="BE7" i="2" s="1"/>
  <c r="BF7" i="2" s="1"/>
  <c r="BZ7" i="2"/>
  <c r="X13" i="2"/>
  <c r="BX13" i="2"/>
  <c r="X19" i="2"/>
  <c r="BX19" i="2"/>
  <c r="J34" i="2"/>
  <c r="AS6" i="2"/>
  <c r="BK4" i="2"/>
  <c r="BK13" i="2"/>
  <c r="BK19" i="2"/>
  <c r="BK7" i="2"/>
  <c r="BK8" i="2"/>
  <c r="BK14" i="2"/>
  <c r="BK17" i="2"/>
  <c r="BK2" i="2"/>
  <c r="BK5" i="2"/>
  <c r="BK9" i="2"/>
  <c r="BK11" i="2"/>
  <c r="BK16" i="2"/>
  <c r="BK18" i="2"/>
  <c r="BK21" i="2"/>
  <c r="BK15" i="2"/>
  <c r="BK22" i="2"/>
  <c r="BK3" i="2"/>
  <c r="BK6" i="2"/>
  <c r="BK10" i="2"/>
  <c r="BK12" i="2"/>
  <c r="BK20" i="2"/>
  <c r="BO40" i="2"/>
  <c r="BP40" i="2" s="1"/>
  <c r="BK40" i="2"/>
  <c r="AO6" i="2"/>
  <c r="AY8" i="2"/>
  <c r="AT8" i="2" s="1"/>
  <c r="AP4" i="2"/>
  <c r="CA16" i="2"/>
  <c r="J17" i="2"/>
  <c r="BA17" i="2"/>
  <c r="AP8" i="2"/>
  <c r="AO9" i="2"/>
  <c r="AO37" i="2"/>
  <c r="BA18" i="2"/>
  <c r="BO22" i="2"/>
  <c r="BP22" i="2" s="1"/>
  <c r="AY30" i="2"/>
  <c r="AT30" i="2" s="1"/>
  <c r="X6" i="2"/>
  <c r="AM41" i="2"/>
  <c r="AN41" i="2" s="1"/>
  <c r="J14" i="5"/>
  <c r="U36" i="3"/>
  <c r="Z18" i="3"/>
  <c r="CA15" i="2"/>
  <c r="BA30" i="2"/>
  <c r="BB41" i="2"/>
  <c r="BE41" i="2" s="1"/>
  <c r="BF41" i="2" s="1"/>
  <c r="AM2" i="2"/>
  <c r="AN2" i="2" s="1"/>
  <c r="AO2" i="2"/>
  <c r="BA13" i="2"/>
  <c r="AY28" i="2"/>
  <c r="AT28" i="2" s="1"/>
  <c r="V37" i="3"/>
  <c r="BO24" i="2"/>
  <c r="BP24" i="2" s="1"/>
  <c r="BO26" i="2"/>
  <c r="BP26" i="2" s="1"/>
  <c r="AE8" i="5"/>
  <c r="H14" i="5"/>
  <c r="AE10" i="5"/>
  <c r="AE4" i="5"/>
  <c r="AS11" i="5"/>
  <c r="AE9" i="5"/>
  <c r="AF20" i="5"/>
  <c r="AS20" i="5" s="1"/>
  <c r="P22" i="5"/>
  <c r="AE7" i="5"/>
  <c r="AF7" i="5"/>
  <c r="AE6" i="5"/>
  <c r="AE5" i="5"/>
  <c r="BC14" i="5"/>
  <c r="P14" i="5"/>
  <c r="AE14" i="5"/>
  <c r="AF14" i="5"/>
  <c r="AF16" i="5"/>
  <c r="AS16" i="5" s="1"/>
  <c r="AF4" i="5"/>
  <c r="AE19" i="5"/>
  <c r="AS19" i="5" s="1"/>
  <c r="AF12" i="5"/>
  <c r="AS12" i="5" s="1"/>
  <c r="AF3" i="5"/>
  <c r="AF8" i="5"/>
  <c r="AF23" i="5"/>
  <c r="AF22" i="5"/>
  <c r="AS22" i="5" s="1"/>
  <c r="AF18" i="5"/>
  <c r="AS18" i="5" s="1"/>
  <c r="AF10" i="5"/>
  <c r="AF6" i="5"/>
  <c r="J9" i="5"/>
  <c r="H17" i="5"/>
  <c r="J21" i="5"/>
  <c r="J28" i="5"/>
  <c r="AE23" i="5"/>
  <c r="AE3" i="5"/>
  <c r="AS3" i="5" s="1"/>
  <c r="AF21" i="5"/>
  <c r="AS21" i="5" s="1"/>
  <c r="AF17" i="5"/>
  <c r="AS17" i="5" s="1"/>
  <c r="AF13" i="5"/>
  <c r="AS13" i="5" s="1"/>
  <c r="AF9" i="5"/>
  <c r="AF5" i="5"/>
  <c r="P21" i="5"/>
  <c r="P17" i="5"/>
  <c r="P13" i="5"/>
  <c r="P20" i="5"/>
  <c r="P16" i="5"/>
  <c r="P12" i="5"/>
  <c r="P8" i="5"/>
  <c r="J27" i="5"/>
  <c r="BC39" i="5"/>
  <c r="J19" i="5"/>
  <c r="J32" i="5"/>
  <c r="BC17" i="5"/>
  <c r="H5" i="5"/>
  <c r="J8" i="5"/>
  <c r="J26" i="5"/>
  <c r="J4" i="5"/>
  <c r="H12" i="5"/>
  <c r="J13" i="5"/>
  <c r="H16" i="5"/>
  <c r="BC40" i="5"/>
  <c r="BC12" i="5"/>
  <c r="J37" i="5"/>
  <c r="H25" i="5"/>
  <c r="BC13" i="5"/>
  <c r="BC16" i="5"/>
  <c r="J3" i="5"/>
  <c r="J20" i="5"/>
  <c r="J24" i="5"/>
  <c r="H27" i="5"/>
  <c r="H34" i="5"/>
  <c r="H10" i="5"/>
  <c r="BC6" i="5"/>
  <c r="U35" i="5"/>
  <c r="V35" i="5" s="1"/>
  <c r="H9" i="5"/>
  <c r="U33" i="5"/>
  <c r="V33" i="5" s="1"/>
  <c r="U32" i="5"/>
  <c r="V32" i="5" s="1"/>
  <c r="H23" i="5"/>
  <c r="H33" i="5"/>
  <c r="J36" i="5"/>
  <c r="J6" i="5"/>
  <c r="H7" i="5"/>
  <c r="H18" i="5"/>
  <c r="H31" i="5"/>
  <c r="H35" i="5"/>
  <c r="H37" i="5"/>
  <c r="J38" i="5"/>
  <c r="H3" i="5"/>
  <c r="H13" i="5"/>
  <c r="J10" i="5"/>
  <c r="J11" i="5"/>
  <c r="J12" i="5"/>
  <c r="H20" i="5"/>
  <c r="H21" i="5"/>
  <c r="J31" i="5"/>
  <c r="H32" i="5"/>
  <c r="J42" i="5"/>
  <c r="H6" i="5"/>
  <c r="J7" i="5"/>
  <c r="U24" i="5"/>
  <c r="V24" i="5" s="1"/>
  <c r="H22" i="5"/>
  <c r="J23" i="5"/>
  <c r="H38" i="5"/>
  <c r="U38" i="5"/>
  <c r="V38" i="5" s="1"/>
  <c r="BC41" i="5"/>
  <c r="V5" i="5"/>
  <c r="V8" i="5"/>
  <c r="H29" i="5"/>
  <c r="J29" i="5"/>
  <c r="U31" i="5"/>
  <c r="U28" i="5"/>
  <c r="U25" i="5"/>
  <c r="V25" i="5" s="1"/>
  <c r="U36" i="5"/>
  <c r="U30" i="5"/>
  <c r="V30" i="5" s="1"/>
  <c r="U26" i="5"/>
  <c r="U29" i="5"/>
  <c r="V29" i="5" s="1"/>
  <c r="H4" i="5"/>
  <c r="V6" i="5"/>
  <c r="H8" i="5"/>
  <c r="V9" i="5"/>
  <c r="H11" i="5"/>
  <c r="J17" i="5"/>
  <c r="J18" i="5"/>
  <c r="J22" i="5"/>
  <c r="J34" i="5"/>
  <c r="U37" i="5"/>
  <c r="U40" i="5"/>
  <c r="J5" i="5"/>
  <c r="J16" i="5"/>
  <c r="U41" i="5"/>
  <c r="U34" i="5"/>
  <c r="U39" i="5"/>
  <c r="H19" i="5"/>
  <c r="U27" i="5"/>
  <c r="V27" i="5" s="1"/>
  <c r="H30" i="5"/>
  <c r="J30" i="5"/>
  <c r="H26" i="5"/>
  <c r="H28" i="5"/>
  <c r="J35" i="5"/>
  <c r="H24" i="5"/>
  <c r="J25" i="5"/>
  <c r="J33" i="5"/>
  <c r="H36" i="5"/>
  <c r="H42" i="5"/>
  <c r="U37" i="3"/>
  <c r="J9" i="2"/>
  <c r="BA10" i="2"/>
  <c r="BA12" i="2"/>
  <c r="CA14" i="2"/>
  <c r="H19" i="2"/>
  <c r="H20" i="2"/>
  <c r="J21" i="2"/>
  <c r="H29" i="2"/>
  <c r="H32" i="2"/>
  <c r="BA38" i="2"/>
  <c r="AY40" i="2"/>
  <c r="AT40" i="2" s="1"/>
  <c r="BO41" i="2"/>
  <c r="AS12" i="2"/>
  <c r="AS15" i="2"/>
  <c r="J2" i="2"/>
  <c r="AS2" i="2"/>
  <c r="AS5" i="2"/>
  <c r="BO5" i="2"/>
  <c r="AP9" i="2"/>
  <c r="J12" i="2"/>
  <c r="J15" i="2"/>
  <c r="BO20" i="2"/>
  <c r="BA23" i="2"/>
  <c r="J28" i="2"/>
  <c r="BA29" i="2"/>
  <c r="AY31" i="2"/>
  <c r="AT31" i="2" s="1"/>
  <c r="BA36" i="2"/>
  <c r="AY36" i="2"/>
  <c r="AT36" i="2" s="1"/>
  <c r="BA37" i="2"/>
  <c r="BG41" i="2"/>
  <c r="BM41" i="2" s="1"/>
  <c r="BN41" i="2" s="1"/>
  <c r="AP3" i="2"/>
  <c r="AY5" i="2"/>
  <c r="AT5" i="2" s="1"/>
  <c r="H7" i="2"/>
  <c r="BO7" i="2"/>
  <c r="AS7" i="2"/>
  <c r="AO8" i="2"/>
  <c r="BA8" i="2"/>
  <c r="CA13" i="2"/>
  <c r="AM18" i="2"/>
  <c r="AN18" i="2" s="1"/>
  <c r="H22" i="2"/>
  <c r="AM22" i="2"/>
  <c r="BA32" i="2"/>
  <c r="H36" i="2"/>
  <c r="AR41" i="2"/>
  <c r="AY41" i="2"/>
  <c r="AT41" i="2" s="1"/>
  <c r="BA3" i="2"/>
  <c r="H4" i="2"/>
  <c r="AO5" i="2"/>
  <c r="J6" i="2"/>
  <c r="J8" i="2"/>
  <c r="AS9" i="2"/>
  <c r="AY10" i="2"/>
  <c r="AT10" i="2" s="1"/>
  <c r="BA11" i="2"/>
  <c r="H13" i="2"/>
  <c r="AY14" i="2"/>
  <c r="AT14" i="2" s="1"/>
  <c r="BA14" i="2"/>
  <c r="BO17" i="2"/>
  <c r="AY18" i="2"/>
  <c r="AT18" i="2" s="1"/>
  <c r="AS19" i="2"/>
  <c r="AM20" i="2"/>
  <c r="H21" i="2"/>
  <c r="AP24" i="2"/>
  <c r="AO25" i="2"/>
  <c r="BO31" i="2"/>
  <c r="BP31" i="2" s="1"/>
  <c r="H34" i="2"/>
  <c r="AO35" i="2"/>
  <c r="BO36" i="2"/>
  <c r="BP36" i="2" s="1"/>
  <c r="AS41" i="2"/>
  <c r="T27" i="2"/>
  <c r="BX27" i="2" s="1"/>
  <c r="AM15" i="2"/>
  <c r="AN15" i="2" s="1"/>
  <c r="AM19" i="2"/>
  <c r="J20" i="2"/>
  <c r="AY22" i="2"/>
  <c r="AT22" i="2" s="1"/>
  <c r="H23" i="2"/>
  <c r="J24" i="2"/>
  <c r="J26" i="2"/>
  <c r="H30" i="2"/>
  <c r="J35" i="2"/>
  <c r="BB37" i="2"/>
  <c r="BE37" i="2" s="1"/>
  <c r="BF37" i="2" s="1"/>
  <c r="CA38" i="2"/>
  <c r="CA40" i="2"/>
  <c r="H3" i="2"/>
  <c r="AM4" i="2"/>
  <c r="AN4" i="2" s="1"/>
  <c r="AY4" i="2"/>
  <c r="AT4" i="2" s="1"/>
  <c r="BO4" i="2"/>
  <c r="AY6" i="2"/>
  <c r="AT6" i="2" s="1"/>
  <c r="BO6" i="2"/>
  <c r="BO9" i="2"/>
  <c r="CA12" i="2"/>
  <c r="AO17" i="2"/>
  <c r="AY17" i="2"/>
  <c r="AT17" i="2" s="1"/>
  <c r="AY26" i="2"/>
  <c r="AT26" i="2" s="1"/>
  <c r="BO28" i="2"/>
  <c r="BP28" i="2" s="1"/>
  <c r="BO30" i="2"/>
  <c r="BP30" i="2" s="1"/>
  <c r="H33" i="2"/>
  <c r="H35" i="2"/>
  <c r="BA35" i="2"/>
  <c r="CA39" i="2"/>
  <c r="H2" i="2"/>
  <c r="AP2" i="2"/>
  <c r="AY2" i="2"/>
  <c r="AT2" i="2" s="1"/>
  <c r="BO2" i="2"/>
  <c r="AS4" i="2"/>
  <c r="CA5" i="2"/>
  <c r="H6" i="2"/>
  <c r="BA7" i="2"/>
  <c r="H9" i="2"/>
  <c r="AY9" i="2"/>
  <c r="AT9" i="2" s="1"/>
  <c r="CA11" i="2"/>
  <c r="J14" i="2"/>
  <c r="AS14" i="2"/>
  <c r="AS16" i="2"/>
  <c r="H17" i="2"/>
  <c r="H18" i="2"/>
  <c r="BO18" i="2"/>
  <c r="H24" i="2"/>
  <c r="AY24" i="2"/>
  <c r="AT24" i="2" s="1"/>
  <c r="H25" i="2"/>
  <c r="BA25" i="2"/>
  <c r="H26" i="2"/>
  <c r="BA26" i="2"/>
  <c r="AO36" i="2"/>
  <c r="BA40" i="2"/>
  <c r="BA41" i="2"/>
  <c r="AO4" i="2"/>
  <c r="H8" i="2"/>
  <c r="H10" i="2"/>
  <c r="H11" i="2"/>
  <c r="H12" i="2"/>
  <c r="AS13" i="2"/>
  <c r="H15" i="2"/>
  <c r="BA16" i="2"/>
  <c r="BB17" i="2"/>
  <c r="BE17" i="2" s="1"/>
  <c r="BF17" i="2" s="1"/>
  <c r="AM17" i="2"/>
  <c r="AN17" i="2" s="1"/>
  <c r="J19" i="2"/>
  <c r="AY20" i="2"/>
  <c r="AT20" i="2" s="1"/>
  <c r="J22" i="2"/>
  <c r="AS22" i="2"/>
  <c r="BB26" i="2"/>
  <c r="BE26" i="2" s="1"/>
  <c r="BF26" i="2" s="1"/>
  <c r="H27" i="2"/>
  <c r="H28" i="2"/>
  <c r="J29" i="2"/>
  <c r="AY29" i="2"/>
  <c r="AT29" i="2" s="1"/>
  <c r="J31" i="2"/>
  <c r="BA31" i="2"/>
  <c r="J36" i="2"/>
  <c r="AP36" i="2"/>
  <c r="AY37" i="2"/>
  <c r="AT37" i="2" s="1"/>
  <c r="Z18" i="1"/>
  <c r="V37" i="1" s="1"/>
  <c r="AY12" i="2"/>
  <c r="AM12" i="2"/>
  <c r="AN12" i="2" s="1"/>
  <c r="AY11" i="2"/>
  <c r="AT11" i="2" s="1"/>
  <c r="AM11" i="2"/>
  <c r="AN11" i="2" s="1"/>
  <c r="AY13" i="2"/>
  <c r="AT13" i="2" s="1"/>
  <c r="BO13" i="2"/>
  <c r="AM13" i="2"/>
  <c r="AN13" i="2" s="1"/>
  <c r="J4" i="2"/>
  <c r="T37" i="2"/>
  <c r="T36" i="2"/>
  <c r="T32" i="2"/>
  <c r="BX32" i="2" s="1"/>
  <c r="BO11" i="2"/>
  <c r="AS11" i="2"/>
  <c r="BB11" i="2"/>
  <c r="BE11" i="2" s="1"/>
  <c r="BF11" i="2" s="1"/>
  <c r="H16" i="2"/>
  <c r="J16" i="2"/>
  <c r="T23" i="2"/>
  <c r="T40" i="2"/>
  <c r="BX40" i="2" s="1"/>
  <c r="T39" i="2"/>
  <c r="BX39" i="2" s="1"/>
  <c r="T38" i="2"/>
  <c r="BX38" i="2" s="1"/>
  <c r="T33" i="2"/>
  <c r="AP7" i="2"/>
  <c r="BO12" i="2"/>
  <c r="BB12" i="2"/>
  <c r="BE12" i="2" s="1"/>
  <c r="BF12" i="2" s="1"/>
  <c r="AT12" i="2"/>
  <c r="BO3" i="2"/>
  <c r="BB3" i="2"/>
  <c r="BE3" i="2" s="1"/>
  <c r="BF3" i="2" s="1"/>
  <c r="AS3" i="2"/>
  <c r="BO10" i="2"/>
  <c r="BB10" i="2"/>
  <c r="BE10" i="2" s="1"/>
  <c r="BF10" i="2" s="1"/>
  <c r="AS10" i="2"/>
  <c r="AP14" i="2"/>
  <c r="AO14" i="2"/>
  <c r="AM14" i="2"/>
  <c r="AN14" i="2" s="1"/>
  <c r="BO14" i="2"/>
  <c r="BB14" i="2"/>
  <c r="BE14" i="2" s="1"/>
  <c r="BF14" i="2" s="1"/>
  <c r="AP16" i="2"/>
  <c r="AO16" i="2"/>
  <c r="AY16" i="2"/>
  <c r="AT16" i="2" s="1"/>
  <c r="AM16" i="2"/>
  <c r="AN16" i="2" s="1"/>
  <c r="BO21" i="2"/>
  <c r="AO7" i="2"/>
  <c r="AY7" i="2"/>
  <c r="AT7" i="2" s="1"/>
  <c r="AM7" i="2"/>
  <c r="AN7" i="2" s="1"/>
  <c r="AM21" i="2"/>
  <c r="AY21" i="2"/>
  <c r="AT21" i="2" s="1"/>
  <c r="BA2" i="2"/>
  <c r="AM3" i="2"/>
  <c r="AN3" i="2" s="1"/>
  <c r="BA4" i="2"/>
  <c r="J3" i="2"/>
  <c r="AO3" i="2"/>
  <c r="AY3" i="2"/>
  <c r="AT3" i="2" s="1"/>
  <c r="H5" i="2"/>
  <c r="J7" i="2"/>
  <c r="AM8" i="2"/>
  <c r="AN8" i="2" s="1"/>
  <c r="BO8" i="2"/>
  <c r="BB8" i="2"/>
  <c r="BE8" i="2" s="1"/>
  <c r="BF8" i="2" s="1"/>
  <c r="AS8" i="2"/>
  <c r="BA9" i="2"/>
  <c r="AM10" i="2"/>
  <c r="AN10" i="2" s="1"/>
  <c r="AP15" i="2"/>
  <c r="BO15" i="2"/>
  <c r="AY15" i="2"/>
  <c r="AT15" i="2" s="1"/>
  <c r="AO15" i="2"/>
  <c r="BB23" i="2"/>
  <c r="BE23" i="2" s="1"/>
  <c r="BF23" i="2" s="1"/>
  <c r="BB32" i="2"/>
  <c r="BE32" i="2" s="1"/>
  <c r="BF32" i="2" s="1"/>
  <c r="BO32" i="2"/>
  <c r="BP32" i="2" s="1"/>
  <c r="H37" i="2"/>
  <c r="J37" i="2"/>
  <c r="BO38" i="2"/>
  <c r="BP38" i="2" s="1"/>
  <c r="AY38" i="2"/>
  <c r="AT38" i="2" s="1"/>
  <c r="H41" i="2"/>
  <c r="J41" i="2"/>
  <c r="J5" i="2"/>
  <c r="T31" i="2"/>
  <c r="J10" i="2"/>
  <c r="J11" i="2"/>
  <c r="J13" i="2"/>
  <c r="H14" i="2"/>
  <c r="J18" i="2"/>
  <c r="AY19" i="2"/>
  <c r="AT19" i="2" s="1"/>
  <c r="AY23" i="2"/>
  <c r="AT23" i="2" s="1"/>
  <c r="BO23" i="2"/>
  <c r="J25" i="2"/>
  <c r="AY27" i="2"/>
  <c r="AT27" i="2" s="1"/>
  <c r="J30" i="2"/>
  <c r="J32" i="2"/>
  <c r="AY32" i="2"/>
  <c r="AT32" i="2" s="1"/>
  <c r="AY33" i="2"/>
  <c r="AT33" i="2" s="1"/>
  <c r="BB34" i="2"/>
  <c r="BE34" i="2" s="1"/>
  <c r="BF34" i="2" s="1"/>
  <c r="BO34" i="2"/>
  <c r="AY34" i="2"/>
  <c r="AT34" i="2" s="1"/>
  <c r="AS18" i="2"/>
  <c r="BO19" i="2"/>
  <c r="AS20" i="2"/>
  <c r="T30" i="2"/>
  <c r="T24" i="2"/>
  <c r="T28" i="2"/>
  <c r="BX28" i="2" s="1"/>
  <c r="T35" i="2"/>
  <c r="T29" i="2"/>
  <c r="BX29" i="2" s="1"/>
  <c r="T26" i="2"/>
  <c r="T25" i="2"/>
  <c r="AM5" i="2"/>
  <c r="AN5" i="2" s="1"/>
  <c r="AM6" i="2"/>
  <c r="AN6" i="2" s="1"/>
  <c r="T34" i="2"/>
  <c r="AM9" i="2"/>
  <c r="AN9" i="2" s="1"/>
  <c r="BO16" i="2"/>
  <c r="BB16" i="2"/>
  <c r="BE16" i="2" s="1"/>
  <c r="BF16" i="2" s="1"/>
  <c r="AS17" i="2"/>
  <c r="AS21" i="2"/>
  <c r="BB24" i="2"/>
  <c r="BE24" i="2" s="1"/>
  <c r="BF24" i="2" s="1"/>
  <c r="BO27" i="2"/>
  <c r="BP27" i="2" s="1"/>
  <c r="BB28" i="2"/>
  <c r="BE28" i="2" s="1"/>
  <c r="BF28" i="2" s="1"/>
  <c r="BA24" i="2"/>
  <c r="BO25" i="2"/>
  <c r="BP25" i="2" s="1"/>
  <c r="BB25" i="2"/>
  <c r="BE25" i="2" s="1"/>
  <c r="BF25" i="2" s="1"/>
  <c r="AP25" i="2"/>
  <c r="BA28" i="2"/>
  <c r="BO29" i="2"/>
  <c r="BP29" i="2" s="1"/>
  <c r="BO33" i="2"/>
  <c r="BA34" i="2"/>
  <c r="BO35" i="2"/>
  <c r="BP35" i="2" s="1"/>
  <c r="BB35" i="2"/>
  <c r="BE35" i="2" s="1"/>
  <c r="BF35" i="2" s="1"/>
  <c r="AP35" i="2"/>
  <c r="AP37" i="2"/>
  <c r="BA39" i="2"/>
  <c r="J23" i="2"/>
  <c r="AO24" i="2"/>
  <c r="AY25" i="2"/>
  <c r="AT25" i="2" s="1"/>
  <c r="J27" i="2"/>
  <c r="BA27" i="2"/>
  <c r="H31" i="2"/>
  <c r="J33" i="2"/>
  <c r="BA33" i="2"/>
  <c r="AY35" i="2"/>
  <c r="AT35" i="2" s="1"/>
  <c r="BO37" i="2"/>
  <c r="BO39" i="2"/>
  <c r="BP39" i="2" s="1"/>
  <c r="U37" i="1"/>
  <c r="U36" i="1"/>
  <c r="V36" i="1"/>
  <c r="X25" i="2" l="1"/>
  <c r="BX25" i="2"/>
  <c r="X36" i="2"/>
  <c r="BX36" i="2"/>
  <c r="X30" i="2"/>
  <c r="BX30" i="2"/>
  <c r="X35" i="2"/>
  <c r="BX35" i="2"/>
  <c r="X31" i="2"/>
  <c r="BX31" i="2"/>
  <c r="AM34" i="2"/>
  <c r="AN34" i="2" s="1"/>
  <c r="BX34" i="2"/>
  <c r="AM26" i="2"/>
  <c r="AN26" i="2" s="1"/>
  <c r="BX26" i="2"/>
  <c r="AS24" i="2"/>
  <c r="BX24" i="2"/>
  <c r="AM33" i="2"/>
  <c r="AN33" i="2" s="1"/>
  <c r="BX33" i="2"/>
  <c r="X23" i="2"/>
  <c r="BX23" i="2"/>
  <c r="AS37" i="2"/>
  <c r="BX37" i="2"/>
  <c r="AM24" i="2"/>
  <c r="AN24" i="2" s="1"/>
  <c r="BQ22" i="2"/>
  <c r="AM23" i="2"/>
  <c r="AN23" i="2" s="1"/>
  <c r="AS38" i="2"/>
  <c r="X38" i="2"/>
  <c r="AS27" i="2"/>
  <c r="X27" i="2"/>
  <c r="AS28" i="2"/>
  <c r="X28" i="2"/>
  <c r="AS23" i="2"/>
  <c r="BQ40" i="2"/>
  <c r="X40" i="2"/>
  <c r="AM29" i="2"/>
  <c r="AN29" i="2" s="1"/>
  <c r="X29" i="2"/>
  <c r="AS39" i="2"/>
  <c r="X39" i="2"/>
  <c r="AM32" i="2"/>
  <c r="AN32" i="2" s="1"/>
  <c r="X32" i="2"/>
  <c r="AS34" i="2"/>
  <c r="X34" i="2"/>
  <c r="AS26" i="2"/>
  <c r="X26" i="2"/>
  <c r="BQ24" i="2"/>
  <c r="X24" i="2"/>
  <c r="AS33" i="2"/>
  <c r="X33" i="2"/>
  <c r="AM37" i="2"/>
  <c r="AN37" i="2" s="1"/>
  <c r="X37" i="2"/>
  <c r="AT17" i="5"/>
  <c r="AU17" i="5"/>
  <c r="AV17" i="5"/>
  <c r="AT16" i="5"/>
  <c r="AU16" i="5"/>
  <c r="AV16" i="5"/>
  <c r="AU3" i="5"/>
  <c r="AV3" i="5"/>
  <c r="AT3" i="5"/>
  <c r="AS5" i="5"/>
  <c r="AS9" i="5"/>
  <c r="AS8" i="5"/>
  <c r="AS10" i="5"/>
  <c r="AS7" i="5"/>
  <c r="AS4" i="5"/>
  <c r="AS6" i="5"/>
  <c r="AS23" i="5"/>
  <c r="AM52" i="5"/>
  <c r="AS14" i="5"/>
  <c r="V39" i="5"/>
  <c r="V31" i="5"/>
  <c r="V34" i="5"/>
  <c r="V40" i="5"/>
  <c r="V36" i="5"/>
  <c r="V41" i="5"/>
  <c r="V37" i="5"/>
  <c r="V26" i="5"/>
  <c r="V28" i="5"/>
  <c r="BQ33" i="2"/>
  <c r="BP33" i="2"/>
  <c r="BQ34" i="2"/>
  <c r="BP34" i="2"/>
  <c r="BQ18" i="2"/>
  <c r="BP18" i="2"/>
  <c r="BQ6" i="2"/>
  <c r="BP6" i="2"/>
  <c r="BQ19" i="2"/>
  <c r="BP19" i="2"/>
  <c r="BQ2" i="2"/>
  <c r="BP2" i="2"/>
  <c r="BQ20" i="2"/>
  <c r="BP20" i="2"/>
  <c r="BQ5" i="2"/>
  <c r="BP5" i="2"/>
  <c r="BQ37" i="2"/>
  <c r="BP37" i="2"/>
  <c r="BQ8" i="2"/>
  <c r="BP8" i="2"/>
  <c r="BQ21" i="2"/>
  <c r="BP21" i="2"/>
  <c r="BQ3" i="2"/>
  <c r="BP3" i="2"/>
  <c r="BQ36" i="2"/>
  <c r="BQ13" i="2"/>
  <c r="BP13" i="2"/>
  <c r="BQ4" i="2"/>
  <c r="BP4" i="2"/>
  <c r="BQ17" i="2"/>
  <c r="BP17" i="2"/>
  <c r="BQ16" i="2"/>
  <c r="BP16" i="2"/>
  <c r="BQ15" i="2"/>
  <c r="BP15" i="2"/>
  <c r="BQ11" i="2"/>
  <c r="BP11" i="2"/>
  <c r="BQ23" i="2"/>
  <c r="BP23" i="2"/>
  <c r="BQ14" i="2"/>
  <c r="BP14" i="2"/>
  <c r="BQ12" i="2"/>
  <c r="BP12" i="2"/>
  <c r="BQ7" i="2"/>
  <c r="BP7" i="2"/>
  <c r="BQ10" i="2"/>
  <c r="BP10" i="2"/>
  <c r="BQ9" i="2"/>
  <c r="BP9" i="2"/>
  <c r="BQ41" i="2"/>
  <c r="BP41" i="2"/>
  <c r="BQ29" i="2"/>
  <c r="AS32" i="2"/>
  <c r="BQ30" i="2"/>
  <c r="AM27" i="2"/>
  <c r="AN27" i="2" s="1"/>
  <c r="BQ38" i="2"/>
  <c r="BQ27" i="2"/>
  <c r="BQ31" i="2"/>
  <c r="AM38" i="2"/>
  <c r="AN38" i="2" s="1"/>
  <c r="BQ32" i="2"/>
  <c r="AM39" i="2"/>
  <c r="AN39" i="2" s="1"/>
  <c r="BQ28" i="2"/>
  <c r="BQ39" i="2"/>
  <c r="AM28" i="2"/>
  <c r="AN28" i="2" s="1"/>
  <c r="BQ35" i="2"/>
  <c r="BQ25" i="2"/>
  <c r="BQ26" i="2"/>
  <c r="AS29" i="2"/>
  <c r="AS35" i="2"/>
  <c r="AM35" i="2"/>
  <c r="AN35" i="2" s="1"/>
  <c r="AS30" i="2"/>
  <c r="AM30" i="2"/>
  <c r="AN30" i="2" s="1"/>
  <c r="AS25" i="2"/>
  <c r="AM25" i="2"/>
  <c r="AN25" i="2" s="1"/>
  <c r="AM36" i="2"/>
  <c r="AN36" i="2" s="1"/>
  <c r="AS36" i="2"/>
  <c r="AM31" i="2"/>
  <c r="AN31" i="2" s="1"/>
  <c r="AS31" i="2"/>
  <c r="AM40" i="2"/>
  <c r="AN40" i="2" s="1"/>
  <c r="AS40" i="2"/>
  <c r="AX3" i="5" l="1"/>
  <c r="AY15" i="5"/>
  <c r="AZ15" i="5"/>
  <c r="AX15" i="5"/>
  <c r="AT9" i="5"/>
  <c r="AU9" i="5"/>
  <c r="AV9" i="5"/>
  <c r="AV6" i="5"/>
  <c r="AU6" i="5"/>
  <c r="AT6" i="5"/>
  <c r="AT5" i="5"/>
  <c r="AV5" i="5"/>
  <c r="AU5" i="5"/>
  <c r="AU8" i="5"/>
  <c r="AV8" i="5"/>
  <c r="AT8" i="5"/>
  <c r="AU4" i="5"/>
  <c r="AT4" i="5"/>
  <c r="AV4" i="5"/>
  <c r="AV7" i="5"/>
  <c r="AT7" i="5"/>
  <c r="AU7" i="5"/>
  <c r="AU10" i="5"/>
  <c r="AT10" i="5"/>
  <c r="AV10" i="5"/>
  <c r="AX14" i="5"/>
  <c r="AZ4" i="5"/>
  <c r="AZ8" i="5"/>
  <c r="AZ12" i="5"/>
  <c r="AZ17" i="5"/>
  <c r="AZ21" i="5"/>
  <c r="AY4" i="5"/>
  <c r="AY8" i="5"/>
  <c r="AY12" i="5"/>
  <c r="AY17" i="5"/>
  <c r="AY21" i="5"/>
  <c r="AX7" i="5"/>
  <c r="AX11" i="5"/>
  <c r="AX16" i="5"/>
  <c r="AX20" i="5"/>
  <c r="AZ14" i="5"/>
  <c r="AX5" i="5"/>
  <c r="AZ11" i="5"/>
  <c r="AZ20" i="5"/>
  <c r="AY7" i="5"/>
  <c r="AY16" i="5"/>
  <c r="AX6" i="5"/>
  <c r="AX10" i="5"/>
  <c r="AX23" i="5"/>
  <c r="AY14" i="5"/>
  <c r="AZ5" i="5"/>
  <c r="AZ9" i="5"/>
  <c r="AZ13" i="5"/>
  <c r="AZ18" i="5"/>
  <c r="AZ22" i="5"/>
  <c r="AY5" i="5"/>
  <c r="AY9" i="5"/>
  <c r="AY13" i="5"/>
  <c r="AY18" i="5"/>
  <c r="AY22" i="5"/>
  <c r="AX4" i="5"/>
  <c r="AX8" i="5"/>
  <c r="AX12" i="5"/>
  <c r="AX17" i="5"/>
  <c r="AX21" i="5"/>
  <c r="AZ10" i="5"/>
  <c r="AY19" i="5"/>
  <c r="AX9" i="5"/>
  <c r="AX22" i="5"/>
  <c r="AZ3" i="5"/>
  <c r="AY20" i="5"/>
  <c r="AZ6" i="5"/>
  <c r="AZ19" i="5"/>
  <c r="AZ23" i="5"/>
  <c r="AY6" i="5"/>
  <c r="AY10" i="5"/>
  <c r="AY23" i="5"/>
  <c r="AX13" i="5"/>
  <c r="AX18" i="5"/>
  <c r="AZ7" i="5"/>
  <c r="AZ16" i="5"/>
  <c r="AY11" i="5"/>
  <c r="AY3" i="5"/>
  <c r="AX19" i="5"/>
  <c r="AN44" i="2"/>
  <c r="AN43" i="2"/>
  <c r="AN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Z6" authorId="0" shapeId="0" xr:uid="{C6A3413F-CE80-4E44-9EC2-9C72F5BC8DA9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7" authorId="0" shapeId="0" xr:uid="{166A0EED-1A34-4811-989E-4312A92D8DBA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8" authorId="0" shapeId="0" xr:uid="{3CD4881F-7AF5-42B6-90C4-10A0144072FA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9" authorId="0" shapeId="0" xr:uid="{AC2C69A8-F8EF-4EC4-B29D-58D047851F8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7" authorId="0" shapeId="0" xr:uid="{081682EC-71B2-419D-8557-271C28B1891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N17" authorId="0" shapeId="0" xr:uid="{49FF87D0-421C-4346-A7ED-40C3A94A4D06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O17" authorId="0" shapeId="0" xr:uid="{1082F3A8-E093-4104-9F7C-F57A227BFA6B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P17" authorId="0" shapeId="0" xr:uid="{BCF6BBE8-38D2-43C0-B2BB-27B2A28CEDB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R17" authorId="0" shapeId="0" xr:uid="{1E7677E8-D25A-4F0C-AF10-3915CD51FCA3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S17" authorId="0" shapeId="0" xr:uid="{49B3BEA6-70B3-46D7-ADD2-6F7659CC399C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Z17" authorId="0" shapeId="0" xr:uid="{306CE74B-03E7-4CAC-9C5A-C103C39F4191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AB17" authorId="0" shapeId="0" xr:uid="{C6EDB9F8-8A96-4340-B571-A20ACE09B37B}">
      <text>
        <r>
          <rPr>
            <sz val="11"/>
            <color theme="1"/>
            <rFont val="Aptos Narrow"/>
            <family val="2"/>
            <scheme val="minor"/>
          </rPr>
          <t xml:space="preserve">Jacob Numbers:
Janz, 1979
</t>
        </r>
      </text>
    </comment>
    <comment ref="BH17" authorId="0" shapeId="0" xr:uid="{9C9ED112-EBB8-4F45-89FC-9A8007A3711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X7" authorId="0" shapeId="0" xr:uid="{C8DD31C9-D4FB-45E6-95ED-CC8F9FE9C276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8" authorId="0" shapeId="0" xr:uid="{39B3C777-D1B5-4F4D-A8E8-BC19D73B9A3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9" authorId="0" shapeId="0" xr:uid="{B1A73168-881C-4588-AA97-FD9D833B0147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10" authorId="0" shapeId="0" xr:uid="{2CC41497-D13D-41F8-B472-F0EC525A054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8" authorId="0" shapeId="0" xr:uid="{D96DAA1B-CBDC-4A2F-9A2A-F6B5198D55DA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N18" authorId="0" shapeId="0" xr:uid="{63C3FF5A-E63F-44BA-8973-2DDD5A7BBCF8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O18" authorId="0" shapeId="0" xr:uid="{43967E9F-5BAC-4019-AAEC-EB5FB238C195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Q18" authorId="0" shapeId="0" xr:uid="{90CBBCEA-DE6B-48C5-9856-EBB523152885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S18" authorId="0" shapeId="0" xr:uid="{0D81C8E0-9F8B-4FC2-842C-8CEBAA2F13F2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T18" authorId="0" shapeId="0" xr:uid="{CB1DB09C-F6FE-4CCB-80B3-E3E61E6C67F0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X18" authorId="0" shapeId="0" xr:uid="{212DD2F7-3F9C-45B3-A634-EF1C8E9EA32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18" authorId="0" shapeId="0" xr:uid="{E3C3E09A-8F4E-47FE-9527-55FB163136EF}">
      <text>
        <r>
          <rPr>
            <sz val="11"/>
            <color theme="1"/>
            <rFont val="Aptos Narrow"/>
            <family val="2"/>
            <scheme val="minor"/>
          </rPr>
          <t xml:space="preserve">Jacob Numbers:
Janz, 1979
</t>
        </r>
      </text>
    </comment>
  </commentList>
</comments>
</file>

<file path=xl/sharedStrings.xml><?xml version="1.0" encoding="utf-8"?>
<sst xmlns="http://schemas.openxmlformats.org/spreadsheetml/2006/main" count="954" uniqueCount="444">
  <si>
    <t>Salt Composition</t>
  </si>
  <si>
    <t>Melting Temp (K)</t>
  </si>
  <si>
    <t>Min Measured Temp (K)</t>
  </si>
  <si>
    <t>Gheribi-KTCPÎ» at Melt Temp (W/m-K)</t>
  </si>
  <si>
    <t>Gheribi-KTCPÎ», Mix Data at Melt Temp (W/m-K)</t>
  </si>
  <si>
    <t>Gheribi-KT-Emp at Melt Temp (W/m-K)</t>
  </si>
  <si>
    <t>Gheribi-KT-Emp-Mix at Melt Temp (W/m-K)</t>
  </si>
  <si>
    <t>Gheribi-KT24 at Melt Temp (W/m-K)</t>
  </si>
  <si>
    <t>Gheribi-KT24, Mix Data at Melt Temp (W/m-K)</t>
  </si>
  <si>
    <t>Zhao-PGM at Melt Temp (W/m-K)</t>
  </si>
  <si>
    <t>Zhao-PGM, Mix Data at Melt Temp (W/m-K)</t>
  </si>
  <si>
    <t>Present Model at Melt Temp (W/m-K)</t>
  </si>
  <si>
    <t>Present Model, Mix Data at Melt Temp (W/m-K)</t>
  </si>
  <si>
    <t>Present Model-VelCorr at Melt Temp (W/m-K)</t>
  </si>
  <si>
    <t>Bridgman at Melt Temp (W/m-K)</t>
  </si>
  <si>
    <t>Chapman-Enskog at Melt Temp (W/m-K)</t>
  </si>
  <si>
    <t>Ideal at Melt Temp (W/m-K)</t>
  </si>
  <si>
    <t>TC Experimental (W/m-K)</t>
  </si>
  <si>
    <t>Exp. Reference</t>
  </si>
  <si>
    <t>TC MSTDB (W/m-K)</t>
  </si>
  <si>
    <t>MSTDB Reference</t>
  </si>
  <si>
    <t>0.73LiF-0.27BeF2</t>
  </si>
  <si>
    <t>0.73LiF-0.27BeF2 (Bobrova, 2023)</t>
  </si>
  <si>
    <t>0.725LiF-0.265BeF2-0.01UF4</t>
  </si>
  <si>
    <t>0.725LiF-0.265BeF2-0.01UF4 (Bobrova, 2023)</t>
  </si>
  <si>
    <t>0.72LiF-0.26BeF2-0.02UF4</t>
  </si>
  <si>
    <t>0.72LiF-0.26BeF2-0.02UF4 (Bobrova, 2023)</t>
  </si>
  <si>
    <t>0.63NaCl-0.37UCl3</t>
  </si>
  <si>
    <t>63NaCl-37UCl3 (Termini, 2024)</t>
  </si>
  <si>
    <t>0.658NaCl-0.342UCl3</t>
  </si>
  <si>
    <t>65.8NaCl-34.2UCl3 (Rose, 2023)</t>
  </si>
  <si>
    <t>0.712LiF-0.23BeF2-0.05ZrF4-0.008UF4 (Rosenthal, 1969)</t>
  </si>
  <si>
    <t>0.675LiF-0.2BeF2-0.12ThF4-0.005UF4</t>
  </si>
  <si>
    <t>0.675LiF-0.20BeF2-0.12ThF4-0.005UF4 (Rosenthal, 1969)</t>
  </si>
  <si>
    <t>0.28NaF-0.42KF-0.3UF4</t>
  </si>
  <si>
    <t>0.42KF-0.28NaF-0.30UF4 (Rudenko, 2024)</t>
  </si>
  <si>
    <t>0.24NaF-0.36KF-0.4UF4</t>
  </si>
  <si>
    <t>0.36KF-0.24NaF-0.40UF4 (Rudenko, 2024)</t>
  </si>
  <si>
    <t>0.2NaF-0.3KF-0.5UF4</t>
  </si>
  <si>
    <t>0.30KF-0.20NaF-0.50UF4 (Rudenko, 2024)</t>
  </si>
  <si>
    <t>0.4NaF-0.6KF</t>
  </si>
  <si>
    <t>Rudenko 2024 [178]</t>
  </si>
  <si>
    <t>0.465LiF-0.115NaF-0.42KF</t>
  </si>
  <si>
    <t>0.465LiF-0.115NaF-0.42KF (Merritt, 2022),0.465LiF-0.115NaF-0.42KF (Gallagher, 2022),0.465LiF-0.115NaF-0.42KF (Rudenko, 2022)</t>
  </si>
  <si>
    <t>0.2046NaCl-0.4131KCl-0.3823MgCl2</t>
  </si>
  <si>
    <t>0.2046NaCl-0.4131KCl-0.3823MgCl2 (Wang, 2021)</t>
  </si>
  <si>
    <t>0.345NaF-0.59KF-0.065MgF2 (Rudenko, 2024)</t>
  </si>
  <si>
    <t>1.0LiCl</t>
  </si>
  <si>
    <t>LiCl (Nagasaka, 1992)</t>
  </si>
  <si>
    <t>1.0NaCl</t>
  </si>
  <si>
    <t>NaCl (Nagasaka 1992)</t>
  </si>
  <si>
    <t>1.0KCl</t>
  </si>
  <si>
    <t>KCl (Harada, 1992),KCl (Nagasaka, 1992)</t>
  </si>
  <si>
    <t>1.0LiF</t>
  </si>
  <si>
    <t>LiF (Golyshev, 1982),LiF (Golyshev, 1983),LiF (Golyshev, 1992),LiF (Smirnov, 1987),LiF (Khlebnikov, 1981)</t>
  </si>
  <si>
    <t>1.0NaF</t>
  </si>
  <si>
    <t>1.0KF</t>
  </si>
  <si>
    <t>KF (Smirnov, 1987)</t>
  </si>
  <si>
    <t>1.0MgCl2</t>
  </si>
  <si>
    <t>1.0MgF2</t>
  </si>
  <si>
    <t>MgF2 (Khlebnikov, 1981),MgF2 (Golyshev, 1992)</t>
  </si>
  <si>
    <t>1.0CaF2</t>
  </si>
  <si>
    <t>CaF2 (Golyshev, 1992),CaF2 (Khlebnikov, 1981)</t>
  </si>
  <si>
    <t>0.712LiF-0.23BeF2-0.05ZrF4-0.008UF4</t>
  </si>
  <si>
    <t>0.345NaF-0.59KF-0.065MgF2</t>
  </si>
  <si>
    <t>At min measured temp</t>
  </si>
  <si>
    <t>Gheribi-KT-k_min (W/m-K)</t>
  </si>
  <si>
    <t>Gheribi-KT-Emp (W/m-K)</t>
  </si>
  <si>
    <t>Gheribi-KT-Emp-Mix (W/m-K)</t>
  </si>
  <si>
    <t>Gheribi-KT24, Mix Data (W/m-K)</t>
  </si>
  <si>
    <t>Zhao-PGM, Mix Data (W/m-K)</t>
  </si>
  <si>
    <t>Present Model (W/m-K)</t>
  </si>
  <si>
    <t>Present Model, Mix Data (W/m-K)</t>
  </si>
  <si>
    <t>Present Model-VelCorr (W/m-K)</t>
  </si>
  <si>
    <t>Bridgman (W/m-K)</t>
  </si>
  <si>
    <t>Chapman-Enskog (W/m-K)</t>
  </si>
  <si>
    <t>Ideal (W/m-K)</t>
  </si>
  <si>
    <t>Gheribi-KT24</t>
  </si>
  <si>
    <t>Zhao-PGM</t>
  </si>
  <si>
    <t>Gheribi-KT-k_min, Mix Data (W/m-K)</t>
  </si>
  <si>
    <t>0.66LiF-0.34BeF2</t>
  </si>
  <si>
    <t>Rosenthal 1969 [122]</t>
  </si>
  <si>
    <t>Gheribi</t>
  </si>
  <si>
    <t>Actinide</t>
  </si>
  <si>
    <t>Non-actinide</t>
  </si>
  <si>
    <t>Avg Error</t>
  </si>
  <si>
    <t>Zhao</t>
  </si>
  <si>
    <t>% Dev</t>
  </si>
  <si>
    <t>Deviation</t>
  </si>
  <si>
    <t>Labels</t>
  </si>
  <si>
    <t>Gheribi; 11.8% MAE</t>
  </si>
  <si>
    <t>Zhao; 33.1% MAE</t>
  </si>
  <si>
    <t>Gheribi; 55.7% MAE</t>
  </si>
  <si>
    <t>Zhao; 28.7% MAE</t>
  </si>
  <si>
    <r>
      <t>MgCl2 (</t>
    </r>
    <r>
      <rPr>
        <sz val="11"/>
        <color rgb="FFFF0000"/>
        <rFont val="Aptos Narrow"/>
        <family val="2"/>
        <scheme val="minor"/>
      </rPr>
      <t>Filatov</t>
    </r>
    <r>
      <rPr>
        <sz val="11"/>
        <color theme="1"/>
        <rFont val="Aptos Narrow"/>
        <family val="2"/>
        <scheme val="minor"/>
      </rPr>
      <t>, 2005)</t>
    </r>
  </si>
  <si>
    <r>
      <t>NaF (Smirnov, 1987),NaF (</t>
    </r>
    <r>
      <rPr>
        <sz val="11"/>
        <color rgb="FFFF0000"/>
        <rFont val="Aptos Narrow"/>
        <family val="2"/>
        <scheme val="minor"/>
      </rPr>
      <t>Polyakov</t>
    </r>
    <r>
      <rPr>
        <sz val="11"/>
        <color theme="1"/>
        <rFont val="Aptos Narrow"/>
        <family val="2"/>
        <scheme val="minor"/>
      </rPr>
      <t>, 1975)</t>
    </r>
  </si>
  <si>
    <t>Compound</t>
  </si>
  <si>
    <t>S/cm</t>
  </si>
  <si>
    <t>order</t>
  </si>
  <si>
    <t>protons</t>
  </si>
  <si>
    <t>electrons</t>
  </si>
  <si>
    <t>Mp/molecule</t>
  </si>
  <si>
    <t>Me/molecule</t>
  </si>
  <si>
    <t>ratio of Mpe*#</t>
  </si>
  <si>
    <t>ratio</t>
  </si>
  <si>
    <t>Dif mass</t>
  </si>
  <si>
    <t>M_i (g/mol)</t>
  </si>
  <si>
    <t>Visc (N*s/m^2)</t>
  </si>
  <si>
    <t>T_i_m (K) inverse</t>
  </si>
  <si>
    <t>T_i_m (K)</t>
  </si>
  <si>
    <t>V_i_m (m^3/mol)</t>
  </si>
  <si>
    <t>alpha_i_m (K^-1)</t>
  </si>
  <si>
    <t>r_c (m)</t>
  </si>
  <si>
    <t>r_a (m)</t>
  </si>
  <si>
    <t>sum_radii</t>
  </si>
  <si>
    <t>rho_m (g/m^3)</t>
  </si>
  <si>
    <t>SoS(T)_A (A+B*T)</t>
  </si>
  <si>
    <t>SoS(T)_B</t>
  </si>
  <si>
    <t>A (Density (g/cm3):   A - BT(K))</t>
  </si>
  <si>
    <t>B (Density (g/cm3):   A - BT(K))</t>
  </si>
  <si>
    <t>#_cations</t>
  </si>
  <si>
    <t>#_anions</t>
  </si>
  <si>
    <t>sum_ions</t>
  </si>
  <si>
    <t>λ_meas</t>
  </si>
  <si>
    <t>1/3*Cp*vs*r_sumCorrect</t>
  </si>
  <si>
    <t>Error</t>
  </si>
  <si>
    <t>1/3*Cp*vs*1stPk</t>
  </si>
  <si>
    <t>1/3*Cp*vs*AvgPk</t>
  </si>
  <si>
    <t>1/3*Cp*vs*r_sum</t>
  </si>
  <si>
    <t>dev_λ</t>
  </si>
  <si>
    <t>c_BC,rsum</t>
  </si>
  <si>
    <t>c_BC_λBC</t>
  </si>
  <si>
    <t>1/3*Cp*vs</t>
  </si>
  <si>
    <t>r_sum</t>
  </si>
  <si>
    <t>1stPeak</t>
  </si>
  <si>
    <t>AvgMFP</t>
  </si>
  <si>
    <t>λBC</t>
  </si>
  <si>
    <t>MFP_calc</t>
  </si>
  <si>
    <t>MFP_dev</t>
  </si>
  <si>
    <t>1/3*Cp*r_sum</t>
  </si>
  <si>
    <t>SoS_Tm</t>
  </si>
  <si>
    <t>SoS_metal</t>
  </si>
  <si>
    <t>vs_calc</t>
  </si>
  <si>
    <t>vs_dev</t>
  </si>
  <si>
    <t>1/3*vs*r_sum</t>
  </si>
  <si>
    <t>C_i_p (J/mol/K)</t>
  </si>
  <si>
    <t>Cp(J/m3-K)</t>
  </si>
  <si>
    <t>Cp_calc</t>
  </si>
  <si>
    <t>Cp_dev</t>
  </si>
  <si>
    <t>vs*cp</t>
  </si>
  <si>
    <t>1/3*vs*cp*rsum</t>
  </si>
  <si>
    <t>Visc/(Dens*C0)</t>
  </si>
  <si>
    <t>LiF</t>
  </si>
  <si>
    <t>NaF</t>
  </si>
  <si>
    <t>KF</t>
  </si>
  <si>
    <t>RbF</t>
  </si>
  <si>
    <t>CsF</t>
  </si>
  <si>
    <t>LiCl</t>
  </si>
  <si>
    <t>NaCl</t>
  </si>
  <si>
    <t>KCl</t>
  </si>
  <si>
    <t>BeF2</t>
  </si>
  <si>
    <t>MgF2</t>
  </si>
  <si>
    <t>CaF2</t>
  </si>
  <si>
    <t>SrF2</t>
  </si>
  <si>
    <t>MgCl2</t>
  </si>
  <si>
    <t>CaCl2</t>
  </si>
  <si>
    <t>SrCl2</t>
  </si>
  <si>
    <t>NaNO3</t>
  </si>
  <si>
    <t>KNO3</t>
  </si>
  <si>
    <t>ZrF4</t>
  </si>
  <si>
    <t>ThF4</t>
  </si>
  <si>
    <t>UF4</t>
  </si>
  <si>
    <t>UCl3</t>
  </si>
  <si>
    <t>0.68KCl-0.32MgCl2</t>
  </si>
  <si>
    <t>0.675LiF-0.2BeF2-0.005ThF4-0.12UF4</t>
  </si>
  <si>
    <t>0.32KCl-0.68MgCl2</t>
  </si>
  <si>
    <t>0.4598NaCl-0.3891KCl-0.1511MgCl2</t>
  </si>
  <si>
    <t>0.582LiCl-0.418KCl</t>
  </si>
  <si>
    <t>0.6LiF-0.4NaF</t>
  </si>
  <si>
    <t>0.63NaCl-0.37UCl3 (ORNL)</t>
  </si>
  <si>
    <t>0.658NaCl-0.342UCl3 (ANL)</t>
  </si>
  <si>
    <r>
      <t>(NaF-KF)-.3UF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</si>
  <si>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(NaF-KF)-.4UF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</si>
  <si>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(NaF-KF)-.5UF</t>
    </r>
    <r>
      <rPr>
        <vertAlign val="subscript"/>
        <sz val="11"/>
        <color theme="1"/>
        <rFont val="Aptos Narrow"/>
        <family val="2"/>
        <scheme val="minor"/>
      </rPr>
      <t>4</t>
    </r>
  </si>
  <si>
    <t>H2O</t>
  </si>
  <si>
    <t>Unary Flourides</t>
  </si>
  <si>
    <t>Unary Chlorides</t>
  </si>
  <si>
    <t>Unary Alkaline Earth Flourides</t>
  </si>
  <si>
    <t>Unary Alkaline Earth Chlorides</t>
  </si>
  <si>
    <t>Unary Nitrates</t>
  </si>
  <si>
    <t>Fluoride Mixtures</t>
  </si>
  <si>
    <t>Chloride Mixtures</t>
  </si>
  <si>
    <t>Fluoride Actinide Mixtures</t>
  </si>
  <si>
    <t>Chloride Actinide Mixtures</t>
  </si>
  <si>
    <t>Water</t>
  </si>
  <si>
    <t>Actinides</t>
  </si>
  <si>
    <t>Non-Actinides</t>
  </si>
  <si>
    <t>--&gt; Scaled</t>
  </si>
  <si>
    <t>Salt</t>
  </si>
  <si>
    <t>Same trend</t>
  </si>
  <si>
    <t>Same</t>
  </si>
  <si>
    <t>Same extrapolation</t>
  </si>
  <si>
    <t>Measured molten NaCl at ~1074 K</t>
  </si>
  <si>
    <t>Chen &amp; Sato (1983)</t>
  </si>
  <si>
    <t>https://journal.buct.edu.cn/EN/10.13543/j.bhxbzr.2023.03.007</t>
  </si>
  <si>
    <t>Measured molten KCl at ~1043 K (by analogy to NaCl)</t>
  </si>
  <si>
    <t>Measured molten NaNO3 at ~573 K</t>
  </si>
  <si>
    <t>(see nitrate dielectric literature)</t>
  </si>
  <si>
    <t>Measured molten KNO3 at ~627 K</t>
  </si>
  <si>
    <t>(typical values in thermophysical reviews)</t>
  </si>
  <si>
    <t>Estimated analogous to molten NaCl</t>
  </si>
  <si>
    <t>Estimated from alkali-halide trend (NaCl)</t>
  </si>
  <si>
    <t>Estimated from KCl analogy</t>
  </si>
  <si>
    <t>Same series assumption based on KCl</t>
  </si>
  <si>
    <t>Same trend as above</t>
  </si>
  <si>
    <t>Analogous to NaCl molten behavior</t>
  </si>
  <si>
    <t>Estimated via similarity to LiF/NaCl family</t>
  </si>
  <si>
    <t>Estimated trend from LiF/NaCl</t>
  </si>
  <si>
    <t>Same chloride melt analogy</t>
  </si>
  <si>
    <t>Estimated from fluoride trend (FLiBe/FLiNaK modeling)</t>
  </si>
  <si>
    <t>Porter et al. (2022)</t>
  </si>
  <si>
    <t>https://www.nature.com/articles/s42004-022-00684-6</t>
  </si>
  <si>
    <t>Estimated via chloride melts analogy</t>
  </si>
  <si>
    <t>ε_0  (F/m)</t>
  </si>
  <si>
    <t>ε_r</t>
  </si>
  <si>
    <t>ε_r Ref</t>
  </si>
  <si>
    <t>ε_r Ref source</t>
  </si>
  <si>
    <r>
      <rPr>
        <sz val="11"/>
        <color theme="1"/>
        <rFont val="Aptos Narrow"/>
        <family val="2"/>
      </rPr>
      <t>λ</t>
    </r>
    <r>
      <rPr>
        <sz val="6.6"/>
        <color theme="1"/>
        <rFont val="Aptos Narrow"/>
        <family val="2"/>
      </rPr>
      <t>D</t>
    </r>
  </si>
  <si>
    <t>k_B (J/K)</t>
  </si>
  <si>
    <t>e (C )</t>
  </si>
  <si>
    <t>n (ions/m^3)</t>
  </si>
  <si>
    <t>n_c (ions/m^3)</t>
  </si>
  <si>
    <t>z_c</t>
  </si>
  <si>
    <t>z_a</t>
  </si>
  <si>
    <t>n_a (ions/m^3)</t>
  </si>
  <si>
    <t>V_ca(r )</t>
  </si>
  <si>
    <t>V_cc(r )</t>
  </si>
  <si>
    <t>V_aa(r )</t>
  </si>
  <si>
    <t>r_nominal (m)</t>
  </si>
  <si>
    <t>Temperature (K)</t>
  </si>
  <si>
    <t>rIJ (pm)</t>
  </si>
  <si>
    <t>NIJ</t>
  </si>
  <si>
    <t>rII (pm)</t>
  </si>
  <si>
    <t>NII</t>
  </si>
  <si>
    <t>rJJ (pm)</t>
  </si>
  <si>
    <t>NJJ</t>
  </si>
  <si>
    <t>LiBr</t>
  </si>
  <si>
    <t>LiI</t>
  </si>
  <si>
    <t>NaBr</t>
  </si>
  <si>
    <t>NaI</t>
  </si>
  <si>
    <t>KBr</t>
  </si>
  <si>
    <t>KI</t>
  </si>
  <si>
    <t>RbCl</t>
  </si>
  <si>
    <t>RbBr</t>
  </si>
  <si>
    <t>RbI</t>
  </si>
  <si>
    <t>CsCl</t>
  </si>
  <si>
    <t>CsBr</t>
  </si>
  <si>
    <t>CsI</t>
  </si>
  <si>
    <t>Avg cc-ca dif</t>
  </si>
  <si>
    <t>cc-ca dif</t>
  </si>
  <si>
    <t>Calculated at r_nominal</t>
  </si>
  <si>
    <t>Calculated at PDF peak</t>
  </si>
  <si>
    <t>r_cc</t>
  </si>
  <si>
    <t>r_ca</t>
  </si>
  <si>
    <t>Sep dist. 100 above Tm</t>
  </si>
  <si>
    <t>100C above melting temp</t>
  </si>
  <si>
    <t>At melting temp</t>
  </si>
  <si>
    <t>r_aa</t>
  </si>
  <si>
    <t>From Walz, 2019</t>
  </si>
  <si>
    <t>https://journal.buct.edu.cn/EN/10.13543/j.bhxbzr.2023.03.006</t>
  </si>
  <si>
    <t>ca-cc dif</t>
  </si>
  <si>
    <t>McGreevy, 1987</t>
  </si>
  <si>
    <t>Walz, 2019</t>
  </si>
  <si>
    <t>Walz, 2020</t>
  </si>
  <si>
    <t>Walz, 2021</t>
  </si>
  <si>
    <t>Walz, 2022</t>
  </si>
  <si>
    <t>Walz, 2023</t>
  </si>
  <si>
    <t>Walz, 2024</t>
  </si>
  <si>
    <t>Walz, 2025</t>
  </si>
  <si>
    <t>Walz, 2026</t>
  </si>
  <si>
    <t>McGreevy, 1988</t>
  </si>
  <si>
    <t>McGreevy, 1989</t>
  </si>
  <si>
    <t>NaF (Smirnov, 1987),NaF (Polyakov, 1975)</t>
  </si>
  <si>
    <t>MgCl2 (Filatov, 2005)</t>
  </si>
  <si>
    <t>mu</t>
  </si>
  <si>
    <t>Cp(MJ/m3-K)</t>
  </si>
  <si>
    <t>V/mu</t>
  </si>
  <si>
    <t>Fig 1 --&gt;</t>
  </si>
  <si>
    <t>Fig 2 --&gt;</t>
  </si>
  <si>
    <t>Fig 3 --&gt;</t>
  </si>
  <si>
    <t>Figures below</t>
  </si>
  <si>
    <t>R(pm)</t>
  </si>
  <si>
    <t>R(pm)/mu</t>
  </si>
  <si>
    <t>R</t>
  </si>
  <si>
    <t>delta</t>
  </si>
  <si>
    <t>x_ca,peak</t>
  </si>
  <si>
    <t>1/sqrt(mu)</t>
  </si>
  <si>
    <t>a</t>
  </si>
  <si>
    <t>Scale</t>
  </si>
  <si>
    <t>b</t>
  </si>
  <si>
    <t>r (Ã…)</t>
  </si>
  <si>
    <t>S_i_Li-F</t>
  </si>
  <si>
    <t>Average_SCL</t>
  </si>
  <si>
    <t>lambda_BC</t>
  </si>
  <si>
    <t>W(r)_noC</t>
  </si>
  <si>
    <t>W(r)</t>
  </si>
  <si>
    <t>C</t>
  </si>
  <si>
    <t>T (K)</t>
  </si>
  <si>
    <t>k_B (J/mol/K)</t>
  </si>
  <si>
    <t>V(r)</t>
  </si>
  <si>
    <t>De</t>
  </si>
  <si>
    <t>a (A^-1)</t>
  </si>
  <si>
    <t>re (A)</t>
  </si>
  <si>
    <t>Li-F</t>
  </si>
  <si>
    <t>Li-Li</t>
  </si>
  <si>
    <t>F-F</t>
  </si>
  <si>
    <t>Power Law Fit</t>
  </si>
  <si>
    <t>Fig 4 --&gt;</t>
  </si>
  <si>
    <t>Peak</t>
  </si>
  <si>
    <t>Minima</t>
  </si>
  <si>
    <t>m_cation</t>
  </si>
  <si>
    <t>m_anion</t>
  </si>
  <si>
    <t>mass_disparity</t>
  </si>
  <si>
    <t>PDF Source</t>
  </si>
  <si>
    <t>Present Model at Min Meas Temp (W/m-K)</t>
  </si>
  <si>
    <t>Present Model, Mix Data at Min Meas Temp (W/m-K)</t>
  </si>
  <si>
    <t>Ideal at Min Meas Temp (W/m-K)</t>
  </si>
  <si>
    <t>GECM c_m (J/kg-K)</t>
  </si>
  <si>
    <t>GECM c' (J/kg-KÂ²)</t>
  </si>
  <si>
    <t>GECM_Mix c_m (J/kg-K)</t>
  </si>
  <si>
    <t>GECM_Mix c' (J/kg-KÂ²)</t>
  </si>
  <si>
    <t>GECM v_m (m/s)</t>
  </si>
  <si>
    <t>GECM v' (m/s/K)</t>
  </si>
  <si>
    <t>GECM_Mix v_m (m/s)</t>
  </si>
  <si>
    <t>GECM_Mix v' (m/s/K)</t>
  </si>
  <si>
    <t>l_melt</t>
  </si>
  <si>
    <t>l_min_meas</t>
  </si>
  <si>
    <t>LiCl (Nagasaka, 1992),LiCl (Smirnov, 1987)</t>
  </si>
  <si>
    <t>KCl (Harada, 1992),KCl (Hatakeyama, 1988),KCl (Nagasaka, 1988),KCl (Nagasaka, 1992)</t>
  </si>
  <si>
    <t>LiF (Golyshev, 1982),LiF (Golyshev, 1992),LiF (Smirnov, 1987),LiF (Skreenivasan, 1967),LiF (Khlebnikov, 1981)</t>
  </si>
  <si>
    <t>1.0CaCl2</t>
  </si>
  <si>
    <t>1.0SrCl2</t>
  </si>
  <si>
    <t>0.64NaCl-0.36UCl3</t>
  </si>
  <si>
    <t>ANL-Andersson, 2022</t>
  </si>
  <si>
    <t>63NaCl-37UCl3 (Termini, 2024),65.8NaCl-34.2UCl3 (Rose, 2023)</t>
  </si>
  <si>
    <t>0.5LiF-0.5BeF2</t>
  </si>
  <si>
    <t>Sun, 2024</t>
  </si>
  <si>
    <t>Fayfar, 2023</t>
  </si>
  <si>
    <t>Grizzi, 2024</t>
  </si>
  <si>
    <t>0.6LiF-0.4NaF (BYU)</t>
  </si>
  <si>
    <t>Frandsen, 2020</t>
  </si>
  <si>
    <t>0.465LiF-0.115NaF-0.42KF (BYU_RR),0.465LiF-0.115NaF-0.42KF (Merritt, 2022),0.465LiF-0.115NaF-0.42KF (Gallagher, 2022),0.465LiF-0.115NaF-0.42KF (Khokhlov, 2011),0.465LiF-0.115NaF-0.42KF (Rudenko, 2022),0.465LiF-0.115NaF-0.42KF (An, 2015),0.465LiF-0.115NaF-0.42KF (Robertson, 2022),0.465LiF-0.115NaF-0.42KF (MIT RR)</t>
  </si>
  <si>
    <t>0.34500000000000003NaF-0.59KF-0.065MgF2</t>
  </si>
  <si>
    <t>0.345NaF-0.59KF-0.065MgF2 (BYU),0.345NaF-0.59KF-0.065MgF2 (Rudenko, 2024)</t>
  </si>
  <si>
    <t>0.38NaCl-0.21KCl-0.41000000000000003MgCl2</t>
  </si>
  <si>
    <t>0.45NaCl-0.33KCl-0.22MgCl2</t>
  </si>
  <si>
    <t>0.5454LiF-0.3636NaF-0.091UF4</t>
  </si>
  <si>
    <t>0.7000000000000001LiCl-0.3CaCl2</t>
  </si>
  <si>
    <t>0.4703NaCl-0.5097CaCl2</t>
  </si>
  <si>
    <t>Wei, 2022</t>
  </si>
  <si>
    <t>0.718KCl-0.282CaCl2</t>
  </si>
  <si>
    <t>0.535NaCl-0.15MgCl2-0.315CaCl2</t>
  </si>
  <si>
    <t>0.41700000000000004NaCl-0.525KCl-0.057999999999999996CaCl2</t>
  </si>
  <si>
    <t>0.5NaCl-0.5KCl</t>
  </si>
  <si>
    <t>Manga, 2013</t>
  </si>
  <si>
    <t>0.5LiCl-0.5KCl</t>
  </si>
  <si>
    <t>Jiang, 2016</t>
  </si>
  <si>
    <t>0.582LiCl-0.418KCl (BYU)</t>
  </si>
  <si>
    <t>NaCl (Harada, 1992),NaCl (Nagasaka 1992),NaCl (Golyshev 1983),NaCl (Smirnov 1987)</t>
  </si>
  <si>
    <t>Lu, 2021</t>
  </si>
  <si>
    <t>MgCl2 (Bystrai, 1975),MgCl2 (Filatov, 2005)</t>
  </si>
  <si>
    <t>cp,m</t>
  </si>
  <si>
    <t>v_m</t>
  </si>
  <si>
    <t>cp_BC</t>
  </si>
  <si>
    <t>v_BC</t>
  </si>
  <si>
    <t>l_BC</t>
  </si>
  <si>
    <t>Roy, 2021</t>
  </si>
  <si>
    <t>r (A)</t>
  </si>
  <si>
    <t>Na-Cl</t>
  </si>
  <si>
    <t>Cl-Cl</t>
  </si>
  <si>
    <t>Na-Na</t>
  </si>
  <si>
    <t>Na-U</t>
  </si>
  <si>
    <t>U-U</t>
  </si>
  <si>
    <t>U-Cl</t>
  </si>
  <si>
    <r>
      <t>S(r):</t>
    </r>
    <r>
      <rPr>
        <vertAlign val="subscript"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U-Cl</t>
    </r>
  </si>
  <si>
    <t>S(r): Na-Cl</t>
  </si>
  <si>
    <t>l_scl</t>
  </si>
  <si>
    <t>S(r): Li-F</t>
  </si>
  <si>
    <t>%delta_rIJ</t>
  </si>
  <si>
    <t>%delta_rII</t>
  </si>
  <si>
    <t>Gheribi-KT24 at Min Meas Temp (W/m-K)</t>
  </si>
  <si>
    <t>Gheribi-KT24, Mix Data at Min Meas Temp (W/m-K)</t>
  </si>
  <si>
    <t>Zhao-PGM at Min Meas Temp (W/m-K)</t>
  </si>
  <si>
    <t>Zhao-PGM, Mix Data at Min Meas Temp (W/m-K)</t>
  </si>
  <si>
    <t>LiF (Golyshev, 1992),LiF (Smirnov, 1987),LiF (Khlebnikov, 1981)</t>
  </si>
  <si>
    <t>NaCl (Harada, 1992),NaCl (Nagasaka 1992)</t>
  </si>
  <si>
    <t>Andersson, 2022</t>
  </si>
  <si>
    <t>0.5BeF2-0.5LiF</t>
  </si>
  <si>
    <t>0.66LiF-0.34BeF2 (Kato, 1983)</t>
  </si>
  <si>
    <t>0.34BeF2-0.66LiF</t>
  </si>
  <si>
    <t>0.66LiF-0.34BeF2 (Schorne-Pinto, 2024)</t>
  </si>
  <si>
    <t>0.66LiF-0.34BeF2 (Redkin, 2022),0.66LiF-0.34BeF2 (Kato, 1983),0.66LiF-0.34BeF2 (Bobrova, 2023)</t>
  </si>
  <si>
    <t>0.42KF-0.465LiF-0.115NaF</t>
  </si>
  <si>
    <t>0.59KF-0.065MgF2-0.345NaF</t>
  </si>
  <si>
    <t>0.282CaCl2-0.718KCl</t>
  </si>
  <si>
    <t>0.22KCl-0.45MgCl2-0.33NaCl</t>
  </si>
  <si>
    <t>0.1511NaCl-0.3891KCl-0.4598MgCl2 (Wang, 2021)</t>
  </si>
  <si>
    <t>Wang 2021 [179]</t>
  </si>
  <si>
    <t>0.41KCl-0.38MgCl2-0.21NaCl</t>
  </si>
  <si>
    <t>0.3CaCl2-0.7LiCl</t>
  </si>
  <si>
    <t>0.5097CaCl2-0.4903NaCl</t>
  </si>
  <si>
    <t>0.52NaCl-0.48CaCl2 (Tian, 2021)</t>
  </si>
  <si>
    <t>0.4903NaCl-0.5097CaCl2 (Wei, 2022; MD),0.52NaCl-0.48CaCl2 (Tian, 2021)</t>
  </si>
  <si>
    <t>0.525CaCl2-0.058KCl-0.417NaCl</t>
  </si>
  <si>
    <t>0.5KCl-0.5NaCl</t>
  </si>
  <si>
    <t>0.15CaCl2-0.315MgCl2-0.535NaCl</t>
  </si>
  <si>
    <t>0.535NaCl-0.15CaCl2-0.315MgCl2 (Rong, 2020)</t>
  </si>
  <si>
    <t>Langford, 2022</t>
  </si>
  <si>
    <t>Solano, 2021</t>
  </si>
  <si>
    <t>Liang, 2024</t>
  </si>
  <si>
    <t>Jiang, 2024</t>
  </si>
  <si>
    <t>l_sc</t>
  </si>
  <si>
    <t>Bu, 2021</t>
  </si>
  <si>
    <t>CaCl2 (Wei, 2022; MD)</t>
  </si>
  <si>
    <t>Present Model</t>
  </si>
  <si>
    <t>G - Fluoride Mixtures</t>
  </si>
  <si>
    <t>G - Chloride Mixtures</t>
  </si>
  <si>
    <t>G - Actinide</t>
  </si>
  <si>
    <t>P - Fluoride Mixtures</t>
  </si>
  <si>
    <t>P - Chloride Mixtures</t>
  </si>
  <si>
    <t>P - Actinide</t>
  </si>
  <si>
    <t>G - Alkali Unary</t>
  </si>
  <si>
    <t>P - Alkali Unary</t>
  </si>
  <si>
    <t>G - Alkaline Earth</t>
  </si>
  <si>
    <t>P - Alkaline Earth</t>
  </si>
  <si>
    <t>l_bc</t>
  </si>
  <si>
    <t>Present Model, Extrap</t>
  </si>
  <si>
    <t>Present Model, Mix</t>
  </si>
  <si>
    <t>V_m-dist</t>
  </si>
  <si>
    <t>Gheribi c-term</t>
  </si>
  <si>
    <t>n (atoms/m#)</t>
  </si>
  <si>
    <t>kB*n</t>
  </si>
  <si>
    <t>Psi</t>
  </si>
  <si>
    <t>Psi*kB*n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</si>
</sst>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00"/>
    <numFmt numFmtId="165" formatCode="#,##0.000"/>
    <numFmt numFmtId="166" formatCode="#,##0.00000000000000000"/>
    <numFmt numFmtId="167" formatCode="0.0000000"/>
    <numFmt numFmtId="168" formatCode="0.00000"/>
    <numFmt numFmtId="169" formatCode="0.000E+00"/>
    <numFmt numFmtId="170" formatCode="0.000"/>
    <numFmt numFmtId="171" formatCode="0.0000"/>
    <numFmt numFmtId="172" formatCode="0.00000E+0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59595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6.6"/>
      <color theme="1"/>
      <name val="Aptos Narrow"/>
      <family val="2"/>
    </font>
    <font>
      <sz val="1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01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3" fontId="18" fillId="0" borderId="10" xfId="0" applyNumberFormat="1" applyFont="1" applyBorder="1" applyAlignment="1">
      <alignment horizontal="left"/>
    </xf>
    <xf numFmtId="0" fontId="0" fillId="0" borderId="10" xfId="0" applyBorder="1"/>
    <xf numFmtId="3" fontId="19" fillId="0" borderId="10" xfId="0" applyNumberFormat="1" applyFont="1" applyBorder="1"/>
    <xf numFmtId="4" fontId="18" fillId="0" borderId="10" xfId="0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left"/>
    </xf>
    <xf numFmtId="164" fontId="18" fillId="0" borderId="11" xfId="0" applyNumberFormat="1" applyFont="1" applyBorder="1" applyAlignment="1">
      <alignment horizontal="left"/>
    </xf>
    <xf numFmtId="11" fontId="18" fillId="0" borderId="10" xfId="0" applyNumberFormat="1" applyFont="1" applyBorder="1" applyAlignment="1">
      <alignment horizontal="left"/>
    </xf>
    <xf numFmtId="0" fontId="19" fillId="0" borderId="10" xfId="0" applyFont="1" applyBorder="1"/>
    <xf numFmtId="0" fontId="19" fillId="34" borderId="12" xfId="0" applyFont="1" applyFill="1" applyBorder="1"/>
    <xf numFmtId="0" fontId="19" fillId="35" borderId="12" xfId="0" applyFont="1" applyFill="1" applyBorder="1"/>
    <xf numFmtId="0" fontId="19" fillId="36" borderId="12" xfId="0" applyFont="1" applyFill="1" applyBorder="1"/>
    <xf numFmtId="0" fontId="20" fillId="0" borderId="0" xfId="0" applyFont="1" applyAlignment="1">
      <alignment horizontal="center" vertical="center" readingOrder="1"/>
    </xf>
    <xf numFmtId="0" fontId="19" fillId="37" borderId="12" xfId="0" applyFont="1" applyFill="1" applyBorder="1"/>
    <xf numFmtId="11" fontId="18" fillId="38" borderId="12" xfId="0" applyNumberFormat="1" applyFont="1" applyFill="1" applyBorder="1" applyAlignment="1">
      <alignment horizontal="left"/>
    </xf>
    <xf numFmtId="0" fontId="19" fillId="38" borderId="12" xfId="0" applyFont="1" applyFill="1" applyBorder="1"/>
    <xf numFmtId="0" fontId="19" fillId="39" borderId="12" xfId="0" applyFont="1" applyFill="1" applyBorder="1"/>
    <xf numFmtId="4" fontId="18" fillId="40" borderId="12" xfId="0" applyNumberFormat="1" applyFont="1" applyFill="1" applyBorder="1" applyAlignment="1">
      <alignment horizontal="left"/>
    </xf>
    <xf numFmtId="0" fontId="19" fillId="40" borderId="12" xfId="0" applyFont="1" applyFill="1" applyBorder="1"/>
    <xf numFmtId="0" fontId="0" fillId="40" borderId="12" xfId="0" applyFill="1" applyBorder="1"/>
    <xf numFmtId="3" fontId="18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11" fontId="19" fillId="0" borderId="0" xfId="0" applyNumberFormat="1" applyFont="1"/>
    <xf numFmtId="165" fontId="18" fillId="0" borderId="0" xfId="0" applyNumberFormat="1" applyFont="1" applyAlignment="1">
      <alignment horizontal="left"/>
    </xf>
    <xf numFmtId="11" fontId="18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/>
    <xf numFmtId="166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1" fontId="18" fillId="0" borderId="0" xfId="0" applyNumberFormat="1" applyFont="1" applyAlignment="1">
      <alignment horizontal="right"/>
    </xf>
    <xf numFmtId="4" fontId="19" fillId="0" borderId="0" xfId="0" applyNumberFormat="1" applyFont="1"/>
    <xf numFmtId="0" fontId="19" fillId="34" borderId="13" xfId="0" applyFont="1" applyFill="1" applyBorder="1"/>
    <xf numFmtId="4" fontId="19" fillId="34" borderId="13" xfId="0" applyNumberFormat="1" applyFont="1" applyFill="1" applyBorder="1"/>
    <xf numFmtId="0" fontId="19" fillId="35" borderId="13" xfId="0" applyFont="1" applyFill="1" applyBorder="1"/>
    <xf numFmtId="0" fontId="19" fillId="36" borderId="13" xfId="0" applyFont="1" applyFill="1" applyBorder="1"/>
    <xf numFmtId="11" fontId="19" fillId="36" borderId="13" xfId="0" applyNumberFormat="1" applyFont="1" applyFill="1" applyBorder="1"/>
    <xf numFmtId="11" fontId="19" fillId="37" borderId="13" xfId="0" applyNumberFormat="1" applyFont="1" applyFill="1" applyBorder="1"/>
    <xf numFmtId="11" fontId="18" fillId="38" borderId="13" xfId="0" applyNumberFormat="1" applyFont="1" applyFill="1" applyBorder="1" applyAlignment="1">
      <alignment horizontal="right"/>
    </xf>
    <xf numFmtId="11" fontId="19" fillId="38" borderId="13" xfId="0" applyNumberFormat="1" applyFont="1" applyFill="1" applyBorder="1"/>
    <xf numFmtId="0" fontId="19" fillId="39" borderId="13" xfId="0" applyFont="1" applyFill="1" applyBorder="1"/>
    <xf numFmtId="4" fontId="18" fillId="40" borderId="13" xfId="0" applyNumberFormat="1" applyFont="1" applyFill="1" applyBorder="1" applyAlignment="1">
      <alignment horizontal="right"/>
    </xf>
    <xf numFmtId="0" fontId="19" fillId="40" borderId="13" xfId="0" applyFont="1" applyFill="1" applyBorder="1"/>
    <xf numFmtId="11" fontId="19" fillId="40" borderId="13" xfId="0" applyNumberFormat="1" applyFont="1" applyFill="1" applyBorder="1"/>
    <xf numFmtId="11" fontId="0" fillId="0" borderId="0" xfId="0" applyNumberFormat="1"/>
    <xf numFmtId="0" fontId="19" fillId="34" borderId="14" xfId="0" applyFont="1" applyFill="1" applyBorder="1"/>
    <xf numFmtId="4" fontId="19" fillId="34" borderId="14" xfId="0" applyNumberFormat="1" applyFont="1" applyFill="1" applyBorder="1"/>
    <xf numFmtId="0" fontId="19" fillId="35" borderId="14" xfId="0" applyFont="1" applyFill="1" applyBorder="1"/>
    <xf numFmtId="0" fontId="19" fillId="36" borderId="14" xfId="0" applyFont="1" applyFill="1" applyBorder="1"/>
    <xf numFmtId="11" fontId="19" fillId="37" borderId="14" xfId="0" applyNumberFormat="1" applyFont="1" applyFill="1" applyBorder="1"/>
    <xf numFmtId="11" fontId="18" fillId="38" borderId="14" xfId="0" applyNumberFormat="1" applyFont="1" applyFill="1" applyBorder="1" applyAlignment="1">
      <alignment horizontal="right"/>
    </xf>
    <xf numFmtId="11" fontId="19" fillId="38" borderId="14" xfId="0" applyNumberFormat="1" applyFont="1" applyFill="1" applyBorder="1"/>
    <xf numFmtId="0" fontId="19" fillId="39" borderId="14" xfId="0" applyFont="1" applyFill="1" applyBorder="1"/>
    <xf numFmtId="4" fontId="18" fillId="40" borderId="14" xfId="0" applyNumberFormat="1" applyFont="1" applyFill="1" applyBorder="1" applyAlignment="1">
      <alignment horizontal="right"/>
    </xf>
    <xf numFmtId="0" fontId="19" fillId="40" borderId="14" xfId="0" applyFont="1" applyFill="1" applyBorder="1"/>
    <xf numFmtId="11" fontId="19" fillId="40" borderId="14" xfId="0" applyNumberFormat="1" applyFont="1" applyFill="1" applyBorder="1"/>
    <xf numFmtId="2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1" fontId="19" fillId="34" borderId="13" xfId="0" applyNumberFormat="1" applyFont="1" applyFill="1" applyBorder="1"/>
    <xf numFmtId="11" fontId="18" fillId="0" borderId="15" xfId="0" applyNumberFormat="1" applyFont="1" applyBorder="1" applyAlignment="1">
      <alignment horizontal="right"/>
    </xf>
    <xf numFmtId="164" fontId="19" fillId="0" borderId="0" xfId="42" applyNumberFormat="1" applyFont="1"/>
    <xf numFmtId="164" fontId="19" fillId="0" borderId="0" xfId="0" applyNumberFormat="1" applyFont="1"/>
    <xf numFmtId="3" fontId="18" fillId="0" borderId="0" xfId="0" applyNumberFormat="1" applyFont="1" applyAlignment="1">
      <alignment horizontal="right"/>
    </xf>
    <xf numFmtId="164" fontId="18" fillId="40" borderId="14" xfId="0" applyNumberFormat="1" applyFont="1" applyFill="1" applyBorder="1" applyAlignment="1">
      <alignment horizontal="right"/>
    </xf>
    <xf numFmtId="3" fontId="18" fillId="40" borderId="14" xfId="0" applyNumberFormat="1" applyFont="1" applyFill="1" applyBorder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/>
    <xf numFmtId="164" fontId="0" fillId="0" borderId="0" xfId="0" applyNumberFormat="1"/>
    <xf numFmtId="0" fontId="0" fillId="34" borderId="14" xfId="0" applyFill="1" applyBorder="1"/>
    <xf numFmtId="0" fontId="0" fillId="35" borderId="14" xfId="0" applyFill="1" applyBorder="1"/>
    <xf numFmtId="0" fontId="0" fillId="38" borderId="14" xfId="0" applyFill="1" applyBorder="1"/>
    <xf numFmtId="0" fontId="0" fillId="40" borderId="14" xfId="0" applyFill="1" applyBorder="1"/>
    <xf numFmtId="3" fontId="19" fillId="0" borderId="0" xfId="0" applyNumberFormat="1" applyFont="1"/>
    <xf numFmtId="167" fontId="19" fillId="0" borderId="0" xfId="0" applyNumberFormat="1" applyFont="1" applyAlignment="1">
      <alignment horizontal="right"/>
    </xf>
    <xf numFmtId="168" fontId="19" fillId="34" borderId="14" xfId="0" applyNumberFormat="1" applyFont="1" applyFill="1" applyBorder="1"/>
    <xf numFmtId="169" fontId="19" fillId="36" borderId="14" xfId="0" applyNumberFormat="1" applyFont="1" applyFill="1" applyBorder="1"/>
    <xf numFmtId="4" fontId="19" fillId="40" borderId="14" xfId="0" applyNumberFormat="1" applyFont="1" applyFill="1" applyBorder="1"/>
    <xf numFmtId="0" fontId="19" fillId="0" borderId="14" xfId="0" applyFont="1" applyBorder="1"/>
    <xf numFmtId="11" fontId="19" fillId="0" borderId="14" xfId="0" applyNumberFormat="1" applyFont="1" applyBorder="1"/>
    <xf numFmtId="4" fontId="19" fillId="0" borderId="14" xfId="0" applyNumberFormat="1" applyFont="1" applyBorder="1"/>
    <xf numFmtId="0" fontId="0" fillId="0" borderId="14" xfId="0" applyBorder="1"/>
    <xf numFmtId="0" fontId="0" fillId="0" borderId="10" xfId="0" quotePrefix="1" applyBorder="1"/>
    <xf numFmtId="164" fontId="18" fillId="0" borderId="10" xfId="0" quotePrefix="1" applyNumberFormat="1" applyFont="1" applyBorder="1" applyAlignment="1">
      <alignment horizontal="left"/>
    </xf>
    <xf numFmtId="0" fontId="23" fillId="0" borderId="10" xfId="0" applyFont="1" applyBorder="1"/>
    <xf numFmtId="11" fontId="25" fillId="0" borderId="0" xfId="0" applyNumberFormat="1" applyFont="1"/>
    <xf numFmtId="0" fontId="0" fillId="0" borderId="0" xfId="0" quotePrefix="1"/>
    <xf numFmtId="0" fontId="19" fillId="0" borderId="0" xfId="0" applyFont="1" applyAlignment="1">
      <alignment horizontal="center"/>
    </xf>
    <xf numFmtId="169" fontId="19" fillId="0" borderId="0" xfId="0" applyNumberFormat="1" applyFont="1"/>
    <xf numFmtId="170" fontId="0" fillId="0" borderId="0" xfId="0" applyNumberFormat="1"/>
    <xf numFmtId="170" fontId="19" fillId="0" borderId="0" xfId="0" applyNumberFormat="1" applyFont="1"/>
    <xf numFmtId="0" fontId="0" fillId="41" borderId="0" xfId="0" applyFill="1"/>
    <xf numFmtId="0" fontId="0" fillId="38" borderId="0" xfId="0" applyFill="1"/>
    <xf numFmtId="11" fontId="0" fillId="41" borderId="0" xfId="0" applyNumberFormat="1" applyFill="1"/>
    <xf numFmtId="171" fontId="0" fillId="41" borderId="0" xfId="0" applyNumberFormat="1" applyFill="1"/>
    <xf numFmtId="0" fontId="0" fillId="42" borderId="0" xfId="0" applyFill="1"/>
    <xf numFmtId="172" fontId="0" fillId="0" borderId="0" xfId="0" applyNumberFormat="1"/>
    <xf numFmtId="0" fontId="0" fillId="42" borderId="0" xfId="0" applyNumberFormat="1" applyFill="1"/>
    <xf numFmtId="171" fontId="0" fillId="0" borderId="0" xfId="0" applyNumberFormat="1"/>
    <xf numFmtId="171" fontId="0" fillId="42" borderId="0" xfId="0" applyNumberFormat="1" applyFill="1"/>
    <xf numFmtId="0" fontId="19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AB-437C-8E6E-63461B78B32C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('MFP-rsum'!$AL$26:$AL$27,'MFP-rsum'!$AL$29:$AL$30,'MFP-rsum'!$AL$36:$AL$37,'MFP-rsum'!$AL$38:$AL$40)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AB-437C-8E6E-63461B78B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4967714806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'MFP-rsum'!$BO$2:$BO$41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91D-80DF-75BC4D183C63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('MFP-rsum'!$BO$26:$BO$27,'MFP-rsum'!$BO$29:$BO$30,'MFP-rsum'!$BO$36:$BO$40)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A8-491D-80DF-75BC4D18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 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 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'MFP-rsum'!$BQ$2:$BQ$41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D-41EA-B8A0-659E59A257DD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('MFP-rsum'!$BQ$26:$BQ$27,'MFP-rsum'!$BQ$29:$BQ$30,'MFP-rsum'!$BQ$36:$BQ$40)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D-41EA-B8A0-659E59A2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κ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PGM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1-4AB8-92BA-233F0FC6BE98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('MFP-rsum'!$AL$26:$AL$27,'MFP-rsum'!$AL$29:$AL$30,'MFP-rsum'!$AL$36:$AL$37,'MFP-rsum'!$AL$38:$AL$40)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1-4AB8-92BA-233F0FC6B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496786729661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'MFP-rsum'!$BO$2:$BO$41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D-4474-BA35-075991BE6DA5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('MFP-rsum'!$BO$26:$BO$27,'MFP-rsum'!$BO$29:$BO$30,'MFP-rsum'!$BO$36:$BO$40)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D-4474-BA35-075991BE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00874730265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'MFP-rsum'!$BQ$2:$BQ$41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A-4654-A131-698FC0C19D24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('MFP-rsum'!$BQ$26:$BQ$27,'MFP-rsum'!$BQ$29:$BQ$30,'MFP-rsum'!$BQ$36:$BQ$40)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DA-4654-A131-698FC0C1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9.51675777539348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'MFP-rsum'!$X$2:$X$41</c:f>
              <c:numCache>
                <c:formatCode>0.00E+00</c:formatCode>
                <c:ptCount val="40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1">
                  <c:v>2.9788000000000001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1">
                  <c:v>2.5428999999999999</c:v>
                </c:pt>
                <c:pt idx="32">
                  <c:v>2.8291599999999995</c:v>
                </c:pt>
                <c:pt idx="33">
                  <c:v>2.194</c:v>
                </c:pt>
                <c:pt idx="34">
                  <c:v>2.8818000000000001</c:v>
                </c:pt>
                <c:pt idx="35">
                  <c:v>2.8778800000000002</c:v>
                </c:pt>
                <c:pt idx="36">
                  <c:v>3.0851800000000003</c:v>
                </c:pt>
                <c:pt idx="37">
                  <c:v>3.2822400000000003</c:v>
                </c:pt>
                <c:pt idx="38">
                  <c:v>3.4792999999999994</c:v>
                </c:pt>
                <c:pt idx="39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1-4CB5-B362-EEBC138E8B00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('MFP-rsum'!$AL$26:$AL$27,'MFP-rsum'!$AL$29:$AL$30,'MFP-rsum'!$AL$36:$AL$37,'MFP-rsum'!$AL$38:$AL$40)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('MFP-rsum'!$X$26:$X$27,'MFP-rsum'!$X$29:$X$30,'MFP-rsum'!$X$36:$X$40)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F1-4CB5-B362-EEBC138E8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'MFP-rsum'!$BP$2:$BP$41</c:f>
              <c:numCache>
                <c:formatCode>0.00E+00</c:formatCode>
                <c:ptCount val="40"/>
                <c:pt idx="0">
                  <c:v>1.1518926760563384</c:v>
                </c:pt>
                <c:pt idx="1">
                  <c:v>0.67778749999999999</c:v>
                </c:pt>
                <c:pt idx="2">
                  <c:v>0.39972750000000007</c:v>
                </c:pt>
                <c:pt idx="3">
                  <c:v>0.34271092436974793</c:v>
                </c:pt>
                <c:pt idx="4">
                  <c:v>0.301421612691466</c:v>
                </c:pt>
                <c:pt idx="5">
                  <c:v>0.46955282968415579</c:v>
                </c:pt>
                <c:pt idx="6">
                  <c:v>0.32243028313413014</c:v>
                </c:pt>
                <c:pt idx="7">
                  <c:v>0.24068948075348068</c:v>
                </c:pt>
                <c:pt idx="8">
                  <c:v>0.93313175000000004</c:v>
                </c:pt>
                <c:pt idx="9">
                  <c:v>0.80730208087671307</c:v>
                </c:pt>
                <c:pt idx="10">
                  <c:v>0.55121026994994238</c:v>
                </c:pt>
                <c:pt idx="11">
                  <c:v>0.38234418891071892</c:v>
                </c:pt>
                <c:pt idx="12">
                  <c:v>0.34222598186733888</c:v>
                </c:pt>
                <c:pt idx="13">
                  <c:v>0.39833903873250681</c:v>
                </c:pt>
                <c:pt idx="14">
                  <c:v>0.33711780852199386</c:v>
                </c:pt>
                <c:pt idx="15">
                  <c:v>0.63290221625251841</c:v>
                </c:pt>
                <c:pt idx="16">
                  <c:v>0.4607564927857935</c:v>
                </c:pt>
                <c:pt idx="17">
                  <c:v>0.48708757669995822</c:v>
                </c:pt>
                <c:pt idx="18">
                  <c:v>0.45461357386269008</c:v>
                </c:pt>
                <c:pt idx="19">
                  <c:v>0.38073015787085324</c:v>
                </c:pt>
                <c:pt idx="20">
                  <c:v>0.2489564819205321</c:v>
                </c:pt>
                <c:pt idx="21">
                  <c:v>0.33612940298277016</c:v>
                </c:pt>
                <c:pt idx="22">
                  <c:v>1.1014048595585626</c:v>
                </c:pt>
                <c:pt idx="23">
                  <c:v>0.68470603255856344</c:v>
                </c:pt>
                <c:pt idx="24">
                  <c:v>0.7665996750513322</c:v>
                </c:pt>
                <c:pt idx="25">
                  <c:v>1.0070070932608983</c:v>
                </c:pt>
                <c:pt idx="26">
                  <c:v>1.1282080942364856</c:v>
                </c:pt>
                <c:pt idx="27">
                  <c:v>1.0786052187787996</c:v>
                </c:pt>
                <c:pt idx="28">
                  <c:v>1.0349189533056169</c:v>
                </c:pt>
                <c:pt idx="29">
                  <c:v>0.34851316317353825</c:v>
                </c:pt>
                <c:pt idx="30">
                  <c:v>0.37827811192374966</c:v>
                </c:pt>
                <c:pt idx="31">
                  <c:v>0.52269864642849884</c:v>
                </c:pt>
                <c:pt idx="32">
                  <c:v>0.43409309762372345</c:v>
                </c:pt>
                <c:pt idx="33">
                  <c:v>0.96352777458242056</c:v>
                </c:pt>
                <c:pt idx="34">
                  <c:v>0.31304602622672262</c:v>
                </c:pt>
                <c:pt idx="35">
                  <c:v>0.31611417205960979</c:v>
                </c:pt>
                <c:pt idx="36">
                  <c:v>0.44777593555136702</c:v>
                </c:pt>
                <c:pt idx="37">
                  <c:v>0.43226765885674451</c:v>
                </c:pt>
                <c:pt idx="38">
                  <c:v>0.42224348610504159</c:v>
                </c:pt>
                <c:pt idx="39">
                  <c:v>0.58689311875693662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0-4B8D-AD0F-8E3C9EC90649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('MFP-rsum'!$BP$26:$BP$27,'MFP-rsum'!$BP$29:$BP$30,'MFP-rsum'!$BP$36:$BP$40)</c:f>
              <c:numCache>
                <c:formatCode>0.00E+00</c:formatCode>
                <c:ptCount val="9"/>
                <c:pt idx="0">
                  <c:v>0.7665996750513322</c:v>
                </c:pt>
                <c:pt idx="1">
                  <c:v>1.0070070932608983</c:v>
                </c:pt>
                <c:pt idx="2">
                  <c:v>1.0786052187787996</c:v>
                </c:pt>
                <c:pt idx="3">
                  <c:v>1.0349189533056169</c:v>
                </c:pt>
                <c:pt idx="4">
                  <c:v>0.31304602622672262</c:v>
                </c:pt>
                <c:pt idx="5">
                  <c:v>0.31611417205960979</c:v>
                </c:pt>
                <c:pt idx="6">
                  <c:v>0.44777593555136702</c:v>
                </c:pt>
                <c:pt idx="7">
                  <c:v>0.43226765885674451</c:v>
                </c:pt>
                <c:pt idx="8">
                  <c:v>0.42224348610504159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80-4B8D-AD0F-8E3C9EC9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c</a:t>
                </a:r>
                <a:r>
                  <a:rPr lang="en-US" sz="1050" b="1" baseline="-25000"/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'MFP-rsum'!$BQ$2:$BQ$41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1-45DB-9ABB-69DFA17129A3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('MFP-rsum'!$BQ$26:$BQ$27,'MFP-rsum'!$BQ$29:$BQ$30,'MFP-rsum'!$BQ$36:$BQ$40)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51-45DB-9ABB-69DFA1712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'MFP-rsum'!$BU$1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'MFP-rsum'!$BK$2:$BK$40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'MFP-rsum'!$BU$2:$BU$40</c:f>
              <c:numCache>
                <c:formatCode>General</c:formatCode>
                <c:ptCount val="39"/>
                <c:pt idx="0">
                  <c:v>0.41394465624042837</c:v>
                </c:pt>
                <c:pt idx="1">
                  <c:v>0.29124726463980749</c:v>
                </c:pt>
                <c:pt idx="2">
                  <c:v>0.26238652387925293</c:v>
                </c:pt>
                <c:pt idx="5">
                  <c:v>0.39125353733723539</c:v>
                </c:pt>
                <c:pt idx="6">
                  <c:v>0.25275932578655919</c:v>
                </c:pt>
                <c:pt idx="7">
                  <c:v>0.21891087231062725</c:v>
                </c:pt>
                <c:pt idx="12">
                  <c:v>0.25540383259273031</c:v>
                </c:pt>
                <c:pt idx="13">
                  <c:v>0.22985990139579499</c:v>
                </c:pt>
                <c:pt idx="14">
                  <c:v>0.18969079162882779</c:v>
                </c:pt>
                <c:pt idx="22">
                  <c:v>0.41612814764513956</c:v>
                </c:pt>
                <c:pt idx="23">
                  <c:v>0.31403884367075796</c:v>
                </c:pt>
                <c:pt idx="24">
                  <c:v>0.37053036457699584</c:v>
                </c:pt>
                <c:pt idx="25">
                  <c:v>0.39757643517425006</c:v>
                </c:pt>
                <c:pt idx="26">
                  <c:v>0.41891382891358497</c:v>
                </c:pt>
                <c:pt idx="27">
                  <c:v>0.41430456700560619</c:v>
                </c:pt>
                <c:pt idx="28">
                  <c:v>0.40984417755887542</c:v>
                </c:pt>
                <c:pt idx="31">
                  <c:v>0.27085167873613741</c:v>
                </c:pt>
                <c:pt idx="33">
                  <c:v>0.34320422489180508</c:v>
                </c:pt>
                <c:pt idx="34">
                  <c:v>0.20516135221071996</c:v>
                </c:pt>
                <c:pt idx="35">
                  <c:v>0.20760850977434864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F-476B-B8BE-D1F2BB86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0"/>
          <c:order val="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E9-4339-AE50-184E729A6080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0E9-4339-AE50-184E729A6080}"/>
            </c:ext>
          </c:extLst>
        </c:ser>
        <c:ser>
          <c:idx val="1"/>
          <c:order val="1"/>
          <c:tx>
            <c:strRef>
              <c:f>Figs!$X$36</c:f>
              <c:strCache>
                <c:ptCount val="1"/>
                <c:pt idx="0">
                  <c:v>Gheribi; 11.8%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Figs!$AH$16:$AH$30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Figs!$V$16:$V$30</c:f>
              <c:numCache>
                <c:formatCode>General</c:formatCode>
                <c:ptCount val="15"/>
                <c:pt idx="0">
                  <c:v>0.99333380791119696</c:v>
                </c:pt>
                <c:pt idx="1">
                  <c:v>0.98447068021154305</c:v>
                </c:pt>
                <c:pt idx="2">
                  <c:v>0.64214260840362103</c:v>
                </c:pt>
                <c:pt idx="3">
                  <c:v>0.69317885535811896</c:v>
                </c:pt>
                <c:pt idx="4">
                  <c:v>0.39011154382422603</c:v>
                </c:pt>
                <c:pt idx="5">
                  <c:v>0.56448951322319196</c:v>
                </c:pt>
                <c:pt idx="6">
                  <c:v>0.66793180176935196</c:v>
                </c:pt>
                <c:pt idx="7">
                  <c:v>0.466842165145266</c:v>
                </c:pt>
                <c:pt idx="8">
                  <c:v>0.37249183936476299</c:v>
                </c:pt>
                <c:pt idx="9">
                  <c:v>1.3498414938304</c:v>
                </c:pt>
                <c:pt idx="10">
                  <c:v>0.83980660523057205</c:v>
                </c:pt>
                <c:pt idx="11">
                  <c:v>0.58268227937308503</c:v>
                </c:pt>
                <c:pt idx="12">
                  <c:v>0.43829220310135403</c:v>
                </c:pt>
                <c:pt idx="13">
                  <c:v>0.76680974617502995</c:v>
                </c:pt>
                <c:pt idx="14">
                  <c:v>0.53209375499864198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E9-4339-AE50-184E729A6080}"/>
            </c:ext>
          </c:extLst>
        </c:ser>
        <c:ser>
          <c:idx val="4"/>
          <c:order val="2"/>
          <c:tx>
            <c:strRef>
              <c:f>Figs!$X$37</c:f>
              <c:strCache>
                <c:ptCount val="1"/>
                <c:pt idx="0">
                  <c:v>Zhao; 33.1%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Figs!$AH$16:$AH$30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Figs!$Y$16:$Y$30</c:f>
              <c:numCache>
                <c:formatCode>General</c:formatCode>
                <c:ptCount val="15"/>
                <c:pt idx="0">
                  <c:v>0.77570441935694301</c:v>
                </c:pt>
                <c:pt idx="1">
                  <c:v>0.74095938136264805</c:v>
                </c:pt>
                <c:pt idx="2">
                  <c:v>0.46849389713973499</c:v>
                </c:pt>
                <c:pt idx="3">
                  <c:v>0.64594060152309996</c:v>
                </c:pt>
                <c:pt idx="4">
                  <c:v>0.33784078052696798</c:v>
                </c:pt>
                <c:pt idx="5">
                  <c:v>0.47418605647421902</c:v>
                </c:pt>
                <c:pt idx="6">
                  <c:v>0.38684120382342102</c:v>
                </c:pt>
                <c:pt idx="7">
                  <c:v>0.28504924771650703</c:v>
                </c:pt>
                <c:pt idx="8">
                  <c:v>0.25964866776244899</c:v>
                </c:pt>
                <c:pt idx="9">
                  <c:v>0.80194503019063301</c:v>
                </c:pt>
                <c:pt idx="10">
                  <c:v>0.52656452655946195</c:v>
                </c:pt>
                <c:pt idx="11">
                  <c:v>0.36409719101091298</c:v>
                </c:pt>
                <c:pt idx="12">
                  <c:v>0.28861057804145501</c:v>
                </c:pt>
                <c:pt idx="13">
                  <c:v>0.54942631142670295</c:v>
                </c:pt>
                <c:pt idx="14">
                  <c:v>0.427744101475241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E9-4339-AE50-184E729A6080}"/>
            </c:ext>
          </c:extLst>
        </c:ser>
        <c:ser>
          <c:idx val="7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0E9-4339-AE50-184E729A6080}"/>
            </c:ext>
          </c:extLst>
        </c:ser>
        <c:ser>
          <c:idx val="2"/>
          <c:order val="4"/>
          <c:tx>
            <c:strRef>
              <c:f>Figs!$X$38</c:f>
              <c:strCache>
                <c:ptCount val="1"/>
                <c:pt idx="0">
                  <c:v>Gheribi; 55.7%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Figs!$AH$6:$AH$15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Figs!$V$6:$V$15</c:f>
              <c:numCache>
                <c:formatCode>General</c:formatCode>
                <c:ptCount val="10"/>
                <c:pt idx="0">
                  <c:v>0.67741220740497099</c:v>
                </c:pt>
                <c:pt idx="1">
                  <c:v>0.55550594201447301</c:v>
                </c:pt>
                <c:pt idx="2">
                  <c:v>0.112148952119888</c:v>
                </c:pt>
                <c:pt idx="3">
                  <c:v>0.105408277874666</c:v>
                </c:pt>
                <c:pt idx="4">
                  <c:v>0.46141777072929802</c:v>
                </c:pt>
                <c:pt idx="5">
                  <c:v>0.10753765071044399</c:v>
                </c:pt>
                <c:pt idx="6">
                  <c:v>0.14300503155139799</c:v>
                </c:pt>
                <c:pt idx="7">
                  <c:v>0.151181269098529</c:v>
                </c:pt>
                <c:pt idx="8">
                  <c:v>0.16870277158194399</c:v>
                </c:pt>
                <c:pt idx="9">
                  <c:v>0.46141777072929802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E9-4339-AE50-184E729A6080}"/>
            </c:ext>
          </c:extLst>
        </c:ser>
        <c:ser>
          <c:idx val="3"/>
          <c:order val="5"/>
          <c:tx>
            <c:strRef>
              <c:f>Figs!$X$39</c:f>
              <c:strCache>
                <c:ptCount val="1"/>
                <c:pt idx="0">
                  <c:v>Zhao; 28.7%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Figs!$AH$6:$AH$15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Figs!$Y$6:$Y$15</c:f>
              <c:numCache>
                <c:formatCode>General</c:formatCode>
                <c:ptCount val="10"/>
                <c:pt idx="0">
                  <c:v>0.74096562545436895</c:v>
                </c:pt>
                <c:pt idx="1">
                  <c:v>0.72228652104409496</c:v>
                </c:pt>
                <c:pt idx="2">
                  <c:v>0.29987597191156701</c:v>
                </c:pt>
                <c:pt idx="3">
                  <c:v>0.29112922787240902</c:v>
                </c:pt>
                <c:pt idx="4">
                  <c:v>0.71241195168460603</c:v>
                </c:pt>
                <c:pt idx="5">
                  <c:v>0.58317546813700505</c:v>
                </c:pt>
                <c:pt idx="6">
                  <c:v>0.35966985442212901</c:v>
                </c:pt>
                <c:pt idx="7">
                  <c:v>0.33864101447663503</c:v>
                </c:pt>
                <c:pt idx="8">
                  <c:v>0.328531464474764</c:v>
                </c:pt>
                <c:pt idx="9">
                  <c:v>0.71241195168460603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E9-4339-AE50-184E729A6080}"/>
            </c:ext>
          </c:extLst>
        </c:ser>
        <c:ser>
          <c:idx val="5"/>
          <c:order val="6"/>
          <c:tx>
            <c:v>Positive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1.1499999999999999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0E9-4339-AE50-184E729A6080}"/>
            </c:ext>
          </c:extLst>
        </c:ser>
        <c:ser>
          <c:idx val="6"/>
          <c:order val="7"/>
          <c:tx>
            <c:v>Negative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0E9-4339-AE50-184E729A6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4406014149742116"/>
          <c:y val="0.10110590315835105"/>
          <c:w val="0.32810498687664041"/>
          <c:h val="0.244564146339455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614708673686323E-2"/>
          <c:y val="4.3712722464834826E-2"/>
          <c:w val="0.79460861905399682"/>
          <c:h val="0.81281127744041792"/>
        </c:manualLayout>
      </c:layout>
      <c:scatterChart>
        <c:scatterStyle val="lineMarker"/>
        <c:varyColors val="0"/>
        <c:ser>
          <c:idx val="9"/>
          <c:order val="9"/>
          <c:tx>
            <c:v>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('1.0LiF_PLot_for_Figs'!$A$22,'1.0LiF_PLot_for_Figs'!$A$46,'1.0LiF_PLot_for_Figs'!$A$70,'1.0LiF_PLot_for_Figs'!$A$95)</c:f>
              <c:numCache>
                <c:formatCode>General</c:formatCode>
                <c:ptCount val="4"/>
                <c:pt idx="0">
                  <c:v>1.8677098563636301</c:v>
                </c:pt>
                <c:pt idx="1">
                  <c:v>4.3579896648484802</c:v>
                </c:pt>
                <c:pt idx="2">
                  <c:v>6.84826947333333</c:v>
                </c:pt>
                <c:pt idx="3">
                  <c:v>9.4423109405050507</c:v>
                </c:pt>
              </c:numCache>
            </c:numRef>
          </c:xVal>
          <c:yVal>
            <c:numRef>
              <c:f>('1.0LiF_PLot_for_Figs'!$B$22,'1.0LiF_PLot_for_Figs'!$B$46,'1.0LiF_PLot_for_Figs'!$B$70,'1.0LiF_PLot_for_Figs'!$B$95)</c:f>
              <c:numCache>
                <c:formatCode>General</c:formatCode>
                <c:ptCount val="4"/>
                <c:pt idx="0">
                  <c:v>3.7153550942304205</c:v>
                </c:pt>
                <c:pt idx="1">
                  <c:v>1.34336151130874</c:v>
                </c:pt>
                <c:pt idx="2">
                  <c:v>1.1283947316216301</c:v>
                </c:pt>
                <c:pt idx="3">
                  <c:v>1.0358173057476301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64-4E6F-B363-D4E7809C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'1.0LiF_PLot_for_Figs'!$R$3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'1.0LiF_PLot_for_Figs'!$A$18:$A$26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1.4526632216161599</c:v>
                      </c:pt>
                      <c:pt idx="1">
                        <c:v>1.5564248803030301</c:v>
                      </c:pt>
                      <c:pt idx="2">
                        <c:v>1.66018653898989</c:v>
                      </c:pt>
                      <c:pt idx="3">
                        <c:v>1.7639481976767599</c:v>
                      </c:pt>
                      <c:pt idx="4">
                        <c:v>1.8677098563636301</c:v>
                      </c:pt>
                      <c:pt idx="5">
                        <c:v>1.9714715150505</c:v>
                      </c:pt>
                      <c:pt idx="6">
                        <c:v>2.0752331737373702</c:v>
                      </c:pt>
                      <c:pt idx="7">
                        <c:v>2.1789948324242401</c:v>
                      </c:pt>
                      <c:pt idx="8">
                        <c:v>2.28275649111111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'1.0LiF_PLot_for_Figs'!$R$18:$R$26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3.7153550942304205</c:v>
                      </c:pt>
                      <c:pt idx="1">
                        <c:v>3.7153550942304205</c:v>
                      </c:pt>
                      <c:pt idx="2">
                        <c:v>3.7153550942304205</c:v>
                      </c:pt>
                      <c:pt idx="3">
                        <c:v>3.7153550942304205</c:v>
                      </c:pt>
                      <c:pt idx="4">
                        <c:v>3.7153550942304205</c:v>
                      </c:pt>
                      <c:pt idx="5">
                        <c:v>3.7153550942304205</c:v>
                      </c:pt>
                      <c:pt idx="6">
                        <c:v>3.7153550942304205</c:v>
                      </c:pt>
                      <c:pt idx="7">
                        <c:v>3.7153550942304205</c:v>
                      </c:pt>
                      <c:pt idx="8">
                        <c:v>3.7153550942304205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B764-4E6F-B363-D4E7809C7E0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'1.0LiF_PLot_for_Figs'!$S$3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'1.0LiF_PLot_for_Figs'!$A$28:$A$36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2.4902798084848401</c:v>
                      </c:pt>
                      <c:pt idx="1">
                        <c:v>2.59404146717171</c:v>
                      </c:pt>
                      <c:pt idx="2">
                        <c:v>2.69780312585858</c:v>
                      </c:pt>
                      <c:pt idx="3">
                        <c:v>2.8015647845454499</c:v>
                      </c:pt>
                      <c:pt idx="4">
                        <c:v>2.9053264432323198</c:v>
                      </c:pt>
                      <c:pt idx="5">
                        <c:v>3.0090881019191902</c:v>
                      </c:pt>
                      <c:pt idx="6">
                        <c:v>3.1128497606060601</c:v>
                      </c:pt>
                      <c:pt idx="7">
                        <c:v>3.2166114192929198</c:v>
                      </c:pt>
                      <c:pt idx="8">
                        <c:v>3.3203730779797902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'1.0LiF_PLot_for_Figs'!$S$28:$S$36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0.48035278300000001</c:v>
                      </c:pt>
                      <c:pt idx="1">
                        <c:v>0.48035278300000001</c:v>
                      </c:pt>
                      <c:pt idx="2">
                        <c:v>0.48035278300000001</c:v>
                      </c:pt>
                      <c:pt idx="3">
                        <c:v>0.48035278300000001</c:v>
                      </c:pt>
                      <c:pt idx="4">
                        <c:v>0.48035278300000001</c:v>
                      </c:pt>
                      <c:pt idx="5">
                        <c:v>0.48035278300000001</c:v>
                      </c:pt>
                      <c:pt idx="6">
                        <c:v>0.48035278300000001</c:v>
                      </c:pt>
                      <c:pt idx="7">
                        <c:v>0.48035278300000001</c:v>
                      </c:pt>
                      <c:pt idx="8">
                        <c:v>0.48035278300000001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64-4E6F-B363-D4E7809C7E06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strRef>
              <c:f>'1.0LiF_PLot_for_Figs'!$B$3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'1.0LiF_PLot_for_Figs'!$B$4:$B$103</c:f>
              <c:numCache>
                <c:formatCode>General</c:formatCode>
                <c:ptCount val="100"/>
                <c:pt idx="0">
                  <c:v>1.8783681983361404E-31</c:v>
                </c:pt>
                <c:pt idx="1">
                  <c:v>1.8783681983361404E-29</c:v>
                </c:pt>
                <c:pt idx="2">
                  <c:v>1.8783681983361402E-27</c:v>
                </c:pt>
                <c:pt idx="3">
                  <c:v>1.8783681983361404E-25</c:v>
                </c:pt>
                <c:pt idx="4">
                  <c:v>1.8783681983361403E-23</c:v>
                </c:pt>
                <c:pt idx="5">
                  <c:v>1.8783681983361402E-21</c:v>
                </c:pt>
                <c:pt idx="6">
                  <c:v>1.8783681983361402E-19</c:v>
                </c:pt>
                <c:pt idx="7">
                  <c:v>1.8783681983361404E-17</c:v>
                </c:pt>
                <c:pt idx="8">
                  <c:v>1.8783681983361402E-15</c:v>
                </c:pt>
                <c:pt idx="9">
                  <c:v>1.8783681983361404E-13</c:v>
                </c:pt>
                <c:pt idx="10">
                  <c:v>1.8783681983361402E-11</c:v>
                </c:pt>
                <c:pt idx="11">
                  <c:v>1.8783681983361405E-9</c:v>
                </c:pt>
                <c:pt idx="12">
                  <c:v>1.8783681983361403E-7</c:v>
                </c:pt>
                <c:pt idx="13">
                  <c:v>1.8783681983361402E-5</c:v>
                </c:pt>
                <c:pt idx="14">
                  <c:v>1.8783681983361401E-3</c:v>
                </c:pt>
                <c:pt idx="15">
                  <c:v>0.187836819833614</c:v>
                </c:pt>
                <c:pt idx="16">
                  <c:v>1.3828736156330901</c:v>
                </c:pt>
                <c:pt idx="17">
                  <c:v>2.9998430702204799</c:v>
                </c:pt>
                <c:pt idx="18">
                  <c:v>3.7153550942304205</c:v>
                </c:pt>
                <c:pt idx="19">
                  <c:v>3.2712157110736904</c:v>
                </c:pt>
                <c:pt idx="20">
                  <c:v>2.4217172177787498</c:v>
                </c:pt>
                <c:pt idx="21">
                  <c:v>1.7235302012484801</c:v>
                </c:pt>
                <c:pt idx="22">
                  <c:v>1.2313263313845999</c:v>
                </c:pt>
                <c:pt idx="23">
                  <c:v>0.92388576496757302</c:v>
                </c:pt>
                <c:pt idx="24">
                  <c:v>0.72600353796762296</c:v>
                </c:pt>
                <c:pt idx="25">
                  <c:v>0.59467143935296995</c:v>
                </c:pt>
                <c:pt idx="26">
                  <c:v>0.52255645164884801</c:v>
                </c:pt>
                <c:pt idx="27">
                  <c:v>0.48035278300000001</c:v>
                </c:pt>
                <c:pt idx="28">
                  <c:v>0.48035278300000001</c:v>
                </c:pt>
                <c:pt idx="29">
                  <c:v>0.48035278300000001</c:v>
                </c:pt>
                <c:pt idx="30">
                  <c:v>0.50741843888767202</c:v>
                </c:pt>
                <c:pt idx="31">
                  <c:v>0.56553332430129699</c:v>
                </c:pt>
                <c:pt idx="32">
                  <c:v>0.62364820971492096</c:v>
                </c:pt>
                <c:pt idx="33">
                  <c:v>0.68176309512854605</c:v>
                </c:pt>
                <c:pt idx="34">
                  <c:v>0.75236089482964807</c:v>
                </c:pt>
                <c:pt idx="35">
                  <c:v>0.85176225359289504</c:v>
                </c:pt>
                <c:pt idx="36">
                  <c:v>0.96235232680888694</c:v>
                </c:pt>
                <c:pt idx="37">
                  <c:v>1.07312850158283</c:v>
                </c:pt>
                <c:pt idx="38">
                  <c:v>1.18390467635678</c:v>
                </c:pt>
                <c:pt idx="39">
                  <c:v>1.27306124594298</c:v>
                </c:pt>
                <c:pt idx="40">
                  <c:v>1.2964946677315701</c:v>
                </c:pt>
                <c:pt idx="41">
                  <c:v>1.3199280895201599</c:v>
                </c:pt>
                <c:pt idx="42">
                  <c:v>1.34336151130874</c:v>
                </c:pt>
                <c:pt idx="43">
                  <c:v>1.32278063641877</c:v>
                </c:pt>
                <c:pt idx="44">
                  <c:v>1.2648106871849001</c:v>
                </c:pt>
                <c:pt idx="45">
                  <c:v>1.19377494558583</c:v>
                </c:pt>
                <c:pt idx="46">
                  <c:v>1.11878799682255</c:v>
                </c:pt>
                <c:pt idx="47">
                  <c:v>1.0517812507069799</c:v>
                </c:pt>
                <c:pt idx="48">
                  <c:v>0.99241658243371589</c:v>
                </c:pt>
                <c:pt idx="49">
                  <c:v>0.93376783753884895</c:v>
                </c:pt>
                <c:pt idx="50">
                  <c:v>0.89158767859372889</c:v>
                </c:pt>
                <c:pt idx="51">
                  <c:v>0.85753587494317196</c:v>
                </c:pt>
                <c:pt idx="52">
                  <c:v>0.842947683</c:v>
                </c:pt>
                <c:pt idx="53">
                  <c:v>0.842947683</c:v>
                </c:pt>
                <c:pt idx="54">
                  <c:v>0.842947683</c:v>
                </c:pt>
                <c:pt idx="55">
                  <c:v>0.842947683</c:v>
                </c:pt>
                <c:pt idx="56">
                  <c:v>0.85360588062576803</c:v>
                </c:pt>
                <c:pt idx="57">
                  <c:v>0.88203330985952699</c:v>
                </c:pt>
                <c:pt idx="58">
                  <c:v>0.91046073909328495</c:v>
                </c:pt>
                <c:pt idx="59">
                  <c:v>0.93888816832704403</c:v>
                </c:pt>
                <c:pt idx="60">
                  <c:v>0.96731559756080299</c:v>
                </c:pt>
                <c:pt idx="61">
                  <c:v>0.99574302679456195</c:v>
                </c:pt>
                <c:pt idx="62">
                  <c:v>1.02417045602832</c:v>
                </c:pt>
                <c:pt idx="63">
                  <c:v>1.0525978852620701</c:v>
                </c:pt>
                <c:pt idx="64">
                  <c:v>1.0810253144958299</c:v>
                </c:pt>
                <c:pt idx="65">
                  <c:v>1.10945274372959</c:v>
                </c:pt>
                <c:pt idx="66">
                  <c:v>1.1283947316216301</c:v>
                </c:pt>
                <c:pt idx="67">
                  <c:v>1.1134346401286099</c:v>
                </c:pt>
                <c:pt idx="68">
                  <c:v>1.0972115021458599</c:v>
                </c:pt>
                <c:pt idx="69">
                  <c:v>1.0809883641631099</c:v>
                </c:pt>
                <c:pt idx="70">
                  <c:v>1.06476522618035</c:v>
                </c:pt>
                <c:pt idx="71">
                  <c:v>1.0425429367948</c:v>
                </c:pt>
                <c:pt idx="72">
                  <c:v>1.0169792049923101</c:v>
                </c:pt>
                <c:pt idx="73">
                  <c:v>0.99318692912969886</c:v>
                </c:pt>
                <c:pt idx="74">
                  <c:v>0.97127466865413803</c:v>
                </c:pt>
                <c:pt idx="75">
                  <c:v>0.9573165135693209</c:v>
                </c:pt>
                <c:pt idx="76">
                  <c:v>0.94559980258317111</c:v>
                </c:pt>
                <c:pt idx="77">
                  <c:v>0.935525104</c:v>
                </c:pt>
                <c:pt idx="78">
                  <c:v>0.935525104</c:v>
                </c:pt>
                <c:pt idx="79">
                  <c:v>0.935525104</c:v>
                </c:pt>
                <c:pt idx="80">
                  <c:v>0.935525104</c:v>
                </c:pt>
                <c:pt idx="81">
                  <c:v>0.94494420255318112</c:v>
                </c:pt>
                <c:pt idx="82">
                  <c:v>0.95872856833287001</c:v>
                </c:pt>
                <c:pt idx="83">
                  <c:v>0.97251293411256001</c:v>
                </c:pt>
                <c:pt idx="84">
                  <c:v>0.98629729989224901</c:v>
                </c:pt>
                <c:pt idx="85">
                  <c:v>1.00008166567193</c:v>
                </c:pt>
                <c:pt idx="86">
                  <c:v>1.01388989235492</c:v>
                </c:pt>
                <c:pt idx="87">
                  <c:v>1.0279499384516899</c:v>
                </c:pt>
                <c:pt idx="88">
                  <c:v>1.03581730073581</c:v>
                </c:pt>
                <c:pt idx="89">
                  <c:v>1.0358173024064199</c:v>
                </c:pt>
                <c:pt idx="90">
                  <c:v>1.03581730407702</c:v>
                </c:pt>
                <c:pt idx="91">
                  <c:v>1.0358173057476301</c:v>
                </c:pt>
                <c:pt idx="92">
                  <c:v>1.03581730741824</c:v>
                </c:pt>
                <c:pt idx="93">
                  <c:v>1.0358173090888501</c:v>
                </c:pt>
                <c:pt idx="94">
                  <c:v>1.0358173107594599</c:v>
                </c:pt>
                <c:pt idx="95">
                  <c:v>1.0283703614684201</c:v>
                </c:pt>
                <c:pt idx="96">
                  <c:v>1.01614423448999</c:v>
                </c:pt>
                <c:pt idx="97">
                  <c:v>1.00739581409514</c:v>
                </c:pt>
                <c:pt idx="98">
                  <c:v>0.99614777112236186</c:v>
                </c:pt>
                <c:pt idx="99">
                  <c:v>0.98849996210706403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64-4E6F-B363-D4E7809C7E06}"/>
            </c:ext>
          </c:extLst>
        </c:ser>
        <c:ser>
          <c:idx val="1"/>
          <c:order val="1"/>
          <c:tx>
            <c:strRef>
              <c:f>'1.0LiF_PLot_for_Figs'!$C$3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'1.0LiF_PLot_for_Figs'!$C$4:$C$103</c:f>
              <c:numCache>
                <c:formatCode>General</c:formatCode>
                <c:ptCount val="100"/>
                <c:pt idx="0">
                  <c:v>8.7178378032945166E-21</c:v>
                </c:pt>
                <c:pt idx="1">
                  <c:v>8.7178378032945154E-20</c:v>
                </c:pt>
                <c:pt idx="2">
                  <c:v>8.7178378032945164E-19</c:v>
                </c:pt>
                <c:pt idx="3">
                  <c:v>8.7178378032945164E-18</c:v>
                </c:pt>
                <c:pt idx="4">
                  <c:v>8.7178378032945148E-17</c:v>
                </c:pt>
                <c:pt idx="5">
                  <c:v>8.7178378032945144E-16</c:v>
                </c:pt>
                <c:pt idx="6">
                  <c:v>8.7178378032945144E-15</c:v>
                </c:pt>
                <c:pt idx="7">
                  <c:v>8.7178378032945144E-14</c:v>
                </c:pt>
                <c:pt idx="8">
                  <c:v>8.7178378032945149E-13</c:v>
                </c:pt>
                <c:pt idx="9">
                  <c:v>8.717837803294514E-12</c:v>
                </c:pt>
                <c:pt idx="10">
                  <c:v>8.7178378032945128E-11</c:v>
                </c:pt>
                <c:pt idx="11">
                  <c:v>8.717837803294513E-10</c:v>
                </c:pt>
                <c:pt idx="12">
                  <c:v>8.7178378032945118E-9</c:v>
                </c:pt>
                <c:pt idx="13">
                  <c:v>8.7178378032945118E-8</c:v>
                </c:pt>
                <c:pt idx="14">
                  <c:v>8.7178378032945112E-7</c:v>
                </c:pt>
                <c:pt idx="15">
                  <c:v>8.7178378032945115E-6</c:v>
                </c:pt>
                <c:pt idx="16">
                  <c:v>8.7178378032945101E-5</c:v>
                </c:pt>
                <c:pt idx="17">
                  <c:v>8.7178378032945101E-4</c:v>
                </c:pt>
                <c:pt idx="18">
                  <c:v>8.7178378032945099E-3</c:v>
                </c:pt>
                <c:pt idx="19">
                  <c:v>2.6456014134457601E-2</c:v>
                </c:pt>
                <c:pt idx="20">
                  <c:v>8.0958179069013703E-2</c:v>
                </c:pt>
                <c:pt idx="21">
                  <c:v>0.21701882854437099</c:v>
                </c:pt>
                <c:pt idx="22">
                  <c:v>0.45830777270171696</c:v>
                </c:pt>
                <c:pt idx="23">
                  <c:v>0.81734548032957</c:v>
                </c:pt>
                <c:pt idx="24">
                  <c:v>1.1463784940822701</c:v>
                </c:pt>
                <c:pt idx="25">
                  <c:v>1.5028667407519301</c:v>
                </c:pt>
                <c:pt idx="26">
                  <c:v>1.6953930873493199</c:v>
                </c:pt>
                <c:pt idx="27">
                  <c:v>1.78052340042459</c:v>
                </c:pt>
                <c:pt idx="28">
                  <c:v>1.7439786200463701</c:v>
                </c:pt>
                <c:pt idx="29">
                  <c:v>1.6622881598260197</c:v>
                </c:pt>
                <c:pt idx="30">
                  <c:v>1.54056218736602</c:v>
                </c:pt>
                <c:pt idx="31">
                  <c:v>1.3819062194716001</c:v>
                </c:pt>
                <c:pt idx="32">
                  <c:v>1.26009687958145</c:v>
                </c:pt>
                <c:pt idx="33">
                  <c:v>1.1694841901706701</c:v>
                </c:pt>
                <c:pt idx="34">
                  <c:v>1.08735902858097</c:v>
                </c:pt>
                <c:pt idx="35">
                  <c:v>1.0207411583756201</c:v>
                </c:pt>
                <c:pt idx="36">
                  <c:v>0.95776504249364791</c:v>
                </c:pt>
                <c:pt idx="37">
                  <c:v>0.89283737032769095</c:v>
                </c:pt>
                <c:pt idx="38">
                  <c:v>0.83389063590826784</c:v>
                </c:pt>
                <c:pt idx="39">
                  <c:v>0.79118978875372603</c:v>
                </c:pt>
                <c:pt idx="40">
                  <c:v>0.75370061223782803</c:v>
                </c:pt>
                <c:pt idx="41">
                  <c:v>0.72387625759867402</c:v>
                </c:pt>
                <c:pt idx="42">
                  <c:v>0.70327145338084096</c:v>
                </c:pt>
                <c:pt idx="43">
                  <c:v>0.71967484847538699</c:v>
                </c:pt>
                <c:pt idx="44">
                  <c:v>0.74060364514309496</c:v>
                </c:pt>
                <c:pt idx="45">
                  <c:v>0.78026020452240297</c:v>
                </c:pt>
                <c:pt idx="46">
                  <c:v>0.86176853644798501</c:v>
                </c:pt>
                <c:pt idx="47">
                  <c:v>0.92738211701595508</c:v>
                </c:pt>
                <c:pt idx="48">
                  <c:v>0.99387025507037197</c:v>
                </c:pt>
                <c:pt idx="49">
                  <c:v>1.06299884898994</c:v>
                </c:pt>
                <c:pt idx="50">
                  <c:v>1.1173844806039599</c:v>
                </c:pt>
                <c:pt idx="51">
                  <c:v>1.1605046627072999</c:v>
                </c:pt>
                <c:pt idx="52">
                  <c:v>1.1930115689901299</c:v>
                </c:pt>
                <c:pt idx="53">
                  <c:v>1.1926398580136299</c:v>
                </c:pt>
                <c:pt idx="54">
                  <c:v>1.1921481153262801</c:v>
                </c:pt>
                <c:pt idx="55">
                  <c:v>1.1833104710031801</c:v>
                </c:pt>
                <c:pt idx="56">
                  <c:v>1.1530423015567901</c:v>
                </c:pt>
                <c:pt idx="57">
                  <c:v>1.1227741321103999</c:v>
                </c:pt>
                <c:pt idx="58">
                  <c:v>1.0869421425051899</c:v>
                </c:pt>
                <c:pt idx="59">
                  <c:v>1.04806809445142</c:v>
                </c:pt>
                <c:pt idx="60">
                  <c:v>1.01020692632715</c:v>
                </c:pt>
                <c:pt idx="61">
                  <c:v>0.972487883186818</c:v>
                </c:pt>
                <c:pt idx="62">
                  <c:v>0.94633613829761787</c:v>
                </c:pt>
                <c:pt idx="63">
                  <c:v>0.92206013914975204</c:v>
                </c:pt>
                <c:pt idx="64">
                  <c:v>0.90524982739209614</c:v>
                </c:pt>
                <c:pt idx="65">
                  <c:v>0.88884643229755111</c:v>
                </c:pt>
                <c:pt idx="66">
                  <c:v>0.89052054292486305</c:v>
                </c:pt>
                <c:pt idx="67">
                  <c:v>0.893277416006522</c:v>
                </c:pt>
                <c:pt idx="68">
                  <c:v>0.89603428908818095</c:v>
                </c:pt>
                <c:pt idx="69">
                  <c:v>0.90983098648277605</c:v>
                </c:pt>
                <c:pt idx="70">
                  <c:v>0.93321187172644904</c:v>
                </c:pt>
                <c:pt idx="71">
                  <c:v>0.95705591806155099</c:v>
                </c:pt>
                <c:pt idx="72">
                  <c:v>0.98191633833703196</c:v>
                </c:pt>
                <c:pt idx="73">
                  <c:v>1.00677675861251</c:v>
                </c:pt>
                <c:pt idx="74">
                  <c:v>1.03142748403247</c:v>
                </c:pt>
                <c:pt idx="75">
                  <c:v>1.0462211802921</c:v>
                </c:pt>
                <c:pt idx="76">
                  <c:v>1.06101487655172</c:v>
                </c:pt>
                <c:pt idx="77">
                  <c:v>1.0715758573342899</c:v>
                </c:pt>
                <c:pt idx="78">
                  <c:v>1.07295429372841</c:v>
                </c:pt>
                <c:pt idx="79">
                  <c:v>1.07433273012254</c:v>
                </c:pt>
                <c:pt idx="80">
                  <c:v>1.0757111665166601</c:v>
                </c:pt>
                <c:pt idx="81">
                  <c:v>1.0626421267142401</c:v>
                </c:pt>
                <c:pt idx="82">
                  <c:v>1.0480972444473</c:v>
                </c:pt>
                <c:pt idx="83">
                  <c:v>1.03355201515663</c:v>
                </c:pt>
                <c:pt idx="84">
                  <c:v>1.01792973406414</c:v>
                </c:pt>
                <c:pt idx="85">
                  <c:v>1.00230745297165</c:v>
                </c:pt>
                <c:pt idx="86">
                  <c:v>0.98901616672400494</c:v>
                </c:pt>
                <c:pt idx="87">
                  <c:v>0.97632900963516889</c:v>
                </c:pt>
                <c:pt idx="88">
                  <c:v>0.96695564115222798</c:v>
                </c:pt>
                <c:pt idx="89">
                  <c:v>0.95758227266928686</c:v>
                </c:pt>
                <c:pt idx="90">
                  <c:v>0.94928743329397802</c:v>
                </c:pt>
                <c:pt idx="91">
                  <c:v>0.95280244634193301</c:v>
                </c:pt>
                <c:pt idx="92">
                  <c:v>0.95631745938988799</c:v>
                </c:pt>
                <c:pt idx="93">
                  <c:v>0.95983247243784309</c:v>
                </c:pt>
                <c:pt idx="94">
                  <c:v>0.96381012994718596</c:v>
                </c:pt>
                <c:pt idx="95">
                  <c:v>0.97357405565025901</c:v>
                </c:pt>
                <c:pt idx="96">
                  <c:v>0.98333798135333184</c:v>
                </c:pt>
                <c:pt idx="97">
                  <c:v>0.99394628349388814</c:v>
                </c:pt>
                <c:pt idx="98">
                  <c:v>1.0049737762386599</c:v>
                </c:pt>
                <c:pt idx="99">
                  <c:v>1.0160012689834399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64-4E6F-B363-D4E7809C7E06}"/>
            </c:ext>
          </c:extLst>
        </c:ser>
        <c:ser>
          <c:idx val="2"/>
          <c:order val="2"/>
          <c:tx>
            <c:strRef>
              <c:f>'1.0LiF_PLot_for_Figs'!$D$3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'1.0LiF_PLot_for_Figs'!$D$4:$D$103</c:f>
              <c:numCache>
                <c:formatCode>General</c:formatCode>
                <c:ptCount val="100"/>
                <c:pt idx="0">
                  <c:v>1.2734509901877513E-21</c:v>
                </c:pt>
                <c:pt idx="1">
                  <c:v>1.2734509901877513E-20</c:v>
                </c:pt>
                <c:pt idx="2">
                  <c:v>1.2734509901877512E-19</c:v>
                </c:pt>
                <c:pt idx="3">
                  <c:v>1.2734509901877512E-18</c:v>
                </c:pt>
                <c:pt idx="4">
                  <c:v>1.2734509901877511E-17</c:v>
                </c:pt>
                <c:pt idx="5">
                  <c:v>1.273450990187751E-16</c:v>
                </c:pt>
                <c:pt idx="6">
                  <c:v>1.2734509901877509E-15</c:v>
                </c:pt>
                <c:pt idx="7">
                  <c:v>1.2734509901877508E-14</c:v>
                </c:pt>
                <c:pt idx="8">
                  <c:v>1.2734509901877508E-13</c:v>
                </c:pt>
                <c:pt idx="9">
                  <c:v>1.2734509901877507E-12</c:v>
                </c:pt>
                <c:pt idx="10">
                  <c:v>1.2734509901877506E-11</c:v>
                </c:pt>
                <c:pt idx="11">
                  <c:v>1.2734509901877506E-10</c:v>
                </c:pt>
                <c:pt idx="12">
                  <c:v>1.2734509901877506E-9</c:v>
                </c:pt>
                <c:pt idx="13">
                  <c:v>1.2734509901877504E-8</c:v>
                </c:pt>
                <c:pt idx="14">
                  <c:v>1.2734509901877506E-7</c:v>
                </c:pt>
                <c:pt idx="15">
                  <c:v>1.2734509901877504E-6</c:v>
                </c:pt>
                <c:pt idx="16">
                  <c:v>1.2734509901877503E-5</c:v>
                </c:pt>
                <c:pt idx="17">
                  <c:v>1.2734509901877504E-4</c:v>
                </c:pt>
                <c:pt idx="18">
                  <c:v>1.2734509901877503E-3</c:v>
                </c:pt>
                <c:pt idx="19">
                  <c:v>1.2734509901877501E-2</c:v>
                </c:pt>
                <c:pt idx="20">
                  <c:v>0.127345099018775</c:v>
                </c:pt>
                <c:pt idx="21">
                  <c:v>0.27890909691209698</c:v>
                </c:pt>
                <c:pt idx="22">
                  <c:v>0.53295010223291395</c:v>
                </c:pt>
                <c:pt idx="23">
                  <c:v>0.83174246049337097</c:v>
                </c:pt>
                <c:pt idx="24">
                  <c:v>1.14517272186984</c:v>
                </c:pt>
                <c:pt idx="25">
                  <c:v>1.4234405997026001</c:v>
                </c:pt>
                <c:pt idx="26">
                  <c:v>1.5872930962427003</c:v>
                </c:pt>
                <c:pt idx="27">
                  <c:v>1.6850439409163602</c:v>
                </c:pt>
                <c:pt idx="28">
                  <c:v>1.6676957584269501</c:v>
                </c:pt>
                <c:pt idx="29">
                  <c:v>1.61045737143434</c:v>
                </c:pt>
                <c:pt idx="30">
                  <c:v>1.5065098613075301</c:v>
                </c:pt>
                <c:pt idx="31">
                  <c:v>1.3984066246765601</c:v>
                </c:pt>
                <c:pt idx="32">
                  <c:v>1.3042605852448099</c:v>
                </c:pt>
                <c:pt idx="33">
                  <c:v>1.2190425071297399</c:v>
                </c:pt>
                <c:pt idx="34">
                  <c:v>1.14498287820915</c:v>
                </c:pt>
                <c:pt idx="35">
                  <c:v>1.0740659442924201</c:v>
                </c:pt>
                <c:pt idx="36">
                  <c:v>0.99973622159991016</c:v>
                </c:pt>
                <c:pt idx="37">
                  <c:v>0.92813456845563402</c:v>
                </c:pt>
                <c:pt idx="38">
                  <c:v>0.86088244427519611</c:v>
                </c:pt>
                <c:pt idx="39">
                  <c:v>0.79577746396813298</c:v>
                </c:pt>
                <c:pt idx="40">
                  <c:v>0.75416999266241591</c:v>
                </c:pt>
                <c:pt idx="41">
                  <c:v>0.721730374528888</c:v>
                </c:pt>
                <c:pt idx="42">
                  <c:v>0.70483651240121004</c:v>
                </c:pt>
                <c:pt idx="43">
                  <c:v>0.72153521151397304</c:v>
                </c:pt>
                <c:pt idx="44">
                  <c:v>0.74018623408955297</c:v>
                </c:pt>
                <c:pt idx="45">
                  <c:v>0.78797203541149696</c:v>
                </c:pt>
                <c:pt idx="46">
                  <c:v>0.84044958710846784</c:v>
                </c:pt>
                <c:pt idx="47">
                  <c:v>0.90228778296157797</c:v>
                </c:pt>
                <c:pt idx="48">
                  <c:v>0.967943261508597</c:v>
                </c:pt>
                <c:pt idx="49">
                  <c:v>1.0339219653804199</c:v>
                </c:pt>
                <c:pt idx="50">
                  <c:v>1.0982372123010899</c:v>
                </c:pt>
                <c:pt idx="51">
                  <c:v>1.1398060643127701</c:v>
                </c:pt>
                <c:pt idx="52">
                  <c:v>1.1755768478912401</c:v>
                </c:pt>
                <c:pt idx="53">
                  <c:v>1.18112686862811</c:v>
                </c:pt>
                <c:pt idx="54">
                  <c:v>1.18667688936497</c:v>
                </c:pt>
                <c:pt idx="55">
                  <c:v>1.19108287681686</c:v>
                </c:pt>
                <c:pt idx="56">
                  <c:v>1.1623490385905799</c:v>
                </c:pt>
                <c:pt idx="57">
                  <c:v>1.1336152003643001</c:v>
                </c:pt>
                <c:pt idx="58">
                  <c:v>1.09769346536347</c:v>
                </c:pt>
                <c:pt idx="59">
                  <c:v>1.0594139247046099</c:v>
                </c:pt>
                <c:pt idx="60">
                  <c:v>1.0217784299917401</c:v>
                </c:pt>
                <c:pt idx="61">
                  <c:v>0.98689067572377986</c:v>
                </c:pt>
                <c:pt idx="62">
                  <c:v>0.954540624891699</c:v>
                </c:pt>
                <c:pt idx="63">
                  <c:v>0.92845820753451302</c:v>
                </c:pt>
                <c:pt idx="64">
                  <c:v>0.90866573138268802</c:v>
                </c:pt>
                <c:pt idx="65">
                  <c:v>0.89290001643836803</c:v>
                </c:pt>
                <c:pt idx="66">
                  <c:v>0.89029630329823295</c:v>
                </c:pt>
                <c:pt idx="67">
                  <c:v>0.89087100982134104</c:v>
                </c:pt>
                <c:pt idx="68">
                  <c:v>0.89596104161921497</c:v>
                </c:pt>
                <c:pt idx="69">
                  <c:v>0.91076109781574399</c:v>
                </c:pt>
                <c:pt idx="70">
                  <c:v>0.92969709760769303</c:v>
                </c:pt>
                <c:pt idx="71">
                  <c:v>0.95106286428033204</c:v>
                </c:pt>
                <c:pt idx="72">
                  <c:v>0.97520310488292417</c:v>
                </c:pt>
                <c:pt idx="73">
                  <c:v>0.99971929269922699</c:v>
                </c:pt>
                <c:pt idx="74">
                  <c:v>1.0206597972001501</c:v>
                </c:pt>
                <c:pt idx="75">
                  <c:v>1.04160030170107</c:v>
                </c:pt>
                <c:pt idx="76">
                  <c:v>1.0524982116769701</c:v>
                </c:pt>
                <c:pt idx="77">
                  <c:v>1.0548183523901999</c:v>
                </c:pt>
                <c:pt idx="78">
                  <c:v>1.05713849310342</c:v>
                </c:pt>
                <c:pt idx="79">
                  <c:v>1.0594586338166501</c:v>
                </c:pt>
                <c:pt idx="80">
                  <c:v>1.0617787745298799</c:v>
                </c:pt>
                <c:pt idx="81">
                  <c:v>1.0640989152431</c:v>
                </c:pt>
                <c:pt idx="82">
                  <c:v>1.05100383098086</c:v>
                </c:pt>
                <c:pt idx="83">
                  <c:v>1.03786917446655</c:v>
                </c:pt>
                <c:pt idx="84">
                  <c:v>1.0228890001565101</c:v>
                </c:pt>
                <c:pt idx="85">
                  <c:v>1.0075671474874299</c:v>
                </c:pt>
                <c:pt idx="86">
                  <c:v>0.99303344334596999</c:v>
                </c:pt>
                <c:pt idx="87">
                  <c:v>0.97975513198023201</c:v>
                </c:pt>
                <c:pt idx="88">
                  <c:v>0.96822440100964902</c:v>
                </c:pt>
                <c:pt idx="89">
                  <c:v>0.96140138258127594</c:v>
                </c:pt>
                <c:pt idx="90">
                  <c:v>0.95866945999999986</c:v>
                </c:pt>
                <c:pt idx="91">
                  <c:v>0.95866945999999986</c:v>
                </c:pt>
                <c:pt idx="92">
                  <c:v>0.95866945999999986</c:v>
                </c:pt>
                <c:pt idx="93">
                  <c:v>0.96080881942932095</c:v>
                </c:pt>
                <c:pt idx="94">
                  <c:v>0.96506944148362594</c:v>
                </c:pt>
                <c:pt idx="95">
                  <c:v>0.97323893806276196</c:v>
                </c:pt>
                <c:pt idx="96">
                  <c:v>0.98315307773655203</c:v>
                </c:pt>
                <c:pt idx="97">
                  <c:v>0.99301911811961596</c:v>
                </c:pt>
                <c:pt idx="98">
                  <c:v>1.0028460370598</c:v>
                </c:pt>
                <c:pt idx="99">
                  <c:v>1.0126729560000001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64-4E6F-B363-D4E7809C7E06}"/>
            </c:ext>
          </c:extLst>
        </c:ser>
        <c:ser>
          <c:idx val="10"/>
          <c:order val="10"/>
          <c:tx>
            <c:strRef>
              <c:f>'1.0LiF_PLot_for_Figs'!$E$3</c:f>
              <c:strCache>
                <c:ptCount val="1"/>
                <c:pt idx="0">
                  <c:v>Power Law Fit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'1.0LiF_PLot_for_Figs'!$E$4:$E$103</c:f>
              <c:numCache>
                <c:formatCode>General</c:formatCode>
                <c:ptCount val="100"/>
                <c:pt idx="1">
                  <c:v>2899.0337885140079</c:v>
                </c:pt>
                <c:pt idx="2">
                  <c:v>547.52841661394609</c:v>
                </c:pt>
                <c:pt idx="3">
                  <c:v>206.97421586544201</c:v>
                </c:pt>
                <c:pt idx="4">
                  <c:v>104.06757338385219</c:v>
                </c:pt>
                <c:pt idx="5">
                  <c:v>61.240440843413346</c:v>
                </c:pt>
                <c:pt idx="6">
                  <c:v>39.843840436367763</c:v>
                </c:pt>
                <c:pt idx="7">
                  <c:v>27.804080968626838</c:v>
                </c:pt>
                <c:pt idx="8">
                  <c:v>20.437094870657912</c:v>
                </c:pt>
                <c:pt idx="9">
                  <c:v>15.639366100399515</c:v>
                </c:pt>
                <c:pt idx="10">
                  <c:v>12.36049996406676</c:v>
                </c:pt>
                <c:pt idx="11">
                  <c:v>10.031864654709461</c:v>
                </c:pt>
                <c:pt idx="12">
                  <c:v>8.3254020339696417</c:v>
                </c:pt>
                <c:pt idx="13">
                  <c:v>7.0418410419163253</c:v>
                </c:pt>
                <c:pt idx="14">
                  <c:v>6.0548727170249128</c:v>
                </c:pt>
                <c:pt idx="15">
                  <c:v>5.2815158385275698</c:v>
                </c:pt>
                <c:pt idx="16">
                  <c:v>4.6655627430358466</c:v>
                </c:pt>
                <c:pt idx="17">
                  <c:v>4.1679231886303265</c:v>
                </c:pt>
                <c:pt idx="18">
                  <c:v>3.7607785688330018</c:v>
                </c:pt>
                <c:pt idx="19">
                  <c:v>3.4239266898087677</c:v>
                </c:pt>
                <c:pt idx="20">
                  <c:v>3.1424305271774737</c:v>
                </c:pt>
                <c:pt idx="21">
                  <c:v>2.9050673533857343</c:v>
                </c:pt>
                <c:pt idx="22">
                  <c:v>2.7032826561145433</c:v>
                </c:pt>
                <c:pt idx="23">
                  <c:v>2.5304702477057992</c:v>
                </c:pt>
                <c:pt idx="24">
                  <c:v>2.3814678043277433</c:v>
                </c:pt>
                <c:pt idx="25">
                  <c:v>2.252197516603009</c:v>
                </c:pt>
                <c:pt idx="26">
                  <c:v>2.1394062523214652</c:v>
                </c:pt>
                <c:pt idx="27">
                  <c:v>2.0404750852967517</c:v>
                </c:pt>
                <c:pt idx="28">
                  <c:v>1.9532779062721892</c:v>
                </c:pt>
                <c:pt idx="29">
                  <c:v>1.8760752448928506</c:v>
                </c:pt>
                <c:pt idx="30">
                  <c:v>1.8074336749323656</c:v>
                </c:pt>
                <c:pt idx="31">
                  <c:v>1.7461640275371693</c:v>
                </c:pt>
                <c:pt idx="32">
                  <c:v>1.6912735834517965</c:v>
                </c:pt>
                <c:pt idx="33">
                  <c:v>1.6419287612966369</c:v>
                </c:pt>
                <c:pt idx="34">
                  <c:v>1.5974257619420351</c:v>
                </c:pt>
                <c:pt idx="35">
                  <c:v>1.5571672974801978</c:v>
                </c:pt>
                <c:pt idx="36">
                  <c:v>1.5206440124425527</c:v>
                </c:pt>
                <c:pt idx="37">
                  <c:v>1.4874195519498707</c:v>
                </c:pt>
                <c:pt idx="38">
                  <c:v>1.4571184853054318</c:v>
                </c:pt>
                <c:pt idx="39">
                  <c:v>1.4294164808997925</c:v>
                </c:pt>
                <c:pt idx="40">
                  <c:v>1.4040322677963286</c:v>
                </c:pt>
                <c:pt idx="41">
                  <c:v>1.3807210240867278</c:v>
                </c:pt>
                <c:pt idx="42">
                  <c:v>1.3592689113271896</c:v>
                </c:pt>
                <c:pt idx="43">
                  <c:v>1.3394885347381957</c:v>
                </c:pt>
                <c:pt idx="44">
                  <c:v>1.3212151551792681</c:v>
                </c:pt>
                <c:pt idx="45">
                  <c:v>1.3043035146972501</c:v>
                </c:pt>
                <c:pt idx="46">
                  <c:v>1.2886251652650003</c:v>
                </c:pt>
                <c:pt idx="47">
                  <c:v>1.2740662120810224</c:v>
                </c:pt>
                <c:pt idx="48">
                  <c:v>1.2605253999089949</c:v>
                </c:pt>
                <c:pt idx="49">
                  <c:v>1.2479124844645475</c:v>
                </c:pt>
                <c:pt idx="50">
                  <c:v>1.2361468416101096</c:v>
                </c:pt>
                <c:pt idx="51">
                  <c:v>1.2251562757088026</c:v>
                </c:pt>
                <c:pt idx="52">
                  <c:v>1.2148759953832662</c:v>
                </c:pt>
                <c:pt idx="53">
                  <c:v>1.2052477304847815</c:v>
                </c:pt>
                <c:pt idx="54">
                  <c:v>1.1962189685804461</c:v>
                </c:pt>
                <c:pt idx="55">
                  <c:v>1.1877422929277603</c:v>
                </c:pt>
                <c:pt idx="56">
                  <c:v>1.1797748068959359</c:v>
                </c:pt>
                <c:pt idx="57">
                  <c:v>1.1722776322441313</c:v>
                </c:pt>
                <c:pt idx="58">
                  <c:v>1.1652154706834799</c:v>
                </c:pt>
                <c:pt idx="59">
                  <c:v>1.1585562198150137</c:v>
                </c:pt>
                <c:pt idx="60">
                  <c:v>1.1522706359154784</c:v>
                </c:pt>
                <c:pt idx="61">
                  <c:v>1.1463320371902888</c:v>
                </c:pt>
                <c:pt idx="62">
                  <c:v>1.1407160420697786</c:v>
                </c:pt>
                <c:pt idx="63">
                  <c:v>1.1354003379255593</c:v>
                </c:pt>
                <c:pt idx="64">
                  <c:v>1.1303644762557039</c:v>
                </c:pt>
                <c:pt idx="65">
                  <c:v>1.1255896909530154</c:v>
                </c:pt>
                <c:pt idx="66">
                  <c:v>1.1210587367479583</c:v>
                </c:pt>
                <c:pt idx="67">
                  <c:v>1.1167557453218129</c:v>
                </c:pt>
                <c:pt idx="68">
                  <c:v>1.1126660969284228</c:v>
                </c:pt>
                <c:pt idx="69">
                  <c:v>1.1087763056545432</c:v>
                </c:pt>
                <c:pt idx="70">
                  <c:v>1.105073916697523</c:v>
                </c:pt>
                <c:pt idx="71">
                  <c:v>1.1015474142517021</c:v>
                </c:pt>
                <c:pt idx="72">
                  <c:v>1.0981861387771008</c:v>
                </c:pt>
                <c:pt idx="73">
                  <c:v>1.0949802125804768</c:v>
                </c:pt>
                <c:pt idx="74">
                  <c:v>1.0919204727735208</c:v>
                </c:pt>
                <c:pt idx="75">
                  <c:v>1.0889984107891344</c:v>
                </c:pt>
                <c:pt idx="76">
                  <c:v>1.0862061177371733</c:v>
                </c:pt>
                <c:pt idx="77">
                  <c:v>1.0835362349680009</c:v>
                </c:pt>
                <c:pt idx="78">
                  <c:v>1.0809819092876889</c:v>
                </c:pt>
                <c:pt idx="79">
                  <c:v>1.0785367523343194</c:v>
                </c:pt>
                <c:pt idx="80">
                  <c:v>1.0761948036820153</c:v>
                </c:pt>
                <c:pt idx="81">
                  <c:v>1.0739504972892051</c:v>
                </c:pt>
                <c:pt idx="82">
                  <c:v>1.0717986309512471</c:v>
                </c:pt>
                <c:pt idx="83">
                  <c:v>1.0697343384557141</c:v>
                </c:pt>
                <c:pt idx="84">
                  <c:v>1.0677530641721564</c:v>
                </c:pt>
                <c:pt idx="85">
                  <c:v>1.0658505398375693</c:v>
                </c:pt>
                <c:pt idx="86">
                  <c:v>1.0640227633247141</c:v>
                </c:pt>
                <c:pt idx="87">
                  <c:v>1.0622659792032514</c:v>
                </c:pt>
                <c:pt idx="88">
                  <c:v>1.0605766609238005</c:v>
                </c:pt>
                <c:pt idx="89">
                  <c:v>1.0589514944728573</c:v>
                </c:pt>
                <c:pt idx="90">
                  <c:v>1.0573873633622561</c:v>
                </c:pt>
                <c:pt idx="91">
                  <c:v>1.0558813348308607</c:v>
                </c:pt>
                <c:pt idx="92">
                  <c:v>1.0544306471485634</c:v>
                </c:pt>
                <c:pt idx="93">
                  <c:v>1.0530326979237106</c:v>
                </c:pt>
                <c:pt idx="94">
                  <c:v>1.0516850333248973</c:v>
                </c:pt>
                <c:pt idx="95">
                  <c:v>1.0503853381368162</c:v>
                </c:pt>
                <c:pt idx="96">
                  <c:v>1.0491314265776688</c:v>
                </c:pt>
                <c:pt idx="97">
                  <c:v>1.0479212338126138</c:v>
                </c:pt>
                <c:pt idx="98">
                  <c:v>1.0467528081039783</c:v>
                </c:pt>
                <c:pt idx="99">
                  <c:v>1.0456243035445587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64-4E6F-B363-D4E7809C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'1.0LiF_PLot_for_Figs'!$F$3</c15:sqref>
                        </c15:formulaRef>
                      </c:ext>
                    </c:extLst>
                    <c:strCache>
                      <c:ptCount val="1"/>
                      <c:pt idx="0">
                        <c:v>S_i_Li-F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'1.0LiF_PLot_for_Figs'!$F$4:$F$103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0.81933469577646101</c:v>
                      </c:pt>
                      <c:pt idx="19">
                        <c:v>0.76597785570501298</c:v>
                      </c:pt>
                      <c:pt idx="20">
                        <c:v>0.76597785570501298</c:v>
                      </c:pt>
                      <c:pt idx="21">
                        <c:v>0.76597785570501298</c:v>
                      </c:pt>
                      <c:pt idx="22">
                        <c:v>0.76597785570501298</c:v>
                      </c:pt>
                      <c:pt idx="23">
                        <c:v>0.76597785570501298</c:v>
                      </c:pt>
                      <c:pt idx="24">
                        <c:v>0.76597785570501298</c:v>
                      </c:pt>
                      <c:pt idx="25">
                        <c:v>0.76597785570501298</c:v>
                      </c:pt>
                      <c:pt idx="26">
                        <c:v>0.76597785570501298</c:v>
                      </c:pt>
                      <c:pt idx="27">
                        <c:v>0.76597785570501298</c:v>
                      </c:pt>
                      <c:pt idx="28">
                        <c:v>0.76597785570501298</c:v>
                      </c:pt>
                      <c:pt idx="29">
                        <c:v>0.76597785570501298</c:v>
                      </c:pt>
                      <c:pt idx="30">
                        <c:v>0.76597785570501298</c:v>
                      </c:pt>
                      <c:pt idx="31">
                        <c:v>0.76597785570501298</c:v>
                      </c:pt>
                      <c:pt idx="32">
                        <c:v>0.76597785570501298</c:v>
                      </c:pt>
                      <c:pt idx="33">
                        <c:v>0.76597785570501298</c:v>
                      </c:pt>
                      <c:pt idx="34">
                        <c:v>0.76597785570501298</c:v>
                      </c:pt>
                      <c:pt idx="35">
                        <c:v>0.30374862307016998</c:v>
                      </c:pt>
                      <c:pt idx="36">
                        <c:v>0.13679561687706901</c:v>
                      </c:pt>
                      <c:pt idx="37">
                        <c:v>0.13679561687706901</c:v>
                      </c:pt>
                      <c:pt idx="38">
                        <c:v>0.13679561687706901</c:v>
                      </c:pt>
                      <c:pt idx="39">
                        <c:v>0.13679561687706901</c:v>
                      </c:pt>
                      <c:pt idx="40">
                        <c:v>0.13679561687706901</c:v>
                      </c:pt>
                      <c:pt idx="41">
                        <c:v>0.13679561687706901</c:v>
                      </c:pt>
                      <c:pt idx="42">
                        <c:v>0.13679561687706901</c:v>
                      </c:pt>
                      <c:pt idx="43">
                        <c:v>0.13679561687706901</c:v>
                      </c:pt>
                      <c:pt idx="44">
                        <c:v>0.13679561687706901</c:v>
                      </c:pt>
                      <c:pt idx="45">
                        <c:v>0.13679561687706901</c:v>
                      </c:pt>
                      <c:pt idx="46">
                        <c:v>0.13679561687706901</c:v>
                      </c:pt>
                      <c:pt idx="47">
                        <c:v>0.13679561687706901</c:v>
                      </c:pt>
                      <c:pt idx="48">
                        <c:v>0.13679561687706901</c:v>
                      </c:pt>
                      <c:pt idx="49">
                        <c:v>0.13679561687706901</c:v>
                      </c:pt>
                      <c:pt idx="50">
                        <c:v>0.13679561687706901</c:v>
                      </c:pt>
                      <c:pt idx="51">
                        <c:v>8.8764665794569E-2</c:v>
                      </c:pt>
                      <c:pt idx="52">
                        <c:v>6.8722650828349904E-3</c:v>
                      </c:pt>
                      <c:pt idx="53">
                        <c:v>6.8722650828349904E-3</c:v>
                      </c:pt>
                      <c:pt idx="54">
                        <c:v>6.8722650828349904E-3</c:v>
                      </c:pt>
                      <c:pt idx="55">
                        <c:v>6.8722650828349904E-3</c:v>
                      </c:pt>
                      <c:pt idx="56">
                        <c:v>6.8722650828349904E-3</c:v>
                      </c:pt>
                      <c:pt idx="57">
                        <c:v>6.8722650828349904E-3</c:v>
                      </c:pt>
                      <c:pt idx="58">
                        <c:v>6.8722650828349904E-3</c:v>
                      </c:pt>
                      <c:pt idx="59">
                        <c:v>6.8722650828349904E-3</c:v>
                      </c:pt>
                      <c:pt idx="60">
                        <c:v>6.8722650828349904E-3</c:v>
                      </c:pt>
                      <c:pt idx="61">
                        <c:v>6.8722650828349904E-3</c:v>
                      </c:pt>
                      <c:pt idx="62">
                        <c:v>6.8722650828349904E-3</c:v>
                      </c:pt>
                      <c:pt idx="63">
                        <c:v>6.8722650828349904E-3</c:v>
                      </c:pt>
                      <c:pt idx="64">
                        <c:v>6.8722650828349904E-3</c:v>
                      </c:pt>
                      <c:pt idx="65">
                        <c:v>6.8722650828349904E-3</c:v>
                      </c:pt>
                      <c:pt idx="66">
                        <c:v>6.8722650828349904E-3</c:v>
                      </c:pt>
                      <c:pt idx="67">
                        <c:v>5.5449778313355997E-3</c:v>
                      </c:pt>
                      <c:pt idx="68">
                        <c:v>4.1056307732461996E-3</c:v>
                      </c:pt>
                      <c:pt idx="69">
                        <c:v>2.6662837151567799E-3</c:v>
                      </c:pt>
                      <c:pt idx="70">
                        <c:v>1.22693665706737E-3</c:v>
                      </c:pt>
                      <c:pt idx="71">
                        <c:v>7.1203397418789403E-4</c:v>
                      </c:pt>
                      <c:pt idx="72">
                        <c:v>7.1203397418789403E-4</c:v>
                      </c:pt>
                      <c:pt idx="73">
                        <c:v>7.1203397418789403E-4</c:v>
                      </c:pt>
                      <c:pt idx="74">
                        <c:v>7.1203397418789403E-4</c:v>
                      </c:pt>
                      <c:pt idx="75">
                        <c:v>7.1203397418789403E-4</c:v>
                      </c:pt>
                      <c:pt idx="76">
                        <c:v>7.1203397418789403E-4</c:v>
                      </c:pt>
                      <c:pt idx="77">
                        <c:v>7.1203397418789403E-4</c:v>
                      </c:pt>
                      <c:pt idx="78">
                        <c:v>7.1203397418789403E-4</c:v>
                      </c:pt>
                      <c:pt idx="79">
                        <c:v>7.1203397418789403E-4</c:v>
                      </c:pt>
                      <c:pt idx="80">
                        <c:v>7.1203397418789403E-4</c:v>
                      </c:pt>
                      <c:pt idx="81">
                        <c:v>7.1203397418789403E-4</c:v>
                      </c:pt>
                      <c:pt idx="82">
                        <c:v>7.1203397418789403E-4</c:v>
                      </c:pt>
                      <c:pt idx="83">
                        <c:v>7.1203397418789403E-4</c:v>
                      </c:pt>
                      <c:pt idx="84">
                        <c:v>7.1203397418789403E-4</c:v>
                      </c:pt>
                      <c:pt idx="85">
                        <c:v>7.1203397418789403E-4</c:v>
                      </c:pt>
                      <c:pt idx="86">
                        <c:v>6.8053607299571497E-4</c:v>
                      </c:pt>
                      <c:pt idx="87">
                        <c:v>3.1662062177019901E-4</c:v>
                      </c:pt>
                      <c:pt idx="88">
                        <c:v>1.12990106756371E-4</c:v>
                      </c:pt>
                      <c:pt idx="89">
                        <c:v>1.12990106756371E-4</c:v>
                      </c:pt>
                      <c:pt idx="90">
                        <c:v>1.12990106756371E-4</c:v>
                      </c:pt>
                      <c:pt idx="91">
                        <c:v>1.12990106756371E-4</c:v>
                      </c:pt>
                      <c:pt idx="92">
                        <c:v>1.12990106756371E-4</c:v>
                      </c:pt>
                      <c:pt idx="93">
                        <c:v>1.12990106756371E-4</c:v>
                      </c:pt>
                      <c:pt idx="94">
                        <c:v>1.12990106756371E-4</c:v>
                      </c:pt>
                      <c:pt idx="95">
                        <c:v>1.12990106756371E-4</c:v>
                      </c:pt>
                      <c:pt idx="96">
                        <c:v>1.12990106756371E-4</c:v>
                      </c:pt>
                      <c:pt idx="97">
                        <c:v>1.12990106756371E-4</c:v>
                      </c:pt>
                      <c:pt idx="98">
                        <c:v>1.12990106756371E-4</c:v>
                      </c:pt>
                      <c:pt idx="99">
                        <c:v>1.12990106756371E-4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B764-4E6F-B363-D4E7809C7E0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'1.0LiF_PLot_for_Figs'!$G$3</c15:sqref>
                        </c15:formulaRef>
                      </c:ext>
                    </c:extLst>
                    <c:strCache>
                      <c:ptCount val="1"/>
                      <c:pt idx="0">
                        <c:v>Average_SCL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('1.0LiF_PLot_for_Figs'!$G$4,'1.0LiF_PLot_for_Figs'!$G$103)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3.4514</c:v>
                      </c:pt>
                      <c:pt idx="1">
                        <c:v>3.4514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64-4E6F-B363-D4E7809C7E0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'1.0LiF_PLot_for_Figs'!$H$3</c15:sqref>
                        </c15:formulaRef>
                      </c:ext>
                    </c:extLst>
                    <c:strCache>
                      <c:ptCount val="1"/>
                      <c:pt idx="0">
                        <c:v>lambda_BC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('1.0LiF_PLot_for_Figs'!$H$4,'1.0LiF_PLot_for_Figs'!$H$103)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3.3052280000000001</c:v>
                      </c:pt>
                      <c:pt idx="1">
                        <c:v>3.3052280000000001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64-4E6F-B363-D4E7809C7E06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6"/>
          <c:order val="6"/>
          <c:tx>
            <c:strRef>
              <c:f>'1.0LiF_PLot_for_Figs'!$J$3</c:f>
              <c:strCache>
                <c:ptCount val="1"/>
                <c:pt idx="0">
                  <c:v>W(r)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  <c:extLst xmlns:c15="http://schemas.microsoft.com/office/drawing/2012/chart"/>
            </c:numRef>
          </c:xVal>
          <c:yVal>
            <c:numRef>
              <c:f>'1.0LiF_PLot_for_Figs'!$J$4:$J$103</c:f>
              <c:numCache>
                <c:formatCode>General</c:formatCode>
                <c:ptCount val="100"/>
                <c:pt idx="0">
                  <c:v>659.38003568202998</c:v>
                </c:pt>
                <c:pt idx="1">
                  <c:v>616.45987717964215</c:v>
                </c:pt>
                <c:pt idx="2">
                  <c:v>573.5397186772542</c:v>
                </c:pt>
                <c:pt idx="3">
                  <c:v>530.61956017486625</c:v>
                </c:pt>
                <c:pt idx="4">
                  <c:v>487.69940167247842</c:v>
                </c:pt>
                <c:pt idx="5">
                  <c:v>444.77924317009047</c:v>
                </c:pt>
                <c:pt idx="6">
                  <c:v>401.85908466770258</c:v>
                </c:pt>
                <c:pt idx="7">
                  <c:v>358.93892616531474</c:v>
                </c:pt>
                <c:pt idx="8">
                  <c:v>316.01876766292679</c:v>
                </c:pt>
                <c:pt idx="9">
                  <c:v>273.0986091605389</c:v>
                </c:pt>
                <c:pt idx="10">
                  <c:v>230.17845065815104</c:v>
                </c:pt>
                <c:pt idx="11">
                  <c:v>187.25829215576317</c:v>
                </c:pt>
                <c:pt idx="12">
                  <c:v>144.33813365337522</c:v>
                </c:pt>
                <c:pt idx="13">
                  <c:v>101.41797515098735</c:v>
                </c:pt>
                <c:pt idx="14">
                  <c:v>58.497816648599446</c:v>
                </c:pt>
                <c:pt idx="15">
                  <c:v>15.577658146211546</c:v>
                </c:pt>
                <c:pt idx="16">
                  <c:v>-3.028268416245445</c:v>
                </c:pt>
                <c:pt idx="17">
                  <c:v>-10.245637407771312</c:v>
                </c:pt>
                <c:pt idx="18">
                  <c:v>-12.239317215188235</c:v>
                </c:pt>
                <c:pt idx="19">
                  <c:v>-11.052764876905735</c:v>
                </c:pt>
                <c:pt idx="20">
                  <c:v>-8.2503842494401489</c:v>
                </c:pt>
                <c:pt idx="21">
                  <c:v>-5.0806332956332847</c:v>
                </c:pt>
                <c:pt idx="22">
                  <c:v>-1.9464803311183005</c:v>
                </c:pt>
                <c:pt idx="23">
                  <c:v>0.73076951943624924</c:v>
                </c:pt>
                <c:pt idx="24">
                  <c:v>2.9772007123060416</c:v>
                </c:pt>
                <c:pt idx="25">
                  <c:v>4.8369667232258893</c:v>
                </c:pt>
                <c:pt idx="26">
                  <c:v>6.0418185548242214</c:v>
                </c:pt>
                <c:pt idx="27">
                  <c:v>6.8266759483859536</c:v>
                </c:pt>
                <c:pt idx="28">
                  <c:v>6.8266759483859536</c:v>
                </c:pt>
                <c:pt idx="29">
                  <c:v>6.8266759483859536</c:v>
                </c:pt>
                <c:pt idx="30">
                  <c:v>6.3157987258812422</c:v>
                </c:pt>
                <c:pt idx="31">
                  <c:v>5.3052016142986513</c:v>
                </c:pt>
                <c:pt idx="32">
                  <c:v>4.3935457091601853</c:v>
                </c:pt>
                <c:pt idx="33">
                  <c:v>3.5631735113207434</c:v>
                </c:pt>
                <c:pt idx="34">
                  <c:v>2.6448382242843618</c:v>
                </c:pt>
                <c:pt idx="35">
                  <c:v>1.488307860423971</c:v>
                </c:pt>
                <c:pt idx="36">
                  <c:v>0.35058650970167288</c:v>
                </c:pt>
                <c:pt idx="37">
                  <c:v>-0.66485355632413079</c:v>
                </c:pt>
                <c:pt idx="38">
                  <c:v>-1.5804479750691474</c:v>
                </c:pt>
                <c:pt idx="39">
                  <c:v>-2.2571392483253447</c:v>
                </c:pt>
                <c:pt idx="40">
                  <c:v>-2.4271339187722187</c:v>
                </c:pt>
                <c:pt idx="41">
                  <c:v>-2.5940833842432989</c:v>
                </c:pt>
                <c:pt idx="42">
                  <c:v>-2.7580948282721973</c:v>
                </c:pt>
                <c:pt idx="43">
                  <c:v>-2.6142034451822305</c:v>
                </c:pt>
                <c:pt idx="44">
                  <c:v>-2.1965408958100272</c:v>
                </c:pt>
                <c:pt idx="45">
                  <c:v>-1.6578270950852478</c:v>
                </c:pt>
                <c:pt idx="46">
                  <c:v>-1.0531966247439932</c:v>
                </c:pt>
                <c:pt idx="47">
                  <c:v>-0.47758636198377757</c:v>
                </c:pt>
                <c:pt idx="48">
                  <c:v>6.3881746944812925E-2</c:v>
                </c:pt>
                <c:pt idx="49">
                  <c:v>0.6316103158680878</c:v>
                </c:pt>
                <c:pt idx="50">
                  <c:v>1.06241825350771</c:v>
                </c:pt>
                <c:pt idx="51">
                  <c:v>1.4253459697015867</c:v>
                </c:pt>
                <c:pt idx="52">
                  <c:v>1.5852595382149297</c:v>
                </c:pt>
                <c:pt idx="53">
                  <c:v>1.5852595382149297</c:v>
                </c:pt>
                <c:pt idx="54">
                  <c:v>1.5852595382149297</c:v>
                </c:pt>
                <c:pt idx="55">
                  <c:v>1.5852595382149297</c:v>
                </c:pt>
                <c:pt idx="56">
                  <c:v>1.4681566693307218</c:v>
                </c:pt>
                <c:pt idx="57">
                  <c:v>1.162831499877071</c:v>
                </c:pt>
                <c:pt idx="58">
                  <c:v>0.86719237559933426</c:v>
                </c:pt>
                <c:pt idx="59">
                  <c:v>0.58064359160069334</c:v>
                </c:pt>
                <c:pt idx="60">
                  <c:v>0.30264276243594879</c:v>
                </c:pt>
                <c:pt idx="61">
                  <c:v>3.2694642781227252E-2</c:v>
                </c:pt>
                <c:pt idx="62">
                  <c:v>-0.22965418187117767</c:v>
                </c:pt>
                <c:pt idx="63">
                  <c:v>-0.48481987747117256</c:v>
                </c:pt>
                <c:pt idx="64">
                  <c:v>-0.73318533291739063</c:v>
                </c:pt>
                <c:pt idx="65">
                  <c:v>-0.97510361596558659</c:v>
                </c:pt>
                <c:pt idx="66">
                  <c:v>-1.1328832964126605</c:v>
                </c:pt>
                <c:pt idx="67">
                  <c:v>-1.0084937827472777</c:v>
                </c:pt>
                <c:pt idx="68">
                  <c:v>-0.87169915046918178</c:v>
                </c:pt>
                <c:pt idx="69">
                  <c:v>-0.73286676242666604</c:v>
                </c:pt>
                <c:pt idx="70">
                  <c:v>-0.59193498870083139</c:v>
                </c:pt>
                <c:pt idx="71">
                  <c:v>-0.39536261725265398</c:v>
                </c:pt>
                <c:pt idx="72">
                  <c:v>-0.16398266831653907</c:v>
                </c:pt>
                <c:pt idx="73">
                  <c:v>5.6650064584372072E-2</c:v>
                </c:pt>
                <c:pt idx="74">
                  <c:v>0.26457533707345621</c:v>
                </c:pt>
                <c:pt idx="75">
                  <c:v>0.39948437776118262</c:v>
                </c:pt>
                <c:pt idx="76">
                  <c:v>0.51425669346741987</c:v>
                </c:pt>
                <c:pt idx="77">
                  <c:v>0.61408741473804762</c:v>
                </c:pt>
                <c:pt idx="78">
                  <c:v>0.61408741473804762</c:v>
                </c:pt>
                <c:pt idx="79">
                  <c:v>0.61408741473804762</c:v>
                </c:pt>
                <c:pt idx="80">
                  <c:v>0.61408741473804762</c:v>
                </c:pt>
                <c:pt idx="81">
                  <c:v>0.5207206409600289</c:v>
                </c:pt>
                <c:pt idx="82">
                  <c:v>0.38574738959657195</c:v>
                </c:pt>
                <c:pt idx="83">
                  <c:v>0.25270096542132664</c:v>
                </c:pt>
                <c:pt idx="84">
                  <c:v>0.12152712851949111</c:v>
                </c:pt>
                <c:pt idx="85">
                  <c:v>-7.8261025064206447E-3</c:v>
                </c:pt>
                <c:pt idx="86">
                  <c:v>-0.13562791370376756</c:v>
                </c:pt>
                <c:pt idx="87">
                  <c:v>-0.26398432490906942</c:v>
                </c:pt>
                <c:pt idx="88">
                  <c:v>-0.3350428465139757</c:v>
                </c:pt>
                <c:pt idx="89">
                  <c:v>-0.33504286154565538</c:v>
                </c:pt>
                <c:pt idx="90">
                  <c:v>-0.33504287657724729</c:v>
                </c:pt>
                <c:pt idx="91">
                  <c:v>-0.33504289160892897</c:v>
                </c:pt>
                <c:pt idx="92">
                  <c:v>-0.33504290664060876</c:v>
                </c:pt>
                <c:pt idx="93">
                  <c:v>-0.33504292167229038</c:v>
                </c:pt>
                <c:pt idx="94">
                  <c:v>-0.33504293670397006</c:v>
                </c:pt>
                <c:pt idx="95">
                  <c:v>-0.2677953460307661</c:v>
                </c:pt>
                <c:pt idx="96">
                  <c:v>-0.15632753006159497</c:v>
                </c:pt>
                <c:pt idx="97">
                  <c:v>-7.5740310008799425E-2</c:v>
                </c:pt>
                <c:pt idx="98">
                  <c:v>2.8907070929908265E-2</c:v>
                </c:pt>
                <c:pt idx="99">
                  <c:v>0.10073632884162484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8-B764-4E6F-B363-D4E7809C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03872"/>
        <c:axId val="364599712"/>
      </c:scatterChart>
      <c:valAx>
        <c:axId val="8095320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r [Å]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24256"/>
        <c:crosses val="autoZero"/>
        <c:crossBetween val="midCat"/>
        <c:majorUnit val="2"/>
      </c:valAx>
      <c:valAx>
        <c:axId val="364624256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g(r)</a:t>
                </a:r>
              </a:p>
            </c:rich>
          </c:tx>
          <c:layout>
            <c:manualLayout>
              <c:xMode val="edge"/>
              <c:yMode val="edge"/>
              <c:x val="8.1224031762172303E-3"/>
              <c:y val="0.40305469382210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953200"/>
        <c:crosses val="autoZero"/>
        <c:crossBetween val="midCat"/>
        <c:majorUnit val="1"/>
      </c:valAx>
      <c:valAx>
        <c:axId val="364599712"/>
        <c:scaling>
          <c:orientation val="minMax"/>
          <c:max val="60"/>
          <c:min val="-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W(r) [</a:t>
                </a:r>
                <a:r>
                  <a:rPr lang="en-US" sz="1200" b="0" i="0" u="none" strike="noStrike" baseline="0">
                    <a:effectLst/>
                  </a:rPr>
                  <a:t>k</a:t>
                </a:r>
                <a:r>
                  <a:rPr lang="en-US" sz="1200" b="1" i="0" baseline="0">
                    <a:effectLst/>
                  </a:rPr>
                  <a:t>J∙mol</a:t>
                </a:r>
                <a:r>
                  <a:rPr lang="en-US" sz="1200" b="1" i="0" baseline="30000">
                    <a:effectLst/>
                  </a:rPr>
                  <a:t>-1</a:t>
                </a:r>
                <a:r>
                  <a:rPr lang="en-US" sz="1200" b="1" i="0" baseline="0">
                    <a:effectLst/>
                  </a:rPr>
                  <a:t>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03872"/>
        <c:crosses val="max"/>
        <c:crossBetween val="midCat"/>
        <c:majorUnit val="20"/>
      </c:valAx>
      <c:valAx>
        <c:axId val="36460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59971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8481977695192153"/>
          <c:y val="8.1771863754748667E-2"/>
          <c:w val="0.17331676975002427"/>
          <c:h val="0.1957985235384004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614708673686323E-2"/>
          <c:y val="4.3712722464834826E-2"/>
          <c:w val="0.79460861905399682"/>
          <c:h val="0.81281127744041792"/>
        </c:manualLayout>
      </c:layout>
      <c:scatterChart>
        <c:scatterStyle val="lineMarker"/>
        <c:varyColors val="0"/>
        <c:ser>
          <c:idx val="7"/>
          <c:order val="7"/>
          <c:tx>
            <c:strRef>
              <c:f>'1.0LiF_PLot_for_Figs'!$R$3</c:f>
              <c:strCache>
                <c:ptCount val="1"/>
                <c:pt idx="0">
                  <c:v>Peak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'1.0LiF_PLot_for_Figs'!$A$18:$A$26</c:f>
              <c:numCache>
                <c:formatCode>General</c:formatCode>
                <c:ptCount val="9"/>
                <c:pt idx="0">
                  <c:v>1.4526632216161599</c:v>
                </c:pt>
                <c:pt idx="1">
                  <c:v>1.5564248803030301</c:v>
                </c:pt>
                <c:pt idx="2">
                  <c:v>1.66018653898989</c:v>
                </c:pt>
                <c:pt idx="3">
                  <c:v>1.7639481976767599</c:v>
                </c:pt>
                <c:pt idx="4">
                  <c:v>1.8677098563636301</c:v>
                </c:pt>
                <c:pt idx="5">
                  <c:v>1.9714715150505</c:v>
                </c:pt>
                <c:pt idx="6">
                  <c:v>2.0752331737373702</c:v>
                </c:pt>
                <c:pt idx="7">
                  <c:v>2.1789948324242401</c:v>
                </c:pt>
                <c:pt idx="8">
                  <c:v>2.28275649111111</c:v>
                </c:pt>
              </c:numCache>
              <c:extLst xmlns:c15="http://schemas.microsoft.com/office/drawing/2012/chart"/>
            </c:numRef>
          </c:xVal>
          <c:yVal>
            <c:numRef>
              <c:f>'1.0LiF_PLot_for_Figs'!$R$18:$R$26</c:f>
              <c:numCache>
                <c:formatCode>General</c:formatCode>
                <c:ptCount val="9"/>
                <c:pt idx="0">
                  <c:v>3.7153550942304205</c:v>
                </c:pt>
                <c:pt idx="1">
                  <c:v>3.7153550942304205</c:v>
                </c:pt>
                <c:pt idx="2">
                  <c:v>3.7153550942304205</c:v>
                </c:pt>
                <c:pt idx="3">
                  <c:v>3.7153550942304205</c:v>
                </c:pt>
                <c:pt idx="4">
                  <c:v>3.7153550942304205</c:v>
                </c:pt>
                <c:pt idx="5">
                  <c:v>3.7153550942304205</c:v>
                </c:pt>
                <c:pt idx="6">
                  <c:v>3.7153550942304205</c:v>
                </c:pt>
                <c:pt idx="7">
                  <c:v>3.7153550942304205</c:v>
                </c:pt>
                <c:pt idx="8">
                  <c:v>3.7153550942304205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EE83-44A2-917A-E4288D0F03D4}"/>
            </c:ext>
          </c:extLst>
        </c:ser>
        <c:ser>
          <c:idx val="8"/>
          <c:order val="8"/>
          <c:tx>
            <c:strRef>
              <c:f>'1.0LiF_PLot_for_Figs'!$S$3</c:f>
              <c:strCache>
                <c:ptCount val="1"/>
                <c:pt idx="0">
                  <c:v>Minima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'1.0LiF_PLot_for_Figs'!$A$28:$A$36</c:f>
              <c:numCache>
                <c:formatCode>General</c:formatCode>
                <c:ptCount val="9"/>
                <c:pt idx="0">
                  <c:v>2.4902798084848401</c:v>
                </c:pt>
                <c:pt idx="1">
                  <c:v>2.59404146717171</c:v>
                </c:pt>
                <c:pt idx="2">
                  <c:v>2.69780312585858</c:v>
                </c:pt>
                <c:pt idx="3">
                  <c:v>2.8015647845454499</c:v>
                </c:pt>
                <c:pt idx="4">
                  <c:v>2.9053264432323198</c:v>
                </c:pt>
                <c:pt idx="5">
                  <c:v>3.0090881019191902</c:v>
                </c:pt>
                <c:pt idx="6">
                  <c:v>3.1128497606060601</c:v>
                </c:pt>
                <c:pt idx="7">
                  <c:v>3.2166114192929198</c:v>
                </c:pt>
                <c:pt idx="8">
                  <c:v>3.3203730779797902</c:v>
                </c:pt>
              </c:numCache>
              <c:extLst xmlns:c15="http://schemas.microsoft.com/office/drawing/2012/chart"/>
            </c:numRef>
          </c:xVal>
          <c:yVal>
            <c:numRef>
              <c:f>'1.0LiF_PLot_for_Figs'!$S$28:$S$36</c:f>
              <c:numCache>
                <c:formatCode>General</c:formatCode>
                <c:ptCount val="9"/>
                <c:pt idx="0">
                  <c:v>0.48035278300000001</c:v>
                </c:pt>
                <c:pt idx="1">
                  <c:v>0.48035278300000001</c:v>
                </c:pt>
                <c:pt idx="2">
                  <c:v>0.48035278300000001</c:v>
                </c:pt>
                <c:pt idx="3">
                  <c:v>0.48035278300000001</c:v>
                </c:pt>
                <c:pt idx="4">
                  <c:v>0.48035278300000001</c:v>
                </c:pt>
                <c:pt idx="5">
                  <c:v>0.48035278300000001</c:v>
                </c:pt>
                <c:pt idx="6">
                  <c:v>0.48035278300000001</c:v>
                </c:pt>
                <c:pt idx="7">
                  <c:v>0.48035278300000001</c:v>
                </c:pt>
                <c:pt idx="8">
                  <c:v>0.48035278300000001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1-EE83-44A2-917A-E4288D0F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9"/>
                <c:tx>
                  <c:v>Peaks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('1.0LiF_PLot_for_Figs'!$A$22,'1.0LiF_PLot_for_Figs'!$A$46,'1.0LiF_PLot_for_Figs'!$A$70,'1.0LiF_PLot_for_Figs'!$A$95)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1.8677098563636301</c:v>
                      </c:pt>
                      <c:pt idx="1">
                        <c:v>4.3579896648484802</c:v>
                      </c:pt>
                      <c:pt idx="2">
                        <c:v>6.84826947333333</c:v>
                      </c:pt>
                      <c:pt idx="3">
                        <c:v>9.4423109405050507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('1.0LiF_PLot_for_Figs'!$B$22,'1.0LiF_PLot_for_Figs'!$B$46,'1.0LiF_PLot_for_Figs'!$B$70,'1.0LiF_PLot_for_Figs'!$B$95)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3.7153550942304205</c:v>
                      </c:pt>
                      <c:pt idx="1">
                        <c:v>1.34336151130874</c:v>
                      </c:pt>
                      <c:pt idx="2">
                        <c:v>1.1283947316216301</c:v>
                      </c:pt>
                      <c:pt idx="3">
                        <c:v>1.0358173057476301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E83-44A2-917A-E4288D0F03D4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strRef>
              <c:f>'1.0LiF_PLot_for_Figs'!$B$3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'1.0LiF_PLot_for_Figs'!$A$4:$A$103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'1.0LiF_PLot_for_Figs'!$B$4:$B$103</c:f>
              <c:numCache>
                <c:formatCode>General</c:formatCode>
                <c:ptCount val="100"/>
                <c:pt idx="0">
                  <c:v>1.8783681983361404E-31</c:v>
                </c:pt>
                <c:pt idx="1">
                  <c:v>1.8783681983361404E-29</c:v>
                </c:pt>
                <c:pt idx="2">
                  <c:v>1.8783681983361402E-27</c:v>
                </c:pt>
                <c:pt idx="3">
                  <c:v>1.8783681983361404E-25</c:v>
                </c:pt>
                <c:pt idx="4">
                  <c:v>1.8783681983361403E-23</c:v>
                </c:pt>
                <c:pt idx="5">
                  <c:v>1.8783681983361402E-21</c:v>
                </c:pt>
                <c:pt idx="6">
                  <c:v>1.8783681983361402E-19</c:v>
                </c:pt>
                <c:pt idx="7">
                  <c:v>1.8783681983361404E-17</c:v>
                </c:pt>
                <c:pt idx="8">
                  <c:v>1.8783681983361402E-15</c:v>
                </c:pt>
                <c:pt idx="9">
                  <c:v>1.8783681983361404E-13</c:v>
                </c:pt>
                <c:pt idx="10">
                  <c:v>1.8783681983361402E-11</c:v>
                </c:pt>
                <c:pt idx="11">
                  <c:v>1.8783681983361405E-9</c:v>
                </c:pt>
                <c:pt idx="12">
                  <c:v>1.8783681983361403E-7</c:v>
                </c:pt>
                <c:pt idx="13">
                  <c:v>1.8783681983361402E-5</c:v>
                </c:pt>
                <c:pt idx="14">
                  <c:v>1.8783681983361401E-3</c:v>
                </c:pt>
                <c:pt idx="15">
                  <c:v>0.187836819833614</c:v>
                </c:pt>
                <c:pt idx="16">
                  <c:v>1.3828736156330901</c:v>
                </c:pt>
                <c:pt idx="17">
                  <c:v>2.9998430702204799</c:v>
                </c:pt>
                <c:pt idx="18">
                  <c:v>3.7153550942304205</c:v>
                </c:pt>
                <c:pt idx="19">
                  <c:v>3.2712157110736904</c:v>
                </c:pt>
                <c:pt idx="20">
                  <c:v>2.4217172177787498</c:v>
                </c:pt>
                <c:pt idx="21">
                  <c:v>1.7235302012484801</c:v>
                </c:pt>
                <c:pt idx="22">
                  <c:v>1.2313263313845999</c:v>
                </c:pt>
                <c:pt idx="23">
                  <c:v>0.92388576496757302</c:v>
                </c:pt>
                <c:pt idx="24">
                  <c:v>0.72600353796762296</c:v>
                </c:pt>
                <c:pt idx="25">
                  <c:v>0.59467143935296995</c:v>
                </c:pt>
                <c:pt idx="26">
                  <c:v>0.52255645164884801</c:v>
                </c:pt>
                <c:pt idx="27">
                  <c:v>0.48035278300000001</c:v>
                </c:pt>
                <c:pt idx="28">
                  <c:v>0.48035278300000001</c:v>
                </c:pt>
                <c:pt idx="29">
                  <c:v>0.48035278300000001</c:v>
                </c:pt>
                <c:pt idx="30">
                  <c:v>0.50741843888767202</c:v>
                </c:pt>
                <c:pt idx="31">
                  <c:v>0.56553332430129699</c:v>
                </c:pt>
                <c:pt idx="32">
                  <c:v>0.62364820971492096</c:v>
                </c:pt>
                <c:pt idx="33">
                  <c:v>0.68176309512854605</c:v>
                </c:pt>
                <c:pt idx="34">
                  <c:v>0.75236089482964807</c:v>
                </c:pt>
                <c:pt idx="35">
                  <c:v>0.85176225359289504</c:v>
                </c:pt>
                <c:pt idx="36">
                  <c:v>0.96235232680888694</c:v>
                </c:pt>
                <c:pt idx="37">
                  <c:v>1.07312850158283</c:v>
                </c:pt>
                <c:pt idx="38">
                  <c:v>1.18390467635678</c:v>
                </c:pt>
                <c:pt idx="39">
                  <c:v>1.27306124594298</c:v>
                </c:pt>
                <c:pt idx="40">
                  <c:v>1.2964946677315701</c:v>
                </c:pt>
                <c:pt idx="41">
                  <c:v>1.3199280895201599</c:v>
                </c:pt>
                <c:pt idx="42">
                  <c:v>1.34336151130874</c:v>
                </c:pt>
                <c:pt idx="43">
                  <c:v>1.32278063641877</c:v>
                </c:pt>
                <c:pt idx="44">
                  <c:v>1.2648106871849001</c:v>
                </c:pt>
                <c:pt idx="45">
                  <c:v>1.19377494558583</c:v>
                </c:pt>
                <c:pt idx="46">
                  <c:v>1.11878799682255</c:v>
                </c:pt>
                <c:pt idx="47">
                  <c:v>1.0517812507069799</c:v>
                </c:pt>
                <c:pt idx="48">
                  <c:v>0.99241658243371589</c:v>
                </c:pt>
                <c:pt idx="49">
                  <c:v>0.93376783753884895</c:v>
                </c:pt>
                <c:pt idx="50">
                  <c:v>0.89158767859372889</c:v>
                </c:pt>
                <c:pt idx="51">
                  <c:v>0.85753587494317196</c:v>
                </c:pt>
                <c:pt idx="52">
                  <c:v>0.842947683</c:v>
                </c:pt>
                <c:pt idx="53">
                  <c:v>0.842947683</c:v>
                </c:pt>
                <c:pt idx="54">
                  <c:v>0.842947683</c:v>
                </c:pt>
                <c:pt idx="55">
                  <c:v>0.842947683</c:v>
                </c:pt>
                <c:pt idx="56">
                  <c:v>0.85360588062576803</c:v>
                </c:pt>
                <c:pt idx="57">
                  <c:v>0.88203330985952699</c:v>
                </c:pt>
                <c:pt idx="58">
                  <c:v>0.91046073909328495</c:v>
                </c:pt>
                <c:pt idx="59">
                  <c:v>0.93888816832704403</c:v>
                </c:pt>
                <c:pt idx="60">
                  <c:v>0.96731559756080299</c:v>
                </c:pt>
                <c:pt idx="61">
                  <c:v>0.99574302679456195</c:v>
                </c:pt>
                <c:pt idx="62">
                  <c:v>1.02417045602832</c:v>
                </c:pt>
                <c:pt idx="63">
                  <c:v>1.0525978852620701</c:v>
                </c:pt>
                <c:pt idx="64">
                  <c:v>1.0810253144958299</c:v>
                </c:pt>
                <c:pt idx="65">
                  <c:v>1.10945274372959</c:v>
                </c:pt>
                <c:pt idx="66">
                  <c:v>1.1283947316216301</c:v>
                </c:pt>
                <c:pt idx="67">
                  <c:v>1.1134346401286099</c:v>
                </c:pt>
                <c:pt idx="68">
                  <c:v>1.0972115021458599</c:v>
                </c:pt>
                <c:pt idx="69">
                  <c:v>1.0809883641631099</c:v>
                </c:pt>
                <c:pt idx="70">
                  <c:v>1.06476522618035</c:v>
                </c:pt>
                <c:pt idx="71">
                  <c:v>1.0425429367948</c:v>
                </c:pt>
                <c:pt idx="72">
                  <c:v>1.0169792049923101</c:v>
                </c:pt>
                <c:pt idx="73">
                  <c:v>0.99318692912969886</c:v>
                </c:pt>
                <c:pt idx="74">
                  <c:v>0.97127466865413803</c:v>
                </c:pt>
                <c:pt idx="75">
                  <c:v>0.9573165135693209</c:v>
                </c:pt>
                <c:pt idx="76">
                  <c:v>0.94559980258317111</c:v>
                </c:pt>
                <c:pt idx="77">
                  <c:v>0.935525104</c:v>
                </c:pt>
                <c:pt idx="78">
                  <c:v>0.935525104</c:v>
                </c:pt>
                <c:pt idx="79">
                  <c:v>0.935525104</c:v>
                </c:pt>
                <c:pt idx="80">
                  <c:v>0.935525104</c:v>
                </c:pt>
                <c:pt idx="81">
                  <c:v>0.94494420255318112</c:v>
                </c:pt>
                <c:pt idx="82">
                  <c:v>0.95872856833287001</c:v>
                </c:pt>
                <c:pt idx="83">
                  <c:v>0.97251293411256001</c:v>
                </c:pt>
                <c:pt idx="84">
                  <c:v>0.98629729989224901</c:v>
                </c:pt>
                <c:pt idx="85">
                  <c:v>1.00008166567193</c:v>
                </c:pt>
                <c:pt idx="86">
                  <c:v>1.01388989235492</c:v>
                </c:pt>
                <c:pt idx="87">
                  <c:v>1.0279499384516899</c:v>
                </c:pt>
                <c:pt idx="88">
                  <c:v>1.03581730073581</c:v>
                </c:pt>
                <c:pt idx="89">
                  <c:v>1.0358173024064199</c:v>
                </c:pt>
                <c:pt idx="90">
                  <c:v>1.03581730407702</c:v>
                </c:pt>
                <c:pt idx="91">
                  <c:v>1.0358173057476301</c:v>
                </c:pt>
                <c:pt idx="92">
                  <c:v>1.03581730741824</c:v>
                </c:pt>
                <c:pt idx="93">
                  <c:v>1.0358173090888501</c:v>
                </c:pt>
                <c:pt idx="94">
                  <c:v>1.0358173107594599</c:v>
                </c:pt>
                <c:pt idx="95">
                  <c:v>1.0283703614684201</c:v>
                </c:pt>
                <c:pt idx="96">
                  <c:v>1.01614423448999</c:v>
                </c:pt>
                <c:pt idx="97">
                  <c:v>1.00739581409514</c:v>
                </c:pt>
                <c:pt idx="98">
                  <c:v>0.99614777112236186</c:v>
                </c:pt>
                <c:pt idx="99">
                  <c:v>0.98849996210706403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83-44A2-917A-E4288D0F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3200"/>
        <c:axId val="3646242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'1.0LiF_PLot_for_Figs'!$C$3</c15:sqref>
                        </c15:formulaRef>
                      </c:ext>
                    </c:extLst>
                    <c:strCache>
                      <c:ptCount val="1"/>
                      <c:pt idx="0">
                        <c:v>Li-Li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'1.0LiF_PLot_for_Figs'!$C$4:$C$103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8.7178378032945166E-21</c:v>
                      </c:pt>
                      <c:pt idx="1">
                        <c:v>8.7178378032945154E-20</c:v>
                      </c:pt>
                      <c:pt idx="2">
                        <c:v>8.7178378032945164E-19</c:v>
                      </c:pt>
                      <c:pt idx="3">
                        <c:v>8.7178378032945164E-18</c:v>
                      </c:pt>
                      <c:pt idx="4">
                        <c:v>8.7178378032945148E-17</c:v>
                      </c:pt>
                      <c:pt idx="5">
                        <c:v>8.7178378032945144E-16</c:v>
                      </c:pt>
                      <c:pt idx="6">
                        <c:v>8.7178378032945144E-15</c:v>
                      </c:pt>
                      <c:pt idx="7">
                        <c:v>8.7178378032945144E-14</c:v>
                      </c:pt>
                      <c:pt idx="8">
                        <c:v>8.7178378032945149E-13</c:v>
                      </c:pt>
                      <c:pt idx="9">
                        <c:v>8.717837803294514E-12</c:v>
                      </c:pt>
                      <c:pt idx="10">
                        <c:v>8.7178378032945128E-11</c:v>
                      </c:pt>
                      <c:pt idx="11">
                        <c:v>8.717837803294513E-10</c:v>
                      </c:pt>
                      <c:pt idx="12">
                        <c:v>8.7178378032945118E-9</c:v>
                      </c:pt>
                      <c:pt idx="13">
                        <c:v>8.7178378032945118E-8</c:v>
                      </c:pt>
                      <c:pt idx="14">
                        <c:v>8.7178378032945112E-7</c:v>
                      </c:pt>
                      <c:pt idx="15">
                        <c:v>8.7178378032945115E-6</c:v>
                      </c:pt>
                      <c:pt idx="16">
                        <c:v>8.7178378032945101E-5</c:v>
                      </c:pt>
                      <c:pt idx="17">
                        <c:v>8.7178378032945101E-4</c:v>
                      </c:pt>
                      <c:pt idx="18">
                        <c:v>8.7178378032945099E-3</c:v>
                      </c:pt>
                      <c:pt idx="19">
                        <c:v>2.6456014134457601E-2</c:v>
                      </c:pt>
                      <c:pt idx="20">
                        <c:v>8.0958179069013703E-2</c:v>
                      </c:pt>
                      <c:pt idx="21">
                        <c:v>0.21701882854437099</c:v>
                      </c:pt>
                      <c:pt idx="22">
                        <c:v>0.45830777270171696</c:v>
                      </c:pt>
                      <c:pt idx="23">
                        <c:v>0.81734548032957</c:v>
                      </c:pt>
                      <c:pt idx="24">
                        <c:v>1.1463784940822701</c:v>
                      </c:pt>
                      <c:pt idx="25">
                        <c:v>1.5028667407519301</c:v>
                      </c:pt>
                      <c:pt idx="26">
                        <c:v>1.6953930873493199</c:v>
                      </c:pt>
                      <c:pt idx="27">
                        <c:v>1.78052340042459</c:v>
                      </c:pt>
                      <c:pt idx="28">
                        <c:v>1.7439786200463701</c:v>
                      </c:pt>
                      <c:pt idx="29">
                        <c:v>1.6622881598260197</c:v>
                      </c:pt>
                      <c:pt idx="30">
                        <c:v>1.54056218736602</c:v>
                      </c:pt>
                      <c:pt idx="31">
                        <c:v>1.3819062194716001</c:v>
                      </c:pt>
                      <c:pt idx="32">
                        <c:v>1.26009687958145</c:v>
                      </c:pt>
                      <c:pt idx="33">
                        <c:v>1.1694841901706701</c:v>
                      </c:pt>
                      <c:pt idx="34">
                        <c:v>1.08735902858097</c:v>
                      </c:pt>
                      <c:pt idx="35">
                        <c:v>1.0207411583756201</c:v>
                      </c:pt>
                      <c:pt idx="36">
                        <c:v>0.95776504249364791</c:v>
                      </c:pt>
                      <c:pt idx="37">
                        <c:v>0.89283737032769095</c:v>
                      </c:pt>
                      <c:pt idx="38">
                        <c:v>0.83389063590826784</c:v>
                      </c:pt>
                      <c:pt idx="39">
                        <c:v>0.79118978875372603</c:v>
                      </c:pt>
                      <c:pt idx="40">
                        <c:v>0.75370061223782803</c:v>
                      </c:pt>
                      <c:pt idx="41">
                        <c:v>0.72387625759867402</c:v>
                      </c:pt>
                      <c:pt idx="42">
                        <c:v>0.70327145338084096</c:v>
                      </c:pt>
                      <c:pt idx="43">
                        <c:v>0.71967484847538699</c:v>
                      </c:pt>
                      <c:pt idx="44">
                        <c:v>0.74060364514309496</c:v>
                      </c:pt>
                      <c:pt idx="45">
                        <c:v>0.78026020452240297</c:v>
                      </c:pt>
                      <c:pt idx="46">
                        <c:v>0.86176853644798501</c:v>
                      </c:pt>
                      <c:pt idx="47">
                        <c:v>0.92738211701595508</c:v>
                      </c:pt>
                      <c:pt idx="48">
                        <c:v>0.99387025507037197</c:v>
                      </c:pt>
                      <c:pt idx="49">
                        <c:v>1.06299884898994</c:v>
                      </c:pt>
                      <c:pt idx="50">
                        <c:v>1.1173844806039599</c:v>
                      </c:pt>
                      <c:pt idx="51">
                        <c:v>1.1605046627072999</c:v>
                      </c:pt>
                      <c:pt idx="52">
                        <c:v>1.1930115689901299</c:v>
                      </c:pt>
                      <c:pt idx="53">
                        <c:v>1.1926398580136299</c:v>
                      </c:pt>
                      <c:pt idx="54">
                        <c:v>1.1921481153262801</c:v>
                      </c:pt>
                      <c:pt idx="55">
                        <c:v>1.1833104710031801</c:v>
                      </c:pt>
                      <c:pt idx="56">
                        <c:v>1.1530423015567901</c:v>
                      </c:pt>
                      <c:pt idx="57">
                        <c:v>1.1227741321103999</c:v>
                      </c:pt>
                      <c:pt idx="58">
                        <c:v>1.0869421425051899</c:v>
                      </c:pt>
                      <c:pt idx="59">
                        <c:v>1.04806809445142</c:v>
                      </c:pt>
                      <c:pt idx="60">
                        <c:v>1.01020692632715</c:v>
                      </c:pt>
                      <c:pt idx="61">
                        <c:v>0.972487883186818</c:v>
                      </c:pt>
                      <c:pt idx="62">
                        <c:v>0.94633613829761787</c:v>
                      </c:pt>
                      <c:pt idx="63">
                        <c:v>0.92206013914975204</c:v>
                      </c:pt>
                      <c:pt idx="64">
                        <c:v>0.90524982739209614</c:v>
                      </c:pt>
                      <c:pt idx="65">
                        <c:v>0.88884643229755111</c:v>
                      </c:pt>
                      <c:pt idx="66">
                        <c:v>0.89052054292486305</c:v>
                      </c:pt>
                      <c:pt idx="67">
                        <c:v>0.893277416006522</c:v>
                      </c:pt>
                      <c:pt idx="68">
                        <c:v>0.89603428908818095</c:v>
                      </c:pt>
                      <c:pt idx="69">
                        <c:v>0.90983098648277605</c:v>
                      </c:pt>
                      <c:pt idx="70">
                        <c:v>0.93321187172644904</c:v>
                      </c:pt>
                      <c:pt idx="71">
                        <c:v>0.95705591806155099</c:v>
                      </c:pt>
                      <c:pt idx="72">
                        <c:v>0.98191633833703196</c:v>
                      </c:pt>
                      <c:pt idx="73">
                        <c:v>1.00677675861251</c:v>
                      </c:pt>
                      <c:pt idx="74">
                        <c:v>1.03142748403247</c:v>
                      </c:pt>
                      <c:pt idx="75">
                        <c:v>1.0462211802921</c:v>
                      </c:pt>
                      <c:pt idx="76">
                        <c:v>1.06101487655172</c:v>
                      </c:pt>
                      <c:pt idx="77">
                        <c:v>1.0715758573342899</c:v>
                      </c:pt>
                      <c:pt idx="78">
                        <c:v>1.07295429372841</c:v>
                      </c:pt>
                      <c:pt idx="79">
                        <c:v>1.07433273012254</c:v>
                      </c:pt>
                      <c:pt idx="80">
                        <c:v>1.0757111665166601</c:v>
                      </c:pt>
                      <c:pt idx="81">
                        <c:v>1.0626421267142401</c:v>
                      </c:pt>
                      <c:pt idx="82">
                        <c:v>1.0480972444473</c:v>
                      </c:pt>
                      <c:pt idx="83">
                        <c:v>1.03355201515663</c:v>
                      </c:pt>
                      <c:pt idx="84">
                        <c:v>1.01792973406414</c:v>
                      </c:pt>
                      <c:pt idx="85">
                        <c:v>1.00230745297165</c:v>
                      </c:pt>
                      <c:pt idx="86">
                        <c:v>0.98901616672400494</c:v>
                      </c:pt>
                      <c:pt idx="87">
                        <c:v>0.97632900963516889</c:v>
                      </c:pt>
                      <c:pt idx="88">
                        <c:v>0.96695564115222798</c:v>
                      </c:pt>
                      <c:pt idx="89">
                        <c:v>0.95758227266928686</c:v>
                      </c:pt>
                      <c:pt idx="90">
                        <c:v>0.94928743329397802</c:v>
                      </c:pt>
                      <c:pt idx="91">
                        <c:v>0.95280244634193301</c:v>
                      </c:pt>
                      <c:pt idx="92">
                        <c:v>0.95631745938988799</c:v>
                      </c:pt>
                      <c:pt idx="93">
                        <c:v>0.95983247243784309</c:v>
                      </c:pt>
                      <c:pt idx="94">
                        <c:v>0.96381012994718596</c:v>
                      </c:pt>
                      <c:pt idx="95">
                        <c:v>0.97357405565025901</c:v>
                      </c:pt>
                      <c:pt idx="96">
                        <c:v>0.98333798135333184</c:v>
                      </c:pt>
                      <c:pt idx="97">
                        <c:v>0.99394628349388814</c:v>
                      </c:pt>
                      <c:pt idx="98">
                        <c:v>1.0049737762386599</c:v>
                      </c:pt>
                      <c:pt idx="99">
                        <c:v>1.0160012689834399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EE83-44A2-917A-E4288D0F03D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'1.0LiF_PLot_for_Figs'!$D$3</c15:sqref>
                        </c15:formulaRef>
                      </c:ext>
                    </c:extLst>
                    <c:strCache>
                      <c:ptCount val="1"/>
                      <c:pt idx="0">
                        <c:v>F-F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'1.0LiF_PLot_for_Figs'!$D$4:$D$103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1.2734509901877513E-21</c:v>
                      </c:pt>
                      <c:pt idx="1">
                        <c:v>1.2734509901877513E-20</c:v>
                      </c:pt>
                      <c:pt idx="2">
                        <c:v>1.2734509901877512E-19</c:v>
                      </c:pt>
                      <c:pt idx="3">
                        <c:v>1.2734509901877512E-18</c:v>
                      </c:pt>
                      <c:pt idx="4">
                        <c:v>1.2734509901877511E-17</c:v>
                      </c:pt>
                      <c:pt idx="5">
                        <c:v>1.273450990187751E-16</c:v>
                      </c:pt>
                      <c:pt idx="6">
                        <c:v>1.2734509901877509E-15</c:v>
                      </c:pt>
                      <c:pt idx="7">
                        <c:v>1.2734509901877508E-14</c:v>
                      </c:pt>
                      <c:pt idx="8">
                        <c:v>1.2734509901877508E-13</c:v>
                      </c:pt>
                      <c:pt idx="9">
                        <c:v>1.2734509901877507E-12</c:v>
                      </c:pt>
                      <c:pt idx="10">
                        <c:v>1.2734509901877506E-11</c:v>
                      </c:pt>
                      <c:pt idx="11">
                        <c:v>1.2734509901877506E-10</c:v>
                      </c:pt>
                      <c:pt idx="12">
                        <c:v>1.2734509901877506E-9</c:v>
                      </c:pt>
                      <c:pt idx="13">
                        <c:v>1.2734509901877504E-8</c:v>
                      </c:pt>
                      <c:pt idx="14">
                        <c:v>1.2734509901877506E-7</c:v>
                      </c:pt>
                      <c:pt idx="15">
                        <c:v>1.2734509901877504E-6</c:v>
                      </c:pt>
                      <c:pt idx="16">
                        <c:v>1.2734509901877503E-5</c:v>
                      </c:pt>
                      <c:pt idx="17">
                        <c:v>1.2734509901877504E-4</c:v>
                      </c:pt>
                      <c:pt idx="18">
                        <c:v>1.2734509901877503E-3</c:v>
                      </c:pt>
                      <c:pt idx="19">
                        <c:v>1.2734509901877501E-2</c:v>
                      </c:pt>
                      <c:pt idx="20">
                        <c:v>0.127345099018775</c:v>
                      </c:pt>
                      <c:pt idx="21">
                        <c:v>0.27890909691209698</c:v>
                      </c:pt>
                      <c:pt idx="22">
                        <c:v>0.53295010223291395</c:v>
                      </c:pt>
                      <c:pt idx="23">
                        <c:v>0.83174246049337097</c:v>
                      </c:pt>
                      <c:pt idx="24">
                        <c:v>1.14517272186984</c:v>
                      </c:pt>
                      <c:pt idx="25">
                        <c:v>1.4234405997026001</c:v>
                      </c:pt>
                      <c:pt idx="26">
                        <c:v>1.5872930962427003</c:v>
                      </c:pt>
                      <c:pt idx="27">
                        <c:v>1.6850439409163602</c:v>
                      </c:pt>
                      <c:pt idx="28">
                        <c:v>1.6676957584269501</c:v>
                      </c:pt>
                      <c:pt idx="29">
                        <c:v>1.61045737143434</c:v>
                      </c:pt>
                      <c:pt idx="30">
                        <c:v>1.5065098613075301</c:v>
                      </c:pt>
                      <c:pt idx="31">
                        <c:v>1.3984066246765601</c:v>
                      </c:pt>
                      <c:pt idx="32">
                        <c:v>1.3042605852448099</c:v>
                      </c:pt>
                      <c:pt idx="33">
                        <c:v>1.2190425071297399</c:v>
                      </c:pt>
                      <c:pt idx="34">
                        <c:v>1.14498287820915</c:v>
                      </c:pt>
                      <c:pt idx="35">
                        <c:v>1.0740659442924201</c:v>
                      </c:pt>
                      <c:pt idx="36">
                        <c:v>0.99973622159991016</c:v>
                      </c:pt>
                      <c:pt idx="37">
                        <c:v>0.92813456845563402</c:v>
                      </c:pt>
                      <c:pt idx="38">
                        <c:v>0.86088244427519611</c:v>
                      </c:pt>
                      <c:pt idx="39">
                        <c:v>0.79577746396813298</c:v>
                      </c:pt>
                      <c:pt idx="40">
                        <c:v>0.75416999266241591</c:v>
                      </c:pt>
                      <c:pt idx="41">
                        <c:v>0.721730374528888</c:v>
                      </c:pt>
                      <c:pt idx="42">
                        <c:v>0.70483651240121004</c:v>
                      </c:pt>
                      <c:pt idx="43">
                        <c:v>0.72153521151397304</c:v>
                      </c:pt>
                      <c:pt idx="44">
                        <c:v>0.74018623408955297</c:v>
                      </c:pt>
                      <c:pt idx="45">
                        <c:v>0.78797203541149696</c:v>
                      </c:pt>
                      <c:pt idx="46">
                        <c:v>0.84044958710846784</c:v>
                      </c:pt>
                      <c:pt idx="47">
                        <c:v>0.90228778296157797</c:v>
                      </c:pt>
                      <c:pt idx="48">
                        <c:v>0.967943261508597</c:v>
                      </c:pt>
                      <c:pt idx="49">
                        <c:v>1.0339219653804199</c:v>
                      </c:pt>
                      <c:pt idx="50">
                        <c:v>1.0982372123010899</c:v>
                      </c:pt>
                      <c:pt idx="51">
                        <c:v>1.1398060643127701</c:v>
                      </c:pt>
                      <c:pt idx="52">
                        <c:v>1.1755768478912401</c:v>
                      </c:pt>
                      <c:pt idx="53">
                        <c:v>1.18112686862811</c:v>
                      </c:pt>
                      <c:pt idx="54">
                        <c:v>1.18667688936497</c:v>
                      </c:pt>
                      <c:pt idx="55">
                        <c:v>1.19108287681686</c:v>
                      </c:pt>
                      <c:pt idx="56">
                        <c:v>1.1623490385905799</c:v>
                      </c:pt>
                      <c:pt idx="57">
                        <c:v>1.1336152003643001</c:v>
                      </c:pt>
                      <c:pt idx="58">
                        <c:v>1.09769346536347</c:v>
                      </c:pt>
                      <c:pt idx="59">
                        <c:v>1.0594139247046099</c:v>
                      </c:pt>
                      <c:pt idx="60">
                        <c:v>1.0217784299917401</c:v>
                      </c:pt>
                      <c:pt idx="61">
                        <c:v>0.98689067572377986</c:v>
                      </c:pt>
                      <c:pt idx="62">
                        <c:v>0.954540624891699</c:v>
                      </c:pt>
                      <c:pt idx="63">
                        <c:v>0.92845820753451302</c:v>
                      </c:pt>
                      <c:pt idx="64">
                        <c:v>0.90866573138268802</c:v>
                      </c:pt>
                      <c:pt idx="65">
                        <c:v>0.89290001643836803</c:v>
                      </c:pt>
                      <c:pt idx="66">
                        <c:v>0.89029630329823295</c:v>
                      </c:pt>
                      <c:pt idx="67">
                        <c:v>0.89087100982134104</c:v>
                      </c:pt>
                      <c:pt idx="68">
                        <c:v>0.89596104161921497</c:v>
                      </c:pt>
                      <c:pt idx="69">
                        <c:v>0.91076109781574399</c:v>
                      </c:pt>
                      <c:pt idx="70">
                        <c:v>0.92969709760769303</c:v>
                      </c:pt>
                      <c:pt idx="71">
                        <c:v>0.95106286428033204</c:v>
                      </c:pt>
                      <c:pt idx="72">
                        <c:v>0.97520310488292417</c:v>
                      </c:pt>
                      <c:pt idx="73">
                        <c:v>0.99971929269922699</c:v>
                      </c:pt>
                      <c:pt idx="74">
                        <c:v>1.0206597972001501</c:v>
                      </c:pt>
                      <c:pt idx="75">
                        <c:v>1.04160030170107</c:v>
                      </c:pt>
                      <c:pt idx="76">
                        <c:v>1.0524982116769701</c:v>
                      </c:pt>
                      <c:pt idx="77">
                        <c:v>1.0548183523901999</c:v>
                      </c:pt>
                      <c:pt idx="78">
                        <c:v>1.05713849310342</c:v>
                      </c:pt>
                      <c:pt idx="79">
                        <c:v>1.0594586338166501</c:v>
                      </c:pt>
                      <c:pt idx="80">
                        <c:v>1.0617787745298799</c:v>
                      </c:pt>
                      <c:pt idx="81">
                        <c:v>1.0640989152431</c:v>
                      </c:pt>
                      <c:pt idx="82">
                        <c:v>1.05100383098086</c:v>
                      </c:pt>
                      <c:pt idx="83">
                        <c:v>1.03786917446655</c:v>
                      </c:pt>
                      <c:pt idx="84">
                        <c:v>1.0228890001565101</c:v>
                      </c:pt>
                      <c:pt idx="85">
                        <c:v>1.0075671474874299</c:v>
                      </c:pt>
                      <c:pt idx="86">
                        <c:v>0.99303344334596999</c:v>
                      </c:pt>
                      <c:pt idx="87">
                        <c:v>0.97975513198023201</c:v>
                      </c:pt>
                      <c:pt idx="88">
                        <c:v>0.96822440100964902</c:v>
                      </c:pt>
                      <c:pt idx="89">
                        <c:v>0.96140138258127594</c:v>
                      </c:pt>
                      <c:pt idx="90">
                        <c:v>0.95866945999999986</c:v>
                      </c:pt>
                      <c:pt idx="91">
                        <c:v>0.95866945999999986</c:v>
                      </c:pt>
                      <c:pt idx="92">
                        <c:v>0.95866945999999986</c:v>
                      </c:pt>
                      <c:pt idx="93">
                        <c:v>0.96080881942932095</c:v>
                      </c:pt>
                      <c:pt idx="94">
                        <c:v>0.96506944148362594</c:v>
                      </c:pt>
                      <c:pt idx="95">
                        <c:v>0.97323893806276196</c:v>
                      </c:pt>
                      <c:pt idx="96">
                        <c:v>0.98315307773655203</c:v>
                      </c:pt>
                      <c:pt idx="97">
                        <c:v>0.99301911811961596</c:v>
                      </c:pt>
                      <c:pt idx="98">
                        <c:v>1.0028460370598</c:v>
                      </c:pt>
                      <c:pt idx="99">
                        <c:v>1.0126729560000001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83-44A2-917A-E4288D0F03D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'1.0LiF_PLot_for_Figs'!$F$3</c15:sqref>
                        </c15:formulaRef>
                      </c:ext>
                    </c:extLst>
                    <c:strCache>
                      <c:ptCount val="1"/>
                      <c:pt idx="0">
                        <c:v>S_i_Li-F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'1.0LiF_PLot_for_Figs'!$F$4:$F$103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0.81933469577646101</c:v>
                      </c:pt>
                      <c:pt idx="19">
                        <c:v>0.76597785570501298</c:v>
                      </c:pt>
                      <c:pt idx="20">
                        <c:v>0.76597785570501298</c:v>
                      </c:pt>
                      <c:pt idx="21">
                        <c:v>0.76597785570501298</c:v>
                      </c:pt>
                      <c:pt idx="22">
                        <c:v>0.76597785570501298</c:v>
                      </c:pt>
                      <c:pt idx="23">
                        <c:v>0.76597785570501298</c:v>
                      </c:pt>
                      <c:pt idx="24">
                        <c:v>0.76597785570501298</c:v>
                      </c:pt>
                      <c:pt idx="25">
                        <c:v>0.76597785570501298</c:v>
                      </c:pt>
                      <c:pt idx="26">
                        <c:v>0.76597785570501298</c:v>
                      </c:pt>
                      <c:pt idx="27">
                        <c:v>0.76597785570501298</c:v>
                      </c:pt>
                      <c:pt idx="28">
                        <c:v>0.76597785570501298</c:v>
                      </c:pt>
                      <c:pt idx="29">
                        <c:v>0.76597785570501298</c:v>
                      </c:pt>
                      <c:pt idx="30">
                        <c:v>0.76597785570501298</c:v>
                      </c:pt>
                      <c:pt idx="31">
                        <c:v>0.76597785570501298</c:v>
                      </c:pt>
                      <c:pt idx="32">
                        <c:v>0.76597785570501298</c:v>
                      </c:pt>
                      <c:pt idx="33">
                        <c:v>0.76597785570501298</c:v>
                      </c:pt>
                      <c:pt idx="34">
                        <c:v>0.76597785570501298</c:v>
                      </c:pt>
                      <c:pt idx="35">
                        <c:v>0.30374862307016998</c:v>
                      </c:pt>
                      <c:pt idx="36">
                        <c:v>0.13679561687706901</c:v>
                      </c:pt>
                      <c:pt idx="37">
                        <c:v>0.13679561687706901</c:v>
                      </c:pt>
                      <c:pt idx="38">
                        <c:v>0.13679561687706901</c:v>
                      </c:pt>
                      <c:pt idx="39">
                        <c:v>0.13679561687706901</c:v>
                      </c:pt>
                      <c:pt idx="40">
                        <c:v>0.13679561687706901</c:v>
                      </c:pt>
                      <c:pt idx="41">
                        <c:v>0.13679561687706901</c:v>
                      </c:pt>
                      <c:pt idx="42">
                        <c:v>0.13679561687706901</c:v>
                      </c:pt>
                      <c:pt idx="43">
                        <c:v>0.13679561687706901</c:v>
                      </c:pt>
                      <c:pt idx="44">
                        <c:v>0.13679561687706901</c:v>
                      </c:pt>
                      <c:pt idx="45">
                        <c:v>0.13679561687706901</c:v>
                      </c:pt>
                      <c:pt idx="46">
                        <c:v>0.13679561687706901</c:v>
                      </c:pt>
                      <c:pt idx="47">
                        <c:v>0.13679561687706901</c:v>
                      </c:pt>
                      <c:pt idx="48">
                        <c:v>0.13679561687706901</c:v>
                      </c:pt>
                      <c:pt idx="49">
                        <c:v>0.13679561687706901</c:v>
                      </c:pt>
                      <c:pt idx="50">
                        <c:v>0.13679561687706901</c:v>
                      </c:pt>
                      <c:pt idx="51">
                        <c:v>8.8764665794569E-2</c:v>
                      </c:pt>
                      <c:pt idx="52">
                        <c:v>6.8722650828349904E-3</c:v>
                      </c:pt>
                      <c:pt idx="53">
                        <c:v>6.8722650828349904E-3</c:v>
                      </c:pt>
                      <c:pt idx="54">
                        <c:v>6.8722650828349904E-3</c:v>
                      </c:pt>
                      <c:pt idx="55">
                        <c:v>6.8722650828349904E-3</c:v>
                      </c:pt>
                      <c:pt idx="56">
                        <c:v>6.8722650828349904E-3</c:v>
                      </c:pt>
                      <c:pt idx="57">
                        <c:v>6.8722650828349904E-3</c:v>
                      </c:pt>
                      <c:pt idx="58">
                        <c:v>6.8722650828349904E-3</c:v>
                      </c:pt>
                      <c:pt idx="59">
                        <c:v>6.8722650828349904E-3</c:v>
                      </c:pt>
                      <c:pt idx="60">
                        <c:v>6.8722650828349904E-3</c:v>
                      </c:pt>
                      <c:pt idx="61">
                        <c:v>6.8722650828349904E-3</c:v>
                      </c:pt>
                      <c:pt idx="62">
                        <c:v>6.8722650828349904E-3</c:v>
                      </c:pt>
                      <c:pt idx="63">
                        <c:v>6.8722650828349904E-3</c:v>
                      </c:pt>
                      <c:pt idx="64">
                        <c:v>6.8722650828349904E-3</c:v>
                      </c:pt>
                      <c:pt idx="65">
                        <c:v>6.8722650828349904E-3</c:v>
                      </c:pt>
                      <c:pt idx="66">
                        <c:v>6.8722650828349904E-3</c:v>
                      </c:pt>
                      <c:pt idx="67">
                        <c:v>5.5449778313355997E-3</c:v>
                      </c:pt>
                      <c:pt idx="68">
                        <c:v>4.1056307732461996E-3</c:v>
                      </c:pt>
                      <c:pt idx="69">
                        <c:v>2.6662837151567799E-3</c:v>
                      </c:pt>
                      <c:pt idx="70">
                        <c:v>1.22693665706737E-3</c:v>
                      </c:pt>
                      <c:pt idx="71">
                        <c:v>7.1203397418789403E-4</c:v>
                      </c:pt>
                      <c:pt idx="72">
                        <c:v>7.1203397418789403E-4</c:v>
                      </c:pt>
                      <c:pt idx="73">
                        <c:v>7.1203397418789403E-4</c:v>
                      </c:pt>
                      <c:pt idx="74">
                        <c:v>7.1203397418789403E-4</c:v>
                      </c:pt>
                      <c:pt idx="75">
                        <c:v>7.1203397418789403E-4</c:v>
                      </c:pt>
                      <c:pt idx="76">
                        <c:v>7.1203397418789403E-4</c:v>
                      </c:pt>
                      <c:pt idx="77">
                        <c:v>7.1203397418789403E-4</c:v>
                      </c:pt>
                      <c:pt idx="78">
                        <c:v>7.1203397418789403E-4</c:v>
                      </c:pt>
                      <c:pt idx="79">
                        <c:v>7.1203397418789403E-4</c:v>
                      </c:pt>
                      <c:pt idx="80">
                        <c:v>7.1203397418789403E-4</c:v>
                      </c:pt>
                      <c:pt idx="81">
                        <c:v>7.1203397418789403E-4</c:v>
                      </c:pt>
                      <c:pt idx="82">
                        <c:v>7.1203397418789403E-4</c:v>
                      </c:pt>
                      <c:pt idx="83">
                        <c:v>7.1203397418789403E-4</c:v>
                      </c:pt>
                      <c:pt idx="84">
                        <c:v>7.1203397418789403E-4</c:v>
                      </c:pt>
                      <c:pt idx="85">
                        <c:v>7.1203397418789403E-4</c:v>
                      </c:pt>
                      <c:pt idx="86">
                        <c:v>6.8053607299571497E-4</c:v>
                      </c:pt>
                      <c:pt idx="87">
                        <c:v>3.1662062177019901E-4</c:v>
                      </c:pt>
                      <c:pt idx="88">
                        <c:v>1.12990106756371E-4</c:v>
                      </c:pt>
                      <c:pt idx="89">
                        <c:v>1.12990106756371E-4</c:v>
                      </c:pt>
                      <c:pt idx="90">
                        <c:v>1.12990106756371E-4</c:v>
                      </c:pt>
                      <c:pt idx="91">
                        <c:v>1.12990106756371E-4</c:v>
                      </c:pt>
                      <c:pt idx="92">
                        <c:v>1.12990106756371E-4</c:v>
                      </c:pt>
                      <c:pt idx="93">
                        <c:v>1.12990106756371E-4</c:v>
                      </c:pt>
                      <c:pt idx="94">
                        <c:v>1.12990106756371E-4</c:v>
                      </c:pt>
                      <c:pt idx="95">
                        <c:v>1.12990106756371E-4</c:v>
                      </c:pt>
                      <c:pt idx="96">
                        <c:v>1.12990106756371E-4</c:v>
                      </c:pt>
                      <c:pt idx="97">
                        <c:v>1.12990106756371E-4</c:v>
                      </c:pt>
                      <c:pt idx="98">
                        <c:v>1.12990106756371E-4</c:v>
                      </c:pt>
                      <c:pt idx="99">
                        <c:v>1.12990106756371E-4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E83-44A2-917A-E4288D0F03D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'1.0LiF_PLot_for_Figs'!$G$3</c15:sqref>
                        </c15:formulaRef>
                      </c:ext>
                    </c:extLst>
                    <c:strCache>
                      <c:ptCount val="1"/>
                      <c:pt idx="0">
                        <c:v>Average_SCL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('1.0LiF_PLot_for_Figs'!$G$4,'1.0LiF_PLot_for_Figs'!$G$103)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3.4514</c:v>
                      </c:pt>
                      <c:pt idx="1">
                        <c:v>3.4514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E83-44A2-917A-E4288D0F03D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'1.0LiF_PLot_for_Figs'!$H$3</c15:sqref>
                        </c15:formulaRef>
                      </c:ext>
                    </c:extLst>
                    <c:strCache>
                      <c:ptCount val="1"/>
                      <c:pt idx="0">
                        <c:v>lambda_BC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('1.0LiF_PLot_for_Figs'!$H$4,'1.0LiF_PLot_for_Figs'!$H$103)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3.3052280000000001</c:v>
                      </c:pt>
                      <c:pt idx="1">
                        <c:v>3.3052280000000001</c:v>
                      </c:pt>
                    </c:numCache>
                  </c:numRef>
                </c:xVal>
                <c:yVal>
                  <c:numLit>
                    <c:formatCode>General</c:formatCode>
                    <c:ptCount val="2"/>
                    <c:pt idx="0">
                      <c:v>-2</c:v>
                    </c:pt>
                    <c:pt idx="1">
                      <c:v>2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E83-44A2-917A-E4288D0F03D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'1.0LiF_PLot_for_Figs'!$E$3</c15:sqref>
                        </c15:formulaRef>
                      </c:ext>
                    </c:extLst>
                    <c:strCache>
                      <c:ptCount val="1"/>
                      <c:pt idx="0">
                        <c:v>Power Law Fit</c:v>
                      </c:pt>
                    </c:strCache>
                  </c:strRef>
                </c:tx>
                <c:spPr>
                  <a:ln w="19050" cap="rnd">
                    <a:solidFill>
                      <a:schemeClr val="bg2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'1.0LiF_PLot_for_Figs'!$E$4:$E$103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1">
                        <c:v>2899.0337885140079</c:v>
                      </c:pt>
                      <c:pt idx="2">
                        <c:v>547.52841661394609</c:v>
                      </c:pt>
                      <c:pt idx="3">
                        <c:v>206.97421586544201</c:v>
                      </c:pt>
                      <c:pt idx="4">
                        <c:v>104.06757338385219</c:v>
                      </c:pt>
                      <c:pt idx="5">
                        <c:v>61.240440843413346</c:v>
                      </c:pt>
                      <c:pt idx="6">
                        <c:v>39.843840436367763</c:v>
                      </c:pt>
                      <c:pt idx="7">
                        <c:v>27.804080968626838</c:v>
                      </c:pt>
                      <c:pt idx="8">
                        <c:v>20.437094870657912</c:v>
                      </c:pt>
                      <c:pt idx="9">
                        <c:v>15.639366100399515</c:v>
                      </c:pt>
                      <c:pt idx="10">
                        <c:v>12.36049996406676</c:v>
                      </c:pt>
                      <c:pt idx="11">
                        <c:v>10.031864654709461</c:v>
                      </c:pt>
                      <c:pt idx="12">
                        <c:v>8.3254020339696417</c:v>
                      </c:pt>
                      <c:pt idx="13">
                        <c:v>7.0418410419163253</c:v>
                      </c:pt>
                      <c:pt idx="14">
                        <c:v>6.0548727170249128</c:v>
                      </c:pt>
                      <c:pt idx="15">
                        <c:v>5.2815158385275698</c:v>
                      </c:pt>
                      <c:pt idx="16">
                        <c:v>4.6655627430358466</c:v>
                      </c:pt>
                      <c:pt idx="17">
                        <c:v>4.1679231886303265</c:v>
                      </c:pt>
                      <c:pt idx="18">
                        <c:v>3.7607785688330018</c:v>
                      </c:pt>
                      <c:pt idx="19">
                        <c:v>3.4239266898087677</c:v>
                      </c:pt>
                      <c:pt idx="20">
                        <c:v>3.1424305271774737</c:v>
                      </c:pt>
                      <c:pt idx="21">
                        <c:v>2.9050673533857343</c:v>
                      </c:pt>
                      <c:pt idx="22">
                        <c:v>2.7032826561145433</c:v>
                      </c:pt>
                      <c:pt idx="23">
                        <c:v>2.5304702477057992</c:v>
                      </c:pt>
                      <c:pt idx="24">
                        <c:v>2.3814678043277433</c:v>
                      </c:pt>
                      <c:pt idx="25">
                        <c:v>2.252197516603009</c:v>
                      </c:pt>
                      <c:pt idx="26">
                        <c:v>2.1394062523214652</c:v>
                      </c:pt>
                      <c:pt idx="27">
                        <c:v>2.0404750852967517</c:v>
                      </c:pt>
                      <c:pt idx="28">
                        <c:v>1.9532779062721892</c:v>
                      </c:pt>
                      <c:pt idx="29">
                        <c:v>1.8760752448928506</c:v>
                      </c:pt>
                      <c:pt idx="30">
                        <c:v>1.8074336749323656</c:v>
                      </c:pt>
                      <c:pt idx="31">
                        <c:v>1.7461640275371693</c:v>
                      </c:pt>
                      <c:pt idx="32">
                        <c:v>1.6912735834517965</c:v>
                      </c:pt>
                      <c:pt idx="33">
                        <c:v>1.6419287612966369</c:v>
                      </c:pt>
                      <c:pt idx="34">
                        <c:v>1.5974257619420351</c:v>
                      </c:pt>
                      <c:pt idx="35">
                        <c:v>1.5571672974801978</c:v>
                      </c:pt>
                      <c:pt idx="36">
                        <c:v>1.5206440124425527</c:v>
                      </c:pt>
                      <c:pt idx="37">
                        <c:v>1.4874195519498707</c:v>
                      </c:pt>
                      <c:pt idx="38">
                        <c:v>1.4571184853054318</c:v>
                      </c:pt>
                      <c:pt idx="39">
                        <c:v>1.4294164808997925</c:v>
                      </c:pt>
                      <c:pt idx="40">
                        <c:v>1.4040322677963286</c:v>
                      </c:pt>
                      <c:pt idx="41">
                        <c:v>1.3807210240867278</c:v>
                      </c:pt>
                      <c:pt idx="42">
                        <c:v>1.3592689113271896</c:v>
                      </c:pt>
                      <c:pt idx="43">
                        <c:v>1.3394885347381957</c:v>
                      </c:pt>
                      <c:pt idx="44">
                        <c:v>1.3212151551792681</c:v>
                      </c:pt>
                      <c:pt idx="45">
                        <c:v>1.3043035146972501</c:v>
                      </c:pt>
                      <c:pt idx="46">
                        <c:v>1.2886251652650003</c:v>
                      </c:pt>
                      <c:pt idx="47">
                        <c:v>1.2740662120810224</c:v>
                      </c:pt>
                      <c:pt idx="48">
                        <c:v>1.2605253999089949</c:v>
                      </c:pt>
                      <c:pt idx="49">
                        <c:v>1.2479124844645475</c:v>
                      </c:pt>
                      <c:pt idx="50">
                        <c:v>1.2361468416101096</c:v>
                      </c:pt>
                      <c:pt idx="51">
                        <c:v>1.2251562757088026</c:v>
                      </c:pt>
                      <c:pt idx="52">
                        <c:v>1.2148759953832662</c:v>
                      </c:pt>
                      <c:pt idx="53">
                        <c:v>1.2052477304847815</c:v>
                      </c:pt>
                      <c:pt idx="54">
                        <c:v>1.1962189685804461</c:v>
                      </c:pt>
                      <c:pt idx="55">
                        <c:v>1.1877422929277603</c:v>
                      </c:pt>
                      <c:pt idx="56">
                        <c:v>1.1797748068959359</c:v>
                      </c:pt>
                      <c:pt idx="57">
                        <c:v>1.1722776322441313</c:v>
                      </c:pt>
                      <c:pt idx="58">
                        <c:v>1.1652154706834799</c:v>
                      </c:pt>
                      <c:pt idx="59">
                        <c:v>1.1585562198150137</c:v>
                      </c:pt>
                      <c:pt idx="60">
                        <c:v>1.1522706359154784</c:v>
                      </c:pt>
                      <c:pt idx="61">
                        <c:v>1.1463320371902888</c:v>
                      </c:pt>
                      <c:pt idx="62">
                        <c:v>1.1407160420697786</c:v>
                      </c:pt>
                      <c:pt idx="63">
                        <c:v>1.1354003379255593</c:v>
                      </c:pt>
                      <c:pt idx="64">
                        <c:v>1.1303644762557039</c:v>
                      </c:pt>
                      <c:pt idx="65">
                        <c:v>1.1255896909530154</c:v>
                      </c:pt>
                      <c:pt idx="66">
                        <c:v>1.1210587367479583</c:v>
                      </c:pt>
                      <c:pt idx="67">
                        <c:v>1.1167557453218129</c:v>
                      </c:pt>
                      <c:pt idx="68">
                        <c:v>1.1126660969284228</c:v>
                      </c:pt>
                      <c:pt idx="69">
                        <c:v>1.1087763056545432</c:v>
                      </c:pt>
                      <c:pt idx="70">
                        <c:v>1.105073916697523</c:v>
                      </c:pt>
                      <c:pt idx="71">
                        <c:v>1.1015474142517021</c:v>
                      </c:pt>
                      <c:pt idx="72">
                        <c:v>1.0981861387771008</c:v>
                      </c:pt>
                      <c:pt idx="73">
                        <c:v>1.0949802125804768</c:v>
                      </c:pt>
                      <c:pt idx="74">
                        <c:v>1.0919204727735208</c:v>
                      </c:pt>
                      <c:pt idx="75">
                        <c:v>1.0889984107891344</c:v>
                      </c:pt>
                      <c:pt idx="76">
                        <c:v>1.0862061177371733</c:v>
                      </c:pt>
                      <c:pt idx="77">
                        <c:v>1.0835362349680009</c:v>
                      </c:pt>
                      <c:pt idx="78">
                        <c:v>1.0809819092876889</c:v>
                      </c:pt>
                      <c:pt idx="79">
                        <c:v>1.0785367523343194</c:v>
                      </c:pt>
                      <c:pt idx="80">
                        <c:v>1.0761948036820153</c:v>
                      </c:pt>
                      <c:pt idx="81">
                        <c:v>1.0739504972892051</c:v>
                      </c:pt>
                      <c:pt idx="82">
                        <c:v>1.0717986309512471</c:v>
                      </c:pt>
                      <c:pt idx="83">
                        <c:v>1.0697343384557141</c:v>
                      </c:pt>
                      <c:pt idx="84">
                        <c:v>1.0677530641721564</c:v>
                      </c:pt>
                      <c:pt idx="85">
                        <c:v>1.0658505398375693</c:v>
                      </c:pt>
                      <c:pt idx="86">
                        <c:v>1.0640227633247141</c:v>
                      </c:pt>
                      <c:pt idx="87">
                        <c:v>1.0622659792032514</c:v>
                      </c:pt>
                      <c:pt idx="88">
                        <c:v>1.0605766609238005</c:v>
                      </c:pt>
                      <c:pt idx="89">
                        <c:v>1.0589514944728573</c:v>
                      </c:pt>
                      <c:pt idx="90">
                        <c:v>1.0573873633622561</c:v>
                      </c:pt>
                      <c:pt idx="91">
                        <c:v>1.0558813348308607</c:v>
                      </c:pt>
                      <c:pt idx="92">
                        <c:v>1.0544306471485634</c:v>
                      </c:pt>
                      <c:pt idx="93">
                        <c:v>1.0530326979237106</c:v>
                      </c:pt>
                      <c:pt idx="94">
                        <c:v>1.0516850333248973</c:v>
                      </c:pt>
                      <c:pt idx="95">
                        <c:v>1.0503853381368162</c:v>
                      </c:pt>
                      <c:pt idx="96">
                        <c:v>1.0491314265776688</c:v>
                      </c:pt>
                      <c:pt idx="97">
                        <c:v>1.0479212338126138</c:v>
                      </c:pt>
                      <c:pt idx="98">
                        <c:v>1.0467528081039783</c:v>
                      </c:pt>
                      <c:pt idx="99">
                        <c:v>1.0456243035445587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E83-44A2-917A-E4288D0F03D4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64603872"/>
        <c:axId val="364599712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'1.0LiF_PLot_for_Figs'!$J$3</c15:sqref>
                        </c15:formulaRef>
                      </c:ext>
                    </c:extLst>
                    <c:strCache>
                      <c:ptCount val="1"/>
                      <c:pt idx="0">
                        <c:v>W(r)</c:v>
                      </c:pt>
                    </c:strCache>
                  </c:strRef>
                </c:tx>
                <c:spPr>
                  <a:ln w="19050" cap="rnd">
                    <a:solidFill>
                      <a:srgbClr val="FFC00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'1.0LiF_PLot_for_Figs'!$A$4:$A$103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0.103761658686868</c:v>
                      </c:pt>
                      <c:pt idx="2">
                        <c:v>0.207523317373737</c:v>
                      </c:pt>
                      <c:pt idx="3">
                        <c:v>0.31128497606060601</c:v>
                      </c:pt>
                      <c:pt idx="4">
                        <c:v>0.415046634747474</c:v>
                      </c:pt>
                      <c:pt idx="5">
                        <c:v>0.51880829343434298</c:v>
                      </c:pt>
                      <c:pt idx="6">
                        <c:v>0.62256995212121202</c:v>
                      </c:pt>
                      <c:pt idx="7">
                        <c:v>0.72633161080807995</c:v>
                      </c:pt>
                      <c:pt idx="8">
                        <c:v>0.83009326949494899</c:v>
                      </c:pt>
                      <c:pt idx="9">
                        <c:v>0.93385492818181803</c:v>
                      </c:pt>
                      <c:pt idx="10">
                        <c:v>1.03761658686868</c:v>
                      </c:pt>
                      <c:pt idx="11">
                        <c:v>1.1413782455555499</c:v>
                      </c:pt>
                      <c:pt idx="12">
                        <c:v>1.24513990424242</c:v>
                      </c:pt>
                      <c:pt idx="13">
                        <c:v>1.34890156292929</c:v>
                      </c:pt>
                      <c:pt idx="14">
                        <c:v>1.4526632216161599</c:v>
                      </c:pt>
                      <c:pt idx="15">
                        <c:v>1.5564248803030301</c:v>
                      </c:pt>
                      <c:pt idx="16">
                        <c:v>1.66018653898989</c:v>
                      </c:pt>
                      <c:pt idx="17">
                        <c:v>1.7639481976767599</c:v>
                      </c:pt>
                      <c:pt idx="18">
                        <c:v>1.8677098563636301</c:v>
                      </c:pt>
                      <c:pt idx="19">
                        <c:v>1.9714715150505</c:v>
                      </c:pt>
                      <c:pt idx="20">
                        <c:v>2.0752331737373702</c:v>
                      </c:pt>
                      <c:pt idx="21">
                        <c:v>2.1789948324242401</c:v>
                      </c:pt>
                      <c:pt idx="22">
                        <c:v>2.28275649111111</c:v>
                      </c:pt>
                      <c:pt idx="23">
                        <c:v>2.3865181497979702</c:v>
                      </c:pt>
                      <c:pt idx="24">
                        <c:v>2.4902798084848401</c:v>
                      </c:pt>
                      <c:pt idx="25">
                        <c:v>2.59404146717171</c:v>
                      </c:pt>
                      <c:pt idx="26">
                        <c:v>2.69780312585858</c:v>
                      </c:pt>
                      <c:pt idx="27">
                        <c:v>2.8015647845454499</c:v>
                      </c:pt>
                      <c:pt idx="28">
                        <c:v>2.9053264432323198</c:v>
                      </c:pt>
                      <c:pt idx="29">
                        <c:v>3.0090881019191902</c:v>
                      </c:pt>
                      <c:pt idx="30">
                        <c:v>3.1128497606060601</c:v>
                      </c:pt>
                      <c:pt idx="31">
                        <c:v>3.2166114192929198</c:v>
                      </c:pt>
                      <c:pt idx="32">
                        <c:v>3.3203730779797902</c:v>
                      </c:pt>
                      <c:pt idx="33">
                        <c:v>3.4241347366666601</c:v>
                      </c:pt>
                      <c:pt idx="34">
                        <c:v>3.5278963953535301</c:v>
                      </c:pt>
                      <c:pt idx="35">
                        <c:v>3.6316580540404</c:v>
                      </c:pt>
                      <c:pt idx="36">
                        <c:v>3.7354197127272699</c:v>
                      </c:pt>
                      <c:pt idx="37">
                        <c:v>3.8391813714141398</c:v>
                      </c:pt>
                      <c:pt idx="38">
                        <c:v>3.942943030101</c:v>
                      </c:pt>
                      <c:pt idx="39">
                        <c:v>4.0467046887878704</c:v>
                      </c:pt>
                      <c:pt idx="40">
                        <c:v>4.1504663474747403</c:v>
                      </c:pt>
                      <c:pt idx="41">
                        <c:v>4.2542280061616102</c:v>
                      </c:pt>
                      <c:pt idx="42">
                        <c:v>4.3579896648484802</c:v>
                      </c:pt>
                      <c:pt idx="43">
                        <c:v>4.4617513235353501</c:v>
                      </c:pt>
                      <c:pt idx="44">
                        <c:v>4.56551298222222</c:v>
                      </c:pt>
                      <c:pt idx="45">
                        <c:v>4.6692746409090899</c:v>
                      </c:pt>
                      <c:pt idx="46">
                        <c:v>4.7730362995959501</c:v>
                      </c:pt>
                      <c:pt idx="47">
                        <c:v>4.87679795828282</c:v>
                      </c:pt>
                      <c:pt idx="48">
                        <c:v>4.98055961696969</c:v>
                      </c:pt>
                      <c:pt idx="49">
                        <c:v>5.0843212756565599</c:v>
                      </c:pt>
                      <c:pt idx="50">
                        <c:v>5.1880829343434298</c:v>
                      </c:pt>
                      <c:pt idx="51">
                        <c:v>5.2918445930302997</c:v>
                      </c:pt>
                      <c:pt idx="52">
                        <c:v>5.3956062517171697</c:v>
                      </c:pt>
                      <c:pt idx="53">
                        <c:v>5.4993679104040396</c:v>
                      </c:pt>
                      <c:pt idx="54">
                        <c:v>5.6031295690908998</c:v>
                      </c:pt>
                      <c:pt idx="55">
                        <c:v>5.7068912277777697</c:v>
                      </c:pt>
                      <c:pt idx="56">
                        <c:v>5.8106528864646396</c:v>
                      </c:pt>
                      <c:pt idx="57">
                        <c:v>5.9144145451515104</c:v>
                      </c:pt>
                      <c:pt idx="58">
                        <c:v>6.0181762038383804</c:v>
                      </c:pt>
                      <c:pt idx="59">
                        <c:v>6.1219378625252503</c:v>
                      </c:pt>
                      <c:pt idx="60">
                        <c:v>6.2256995212121202</c:v>
                      </c:pt>
                      <c:pt idx="61">
                        <c:v>6.3294611798989804</c:v>
                      </c:pt>
                      <c:pt idx="62">
                        <c:v>6.4332228385858503</c:v>
                      </c:pt>
                      <c:pt idx="63">
                        <c:v>6.5369844972727202</c:v>
                      </c:pt>
                      <c:pt idx="64">
                        <c:v>6.6407461559595902</c:v>
                      </c:pt>
                      <c:pt idx="65">
                        <c:v>6.7445078146464601</c:v>
                      </c:pt>
                      <c:pt idx="66">
                        <c:v>6.84826947333333</c:v>
                      </c:pt>
                      <c:pt idx="67">
                        <c:v>6.9520311320202</c:v>
                      </c:pt>
                      <c:pt idx="68">
                        <c:v>7.0557927907070699</c:v>
                      </c:pt>
                      <c:pt idx="69">
                        <c:v>7.15955444939393</c:v>
                      </c:pt>
                      <c:pt idx="70">
                        <c:v>7.2633161080808</c:v>
                      </c:pt>
                      <c:pt idx="71">
                        <c:v>7.3670777667676699</c:v>
                      </c:pt>
                      <c:pt idx="72">
                        <c:v>7.4708394254545398</c:v>
                      </c:pt>
                      <c:pt idx="73">
                        <c:v>7.5746010841414098</c:v>
                      </c:pt>
                      <c:pt idx="74">
                        <c:v>7.6783627428282797</c:v>
                      </c:pt>
                      <c:pt idx="75">
                        <c:v>7.7821244015151496</c:v>
                      </c:pt>
                      <c:pt idx="76">
                        <c:v>7.8858860602020098</c:v>
                      </c:pt>
                      <c:pt idx="77">
                        <c:v>7.9896477188888797</c:v>
                      </c:pt>
                      <c:pt idx="78">
                        <c:v>8.0934093775757496</c:v>
                      </c:pt>
                      <c:pt idx="79">
                        <c:v>8.1971710362626204</c:v>
                      </c:pt>
                      <c:pt idx="80">
                        <c:v>8.3009326949494895</c:v>
                      </c:pt>
                      <c:pt idx="81">
                        <c:v>8.4046943536363603</c:v>
                      </c:pt>
                      <c:pt idx="82">
                        <c:v>8.5084560123232293</c:v>
                      </c:pt>
                      <c:pt idx="83">
                        <c:v>8.6122176710101002</c:v>
                      </c:pt>
                      <c:pt idx="84">
                        <c:v>8.7159793296969692</c:v>
                      </c:pt>
                      <c:pt idx="85">
                        <c:v>8.8197409883838294</c:v>
                      </c:pt>
                      <c:pt idx="86">
                        <c:v>8.9235026470707002</c:v>
                      </c:pt>
                      <c:pt idx="87">
                        <c:v>9.0272643057575692</c:v>
                      </c:pt>
                      <c:pt idx="88">
                        <c:v>9.13102596444444</c:v>
                      </c:pt>
                      <c:pt idx="89">
                        <c:v>9.2347876231313109</c:v>
                      </c:pt>
                      <c:pt idx="90">
                        <c:v>9.3385492818181799</c:v>
                      </c:pt>
                      <c:pt idx="91">
                        <c:v>9.4423109405050507</c:v>
                      </c:pt>
                      <c:pt idx="92">
                        <c:v>9.5460725991919109</c:v>
                      </c:pt>
                      <c:pt idx="93">
                        <c:v>9.6498342578787799</c:v>
                      </c:pt>
                      <c:pt idx="94">
                        <c:v>9.7535959165656507</c:v>
                      </c:pt>
                      <c:pt idx="95">
                        <c:v>9.8573575752525198</c:v>
                      </c:pt>
                      <c:pt idx="96">
                        <c:v>9.9611192339393906</c:v>
                      </c:pt>
                      <c:pt idx="97">
                        <c:v>10.064880892626199</c:v>
                      </c:pt>
                      <c:pt idx="98">
                        <c:v>10.1686425513131</c:v>
                      </c:pt>
                      <c:pt idx="99">
                        <c:v>10.272404209999999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'1.0LiF_PLot_for_Figs'!$J$4:$J$103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659.38003568202998</c:v>
                      </c:pt>
                      <c:pt idx="1">
                        <c:v>616.45987717964215</c:v>
                      </c:pt>
                      <c:pt idx="2">
                        <c:v>573.5397186772542</c:v>
                      </c:pt>
                      <c:pt idx="3">
                        <c:v>530.61956017486625</c:v>
                      </c:pt>
                      <c:pt idx="4">
                        <c:v>487.69940167247842</c:v>
                      </c:pt>
                      <c:pt idx="5">
                        <c:v>444.77924317009047</c:v>
                      </c:pt>
                      <c:pt idx="6">
                        <c:v>401.85908466770258</c:v>
                      </c:pt>
                      <c:pt idx="7">
                        <c:v>358.93892616531474</c:v>
                      </c:pt>
                      <c:pt idx="8">
                        <c:v>316.01876766292679</c:v>
                      </c:pt>
                      <c:pt idx="9">
                        <c:v>273.0986091605389</c:v>
                      </c:pt>
                      <c:pt idx="10">
                        <c:v>230.17845065815104</c:v>
                      </c:pt>
                      <c:pt idx="11">
                        <c:v>187.25829215576317</c:v>
                      </c:pt>
                      <c:pt idx="12">
                        <c:v>144.33813365337522</c:v>
                      </c:pt>
                      <c:pt idx="13">
                        <c:v>101.41797515098735</c:v>
                      </c:pt>
                      <c:pt idx="14">
                        <c:v>58.497816648599446</c:v>
                      </c:pt>
                      <c:pt idx="15">
                        <c:v>15.577658146211546</c:v>
                      </c:pt>
                      <c:pt idx="16">
                        <c:v>-3.028268416245445</c:v>
                      </c:pt>
                      <c:pt idx="17">
                        <c:v>-10.245637407771312</c:v>
                      </c:pt>
                      <c:pt idx="18">
                        <c:v>-12.239317215188235</c:v>
                      </c:pt>
                      <c:pt idx="19">
                        <c:v>-11.052764876905735</c:v>
                      </c:pt>
                      <c:pt idx="20">
                        <c:v>-8.2503842494401489</c:v>
                      </c:pt>
                      <c:pt idx="21">
                        <c:v>-5.0806332956332847</c:v>
                      </c:pt>
                      <c:pt idx="22">
                        <c:v>-1.9464803311183005</c:v>
                      </c:pt>
                      <c:pt idx="23">
                        <c:v>0.73076951943624924</c:v>
                      </c:pt>
                      <c:pt idx="24">
                        <c:v>2.9772007123060416</c:v>
                      </c:pt>
                      <c:pt idx="25">
                        <c:v>4.8369667232258893</c:v>
                      </c:pt>
                      <c:pt idx="26">
                        <c:v>6.0418185548242214</c:v>
                      </c:pt>
                      <c:pt idx="27">
                        <c:v>6.8266759483859536</c:v>
                      </c:pt>
                      <c:pt idx="28">
                        <c:v>6.8266759483859536</c:v>
                      </c:pt>
                      <c:pt idx="29">
                        <c:v>6.8266759483859536</c:v>
                      </c:pt>
                      <c:pt idx="30">
                        <c:v>6.3157987258812422</c:v>
                      </c:pt>
                      <c:pt idx="31">
                        <c:v>5.3052016142986513</c:v>
                      </c:pt>
                      <c:pt idx="32">
                        <c:v>4.3935457091601853</c:v>
                      </c:pt>
                      <c:pt idx="33">
                        <c:v>3.5631735113207434</c:v>
                      </c:pt>
                      <c:pt idx="34">
                        <c:v>2.6448382242843618</c:v>
                      </c:pt>
                      <c:pt idx="35">
                        <c:v>1.488307860423971</c:v>
                      </c:pt>
                      <c:pt idx="36">
                        <c:v>0.35058650970167288</c:v>
                      </c:pt>
                      <c:pt idx="37">
                        <c:v>-0.66485355632413079</c:v>
                      </c:pt>
                      <c:pt idx="38">
                        <c:v>-1.5804479750691474</c:v>
                      </c:pt>
                      <c:pt idx="39">
                        <c:v>-2.2571392483253447</c:v>
                      </c:pt>
                      <c:pt idx="40">
                        <c:v>-2.4271339187722187</c:v>
                      </c:pt>
                      <c:pt idx="41">
                        <c:v>-2.5940833842432989</c:v>
                      </c:pt>
                      <c:pt idx="42">
                        <c:v>-2.7580948282721973</c:v>
                      </c:pt>
                      <c:pt idx="43">
                        <c:v>-2.6142034451822305</c:v>
                      </c:pt>
                      <c:pt idx="44">
                        <c:v>-2.1965408958100272</c:v>
                      </c:pt>
                      <c:pt idx="45">
                        <c:v>-1.6578270950852478</c:v>
                      </c:pt>
                      <c:pt idx="46">
                        <c:v>-1.0531966247439932</c:v>
                      </c:pt>
                      <c:pt idx="47">
                        <c:v>-0.47758636198377757</c:v>
                      </c:pt>
                      <c:pt idx="48">
                        <c:v>6.3881746944812925E-2</c:v>
                      </c:pt>
                      <c:pt idx="49">
                        <c:v>0.6316103158680878</c:v>
                      </c:pt>
                      <c:pt idx="50">
                        <c:v>1.06241825350771</c:v>
                      </c:pt>
                      <c:pt idx="51">
                        <c:v>1.4253459697015867</c:v>
                      </c:pt>
                      <c:pt idx="52">
                        <c:v>1.5852595382149297</c:v>
                      </c:pt>
                      <c:pt idx="53">
                        <c:v>1.5852595382149297</c:v>
                      </c:pt>
                      <c:pt idx="54">
                        <c:v>1.5852595382149297</c:v>
                      </c:pt>
                      <c:pt idx="55">
                        <c:v>1.5852595382149297</c:v>
                      </c:pt>
                      <c:pt idx="56">
                        <c:v>1.4681566693307218</c:v>
                      </c:pt>
                      <c:pt idx="57">
                        <c:v>1.162831499877071</c:v>
                      </c:pt>
                      <c:pt idx="58">
                        <c:v>0.86719237559933426</c:v>
                      </c:pt>
                      <c:pt idx="59">
                        <c:v>0.58064359160069334</c:v>
                      </c:pt>
                      <c:pt idx="60">
                        <c:v>0.30264276243594879</c:v>
                      </c:pt>
                      <c:pt idx="61">
                        <c:v>3.2694642781227252E-2</c:v>
                      </c:pt>
                      <c:pt idx="62">
                        <c:v>-0.22965418187117767</c:v>
                      </c:pt>
                      <c:pt idx="63">
                        <c:v>-0.48481987747117256</c:v>
                      </c:pt>
                      <c:pt idx="64">
                        <c:v>-0.73318533291739063</c:v>
                      </c:pt>
                      <c:pt idx="65">
                        <c:v>-0.97510361596558659</c:v>
                      </c:pt>
                      <c:pt idx="66">
                        <c:v>-1.1328832964126605</c:v>
                      </c:pt>
                      <c:pt idx="67">
                        <c:v>-1.0084937827472777</c:v>
                      </c:pt>
                      <c:pt idx="68">
                        <c:v>-0.87169915046918178</c:v>
                      </c:pt>
                      <c:pt idx="69">
                        <c:v>-0.73286676242666604</c:v>
                      </c:pt>
                      <c:pt idx="70">
                        <c:v>-0.59193498870083139</c:v>
                      </c:pt>
                      <c:pt idx="71">
                        <c:v>-0.39536261725265398</c:v>
                      </c:pt>
                      <c:pt idx="72">
                        <c:v>-0.16398266831653907</c:v>
                      </c:pt>
                      <c:pt idx="73">
                        <c:v>5.6650064584372072E-2</c:v>
                      </c:pt>
                      <c:pt idx="74">
                        <c:v>0.26457533707345621</c:v>
                      </c:pt>
                      <c:pt idx="75">
                        <c:v>0.39948437776118262</c:v>
                      </c:pt>
                      <c:pt idx="76">
                        <c:v>0.51425669346741987</c:v>
                      </c:pt>
                      <c:pt idx="77">
                        <c:v>0.61408741473804762</c:v>
                      </c:pt>
                      <c:pt idx="78">
                        <c:v>0.61408741473804762</c:v>
                      </c:pt>
                      <c:pt idx="79">
                        <c:v>0.61408741473804762</c:v>
                      </c:pt>
                      <c:pt idx="80">
                        <c:v>0.61408741473804762</c:v>
                      </c:pt>
                      <c:pt idx="81">
                        <c:v>0.5207206409600289</c:v>
                      </c:pt>
                      <c:pt idx="82">
                        <c:v>0.38574738959657195</c:v>
                      </c:pt>
                      <c:pt idx="83">
                        <c:v>0.25270096542132664</c:v>
                      </c:pt>
                      <c:pt idx="84">
                        <c:v>0.12152712851949111</c:v>
                      </c:pt>
                      <c:pt idx="85">
                        <c:v>-7.8261025064206447E-3</c:v>
                      </c:pt>
                      <c:pt idx="86">
                        <c:v>-0.13562791370376756</c:v>
                      </c:pt>
                      <c:pt idx="87">
                        <c:v>-0.26398432490906942</c:v>
                      </c:pt>
                      <c:pt idx="88">
                        <c:v>-0.3350428465139757</c:v>
                      </c:pt>
                      <c:pt idx="89">
                        <c:v>-0.33504286154565538</c:v>
                      </c:pt>
                      <c:pt idx="90">
                        <c:v>-0.33504287657724729</c:v>
                      </c:pt>
                      <c:pt idx="91">
                        <c:v>-0.33504289160892897</c:v>
                      </c:pt>
                      <c:pt idx="92">
                        <c:v>-0.33504290664060876</c:v>
                      </c:pt>
                      <c:pt idx="93">
                        <c:v>-0.33504292167229038</c:v>
                      </c:pt>
                      <c:pt idx="94">
                        <c:v>-0.33504293670397006</c:v>
                      </c:pt>
                      <c:pt idx="95">
                        <c:v>-0.2677953460307661</c:v>
                      </c:pt>
                      <c:pt idx="96">
                        <c:v>-0.15632753006159497</c:v>
                      </c:pt>
                      <c:pt idx="97">
                        <c:v>-7.5740310008799425E-2</c:v>
                      </c:pt>
                      <c:pt idx="98">
                        <c:v>2.8907070929908265E-2</c:v>
                      </c:pt>
                      <c:pt idx="99">
                        <c:v>0.10073632884162484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EE83-44A2-917A-E4288D0F03D4}"/>
                  </c:ext>
                </c:extLst>
              </c15:ser>
            </c15:filteredScatterSeries>
          </c:ext>
        </c:extLst>
      </c:scatterChart>
      <c:valAx>
        <c:axId val="8095320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r [Å]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24256"/>
        <c:crosses val="autoZero"/>
        <c:crossBetween val="midCat"/>
        <c:majorUnit val="2"/>
      </c:valAx>
      <c:valAx>
        <c:axId val="364624256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g(r)</a:t>
                </a:r>
              </a:p>
            </c:rich>
          </c:tx>
          <c:layout>
            <c:manualLayout>
              <c:xMode val="edge"/>
              <c:yMode val="edge"/>
              <c:x val="8.1224031762172303E-3"/>
              <c:y val="0.40305469382210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0953200"/>
        <c:crosses val="autoZero"/>
        <c:crossBetween val="midCat"/>
        <c:majorUnit val="1"/>
      </c:valAx>
      <c:valAx>
        <c:axId val="364599712"/>
        <c:scaling>
          <c:orientation val="minMax"/>
          <c:max val="60"/>
          <c:min val="-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baseline="0">
                    <a:effectLst/>
                  </a:rPr>
                  <a:t>W(r) [</a:t>
                </a:r>
                <a:r>
                  <a:rPr lang="en-US" sz="1200" b="0" i="0" u="none" strike="noStrike" baseline="0">
                    <a:effectLst/>
                  </a:rPr>
                  <a:t>k</a:t>
                </a:r>
                <a:r>
                  <a:rPr lang="en-US" sz="1200" b="1" i="0" baseline="0">
                    <a:effectLst/>
                  </a:rPr>
                  <a:t>J∙mol</a:t>
                </a:r>
                <a:r>
                  <a:rPr lang="en-US" sz="1200" b="1" i="0" baseline="30000">
                    <a:effectLst/>
                  </a:rPr>
                  <a:t>-1</a:t>
                </a:r>
                <a:r>
                  <a:rPr lang="en-US" sz="1200" b="1" i="0" baseline="0">
                    <a:effectLst/>
                  </a:rPr>
                  <a:t>]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4603872"/>
        <c:crosses val="max"/>
        <c:crossBetween val="midCat"/>
        <c:majorUnit val="20"/>
      </c:valAx>
      <c:valAx>
        <c:axId val="36460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59971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6830557474570706"/>
          <c:y val="9.2233683374731673E-2"/>
          <c:w val="0.19248600150949452"/>
          <c:h val="0.133050278780043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'MFP-rsum'!$BU$1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'MFP-rsum'!$BK$2:$BK$40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'MFP-rsum'!$BU$2:$BU$40</c:f>
              <c:numCache>
                <c:formatCode>General</c:formatCode>
                <c:ptCount val="39"/>
                <c:pt idx="0">
                  <c:v>0.41394465624042837</c:v>
                </c:pt>
                <c:pt idx="1">
                  <c:v>0.29124726463980749</c:v>
                </c:pt>
                <c:pt idx="2">
                  <c:v>0.26238652387925293</c:v>
                </c:pt>
                <c:pt idx="5">
                  <c:v>0.39125353733723539</c:v>
                </c:pt>
                <c:pt idx="6">
                  <c:v>0.25275932578655919</c:v>
                </c:pt>
                <c:pt idx="7">
                  <c:v>0.21891087231062725</c:v>
                </c:pt>
                <c:pt idx="12">
                  <c:v>0.25540383259273031</c:v>
                </c:pt>
                <c:pt idx="13">
                  <c:v>0.22985990139579499</c:v>
                </c:pt>
                <c:pt idx="14">
                  <c:v>0.18969079162882779</c:v>
                </c:pt>
                <c:pt idx="22">
                  <c:v>0.41612814764513956</c:v>
                </c:pt>
                <c:pt idx="23">
                  <c:v>0.31403884367075796</c:v>
                </c:pt>
                <c:pt idx="24">
                  <c:v>0.37053036457699584</c:v>
                </c:pt>
                <c:pt idx="25">
                  <c:v>0.39757643517425006</c:v>
                </c:pt>
                <c:pt idx="26">
                  <c:v>0.41891382891358497</c:v>
                </c:pt>
                <c:pt idx="27">
                  <c:v>0.41430456700560619</c:v>
                </c:pt>
                <c:pt idx="28">
                  <c:v>0.40984417755887542</c:v>
                </c:pt>
                <c:pt idx="31">
                  <c:v>0.27085167873613741</c:v>
                </c:pt>
                <c:pt idx="33">
                  <c:v>0.34320422489180508</c:v>
                </c:pt>
                <c:pt idx="34">
                  <c:v>0.20516135221071996</c:v>
                </c:pt>
                <c:pt idx="35">
                  <c:v>0.20760850977434864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2C-4AA4-82A8-D2274AF5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6.2612273277871305E-2</c:v>
                </c:pt>
                <c:pt idx="16">
                  <c:v>0.46095787187769799</c:v>
                </c:pt>
                <c:pt idx="17">
                  <c:v>0.99994769007349404</c:v>
                </c:pt>
                <c:pt idx="18">
                  <c:v>1.2384516980767999</c:v>
                </c:pt>
                <c:pt idx="19">
                  <c:v>1.09040523702456</c:v>
                </c:pt>
                <c:pt idx="20">
                  <c:v>0.80723907259291905</c:v>
                </c:pt>
                <c:pt idx="21">
                  <c:v>0.57451006708282804</c:v>
                </c:pt>
                <c:pt idx="22">
                  <c:v>0.410442110461535</c:v>
                </c:pt>
                <c:pt idx="23">
                  <c:v>0.30796192165585701</c:v>
                </c:pt>
                <c:pt idx="24">
                  <c:v>0.242001179322541</c:v>
                </c:pt>
                <c:pt idx="25">
                  <c:v>0.19822381311765599</c:v>
                </c:pt>
                <c:pt idx="26">
                  <c:v>0.17418548388294899</c:v>
                </c:pt>
                <c:pt idx="27">
                  <c:v>0.160117594333333</c:v>
                </c:pt>
                <c:pt idx="28">
                  <c:v>0.160117594333333</c:v>
                </c:pt>
                <c:pt idx="29">
                  <c:v>0.160117594333333</c:v>
                </c:pt>
                <c:pt idx="30">
                  <c:v>0.16913947962922399</c:v>
                </c:pt>
                <c:pt idx="31">
                  <c:v>0.18851110810043201</c:v>
                </c:pt>
                <c:pt idx="32">
                  <c:v>0.20788273657164</c:v>
                </c:pt>
                <c:pt idx="33">
                  <c:v>0.22725436504284799</c:v>
                </c:pt>
                <c:pt idx="34">
                  <c:v>0.25078696494321601</c:v>
                </c:pt>
                <c:pt idx="35">
                  <c:v>0.28392075119763099</c:v>
                </c:pt>
                <c:pt idx="36">
                  <c:v>0.320784108936295</c:v>
                </c:pt>
                <c:pt idx="37">
                  <c:v>0.35770950052761202</c:v>
                </c:pt>
                <c:pt idx="38">
                  <c:v>0.39463489211892799</c:v>
                </c:pt>
                <c:pt idx="39">
                  <c:v>0.42435374864766201</c:v>
                </c:pt>
                <c:pt idx="40">
                  <c:v>0.43216488924385799</c:v>
                </c:pt>
                <c:pt idx="41">
                  <c:v>0.43997602984005402</c:v>
                </c:pt>
                <c:pt idx="42">
                  <c:v>0.44778717043624899</c:v>
                </c:pt>
                <c:pt idx="43">
                  <c:v>0.44092687880625803</c:v>
                </c:pt>
                <c:pt idx="44">
                  <c:v>0.42160356239496899</c:v>
                </c:pt>
                <c:pt idx="45">
                  <c:v>0.39792498186194297</c:v>
                </c:pt>
                <c:pt idx="46">
                  <c:v>0.37292933227418501</c:v>
                </c:pt>
                <c:pt idx="47">
                  <c:v>0.35059375023566303</c:v>
                </c:pt>
                <c:pt idx="48">
                  <c:v>0.33080552747790498</c:v>
                </c:pt>
                <c:pt idx="49">
                  <c:v>0.31125594584628302</c:v>
                </c:pt>
                <c:pt idx="50">
                  <c:v>0.29719589286457598</c:v>
                </c:pt>
                <c:pt idx="51">
                  <c:v>0.28584529164772399</c:v>
                </c:pt>
                <c:pt idx="52">
                  <c:v>0.28098256099999902</c:v>
                </c:pt>
                <c:pt idx="53">
                  <c:v>0.28098256099999902</c:v>
                </c:pt>
                <c:pt idx="54">
                  <c:v>0.28098256099999902</c:v>
                </c:pt>
                <c:pt idx="55">
                  <c:v>0.28098256099999902</c:v>
                </c:pt>
                <c:pt idx="56">
                  <c:v>0.28453529354192197</c:v>
                </c:pt>
                <c:pt idx="57">
                  <c:v>0.29401110328650898</c:v>
                </c:pt>
                <c:pt idx="58">
                  <c:v>0.30348691303109498</c:v>
                </c:pt>
                <c:pt idx="59">
                  <c:v>0.31296272277568099</c:v>
                </c:pt>
                <c:pt idx="60">
                  <c:v>0.322438532520267</c:v>
                </c:pt>
                <c:pt idx="61">
                  <c:v>0.331914342264854</c:v>
                </c:pt>
                <c:pt idx="62">
                  <c:v>0.34139015200944001</c:v>
                </c:pt>
                <c:pt idx="63">
                  <c:v>0.35086596175402601</c:v>
                </c:pt>
                <c:pt idx="64">
                  <c:v>0.36034177149861202</c:v>
                </c:pt>
                <c:pt idx="65">
                  <c:v>0.36981758124319902</c:v>
                </c:pt>
                <c:pt idx="66">
                  <c:v>0.37613157720721002</c:v>
                </c:pt>
                <c:pt idx="67">
                  <c:v>0.37114488004287199</c:v>
                </c:pt>
                <c:pt idx="68">
                  <c:v>0.365737167381954</c:v>
                </c:pt>
                <c:pt idx="69">
                  <c:v>0.360329454721037</c:v>
                </c:pt>
                <c:pt idx="70">
                  <c:v>0.35492174206011901</c:v>
                </c:pt>
                <c:pt idx="71">
                  <c:v>0.34751431226493301</c:v>
                </c:pt>
                <c:pt idx="72">
                  <c:v>0.33899306833076998</c:v>
                </c:pt>
                <c:pt idx="73">
                  <c:v>0.33106230970989903</c:v>
                </c:pt>
                <c:pt idx="74">
                  <c:v>0.32375822288471201</c:v>
                </c:pt>
                <c:pt idx="75">
                  <c:v>0.31910550452310699</c:v>
                </c:pt>
                <c:pt idx="76">
                  <c:v>0.31519993419439002</c:v>
                </c:pt>
                <c:pt idx="77">
                  <c:v>0.311841701333333</c:v>
                </c:pt>
                <c:pt idx="78">
                  <c:v>0.311841701333333</c:v>
                </c:pt>
                <c:pt idx="79">
                  <c:v>0.311841701333333</c:v>
                </c:pt>
                <c:pt idx="80">
                  <c:v>0.311841701333333</c:v>
                </c:pt>
                <c:pt idx="81">
                  <c:v>0.31498140085106002</c:v>
                </c:pt>
                <c:pt idx="82">
                  <c:v>0.31957618944429</c:v>
                </c:pt>
                <c:pt idx="83">
                  <c:v>0.32417097803751999</c:v>
                </c:pt>
                <c:pt idx="84">
                  <c:v>0.32876576663074902</c:v>
                </c:pt>
                <c:pt idx="85">
                  <c:v>0.333360555223979</c:v>
                </c:pt>
                <c:pt idx="86">
                  <c:v>0.33796329745164</c:v>
                </c:pt>
                <c:pt idx="87">
                  <c:v>0.34264997948389903</c:v>
                </c:pt>
                <c:pt idx="88">
                  <c:v>0.34527243357860299</c:v>
                </c:pt>
                <c:pt idx="89">
                  <c:v>0.34527243413547298</c:v>
                </c:pt>
                <c:pt idx="90">
                  <c:v>0.34527243469234198</c:v>
                </c:pt>
                <c:pt idx="91">
                  <c:v>0.34527243524921097</c:v>
                </c:pt>
                <c:pt idx="92">
                  <c:v>0.34527243580608102</c:v>
                </c:pt>
                <c:pt idx="93">
                  <c:v>0.34527243636295002</c:v>
                </c:pt>
                <c:pt idx="94">
                  <c:v>0.34527243691981901</c:v>
                </c:pt>
                <c:pt idx="95">
                  <c:v>0.34279012048947599</c:v>
                </c:pt>
                <c:pt idx="96">
                  <c:v>0.33871474482999903</c:v>
                </c:pt>
                <c:pt idx="97">
                  <c:v>0.33579860469838002</c:v>
                </c:pt>
                <c:pt idx="98">
                  <c:v>0.33204925704078703</c:v>
                </c:pt>
                <c:pt idx="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A-40DE-A076-A0475E49F791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2.9059459344315001E-3</c:v>
                </c:pt>
                <c:pt idx="19">
                  <c:v>8.8186713781525494E-3</c:v>
                </c:pt>
                <c:pt idx="20">
                  <c:v>2.6986059689671198E-2</c:v>
                </c:pt>
                <c:pt idx="21">
                  <c:v>7.2339609514790307E-2</c:v>
                </c:pt>
                <c:pt idx="22">
                  <c:v>0.152769257567239</c:v>
                </c:pt>
                <c:pt idx="23">
                  <c:v>0.27244849344319</c:v>
                </c:pt>
                <c:pt idx="24">
                  <c:v>0.382126164694091</c:v>
                </c:pt>
                <c:pt idx="25">
                  <c:v>0.50095558025064402</c:v>
                </c:pt>
                <c:pt idx="26">
                  <c:v>0.56513102911643998</c:v>
                </c:pt>
                <c:pt idx="27">
                  <c:v>0.59350780014153204</c:v>
                </c:pt>
                <c:pt idx="28">
                  <c:v>0.58132620668212498</c:v>
                </c:pt>
                <c:pt idx="29">
                  <c:v>0.55409605327533995</c:v>
                </c:pt>
                <c:pt idx="30">
                  <c:v>0.51352072912200797</c:v>
                </c:pt>
                <c:pt idx="31">
                  <c:v>0.46063540649053297</c:v>
                </c:pt>
                <c:pt idx="32">
                  <c:v>0.42003229319381902</c:v>
                </c:pt>
                <c:pt idx="33">
                  <c:v>0.38982806339022402</c:v>
                </c:pt>
                <c:pt idx="34">
                  <c:v>0.362453009526992</c:v>
                </c:pt>
                <c:pt idx="35">
                  <c:v>0.340247052791876</c:v>
                </c:pt>
                <c:pt idx="36">
                  <c:v>0.31925501416454899</c:v>
                </c:pt>
                <c:pt idx="37">
                  <c:v>0.29761245677589698</c:v>
                </c:pt>
                <c:pt idx="38">
                  <c:v>0.27796354530275602</c:v>
                </c:pt>
                <c:pt idx="39">
                  <c:v>0.26372992958457497</c:v>
                </c:pt>
                <c:pt idx="40">
                  <c:v>0.25123353741260901</c:v>
                </c:pt>
                <c:pt idx="41">
                  <c:v>0.241292085866224</c:v>
                </c:pt>
                <c:pt idx="42">
                  <c:v>0.23442381779361299</c:v>
                </c:pt>
                <c:pt idx="43">
                  <c:v>0.239891616158462</c:v>
                </c:pt>
                <c:pt idx="44">
                  <c:v>0.246867881714364</c:v>
                </c:pt>
                <c:pt idx="45">
                  <c:v>0.26008673484080003</c:v>
                </c:pt>
                <c:pt idx="46">
                  <c:v>0.28725617881599502</c:v>
                </c:pt>
                <c:pt idx="47">
                  <c:v>0.30912737233865101</c:v>
                </c:pt>
                <c:pt idx="48">
                  <c:v>0.33129008502345703</c:v>
                </c:pt>
                <c:pt idx="49">
                  <c:v>0.35433294966331402</c:v>
                </c:pt>
                <c:pt idx="50">
                  <c:v>0.37246149353465502</c:v>
                </c:pt>
                <c:pt idx="51">
                  <c:v>0.386834887569101</c:v>
                </c:pt>
                <c:pt idx="52">
                  <c:v>0.39767052299671002</c:v>
                </c:pt>
                <c:pt idx="53">
                  <c:v>0.39754661933787799</c:v>
                </c:pt>
                <c:pt idx="54">
                  <c:v>0.39738270510876</c:v>
                </c:pt>
                <c:pt idx="55">
                  <c:v>0.39443682366772898</c:v>
                </c:pt>
                <c:pt idx="56">
                  <c:v>0.384347433852265</c:v>
                </c:pt>
                <c:pt idx="57">
                  <c:v>0.37425804403680202</c:v>
                </c:pt>
                <c:pt idx="58">
                  <c:v>0.36231404750173002</c:v>
                </c:pt>
                <c:pt idx="59">
                  <c:v>0.34935603148380701</c:v>
                </c:pt>
                <c:pt idx="60">
                  <c:v>0.33673564210905199</c:v>
                </c:pt>
                <c:pt idx="61">
                  <c:v>0.324162627728939</c:v>
                </c:pt>
                <c:pt idx="62">
                  <c:v>0.31544537943253897</c:v>
                </c:pt>
                <c:pt idx="63">
                  <c:v>0.307353379716584</c:v>
                </c:pt>
                <c:pt idx="64">
                  <c:v>0.30174994246403197</c:v>
                </c:pt>
                <c:pt idx="65">
                  <c:v>0.29628214409918302</c:v>
                </c:pt>
                <c:pt idx="66">
                  <c:v>0.29684018097495402</c:v>
                </c:pt>
                <c:pt idx="67">
                  <c:v>0.29775913866884002</c:v>
                </c:pt>
                <c:pt idx="68">
                  <c:v>0.29867809636272702</c:v>
                </c:pt>
                <c:pt idx="69">
                  <c:v>0.30327699549425802</c:v>
                </c:pt>
                <c:pt idx="70">
                  <c:v>0.31107062390881601</c:v>
                </c:pt>
                <c:pt idx="71">
                  <c:v>0.31901863935385</c:v>
                </c:pt>
                <c:pt idx="72">
                  <c:v>0.32730544611234402</c:v>
                </c:pt>
                <c:pt idx="73">
                  <c:v>0.33559225287083699</c:v>
                </c:pt>
                <c:pt idx="74">
                  <c:v>0.34380916134415901</c:v>
                </c:pt>
                <c:pt idx="75">
                  <c:v>0.34874039343070101</c:v>
                </c:pt>
                <c:pt idx="76">
                  <c:v>0.35367162551724202</c:v>
                </c:pt>
                <c:pt idx="77">
                  <c:v>0.35719195244476398</c:v>
                </c:pt>
                <c:pt idx="78">
                  <c:v>0.35765143124280502</c:v>
                </c:pt>
                <c:pt idx="79">
                  <c:v>0.358110910040847</c:v>
                </c:pt>
                <c:pt idx="80">
                  <c:v>0.35857038883888798</c:v>
                </c:pt>
                <c:pt idx="81">
                  <c:v>0.35421404223808201</c:v>
                </c:pt>
                <c:pt idx="82">
                  <c:v>0.34936574814909999</c:v>
                </c:pt>
                <c:pt idx="83">
                  <c:v>0.34451733838554299</c:v>
                </c:pt>
                <c:pt idx="84">
                  <c:v>0.339309911354713</c:v>
                </c:pt>
                <c:pt idx="85">
                  <c:v>0.33410248432388301</c:v>
                </c:pt>
                <c:pt idx="86">
                  <c:v>0.329672055574668</c:v>
                </c:pt>
                <c:pt idx="87">
                  <c:v>0.32544300321172298</c:v>
                </c:pt>
                <c:pt idx="88">
                  <c:v>0.32231854705074198</c:v>
                </c:pt>
                <c:pt idx="89">
                  <c:v>0.31919409088976203</c:v>
                </c:pt>
                <c:pt idx="90">
                  <c:v>0.31642914443132603</c:v>
                </c:pt>
                <c:pt idx="91">
                  <c:v>0.317600815447311</c:v>
                </c:pt>
                <c:pt idx="92">
                  <c:v>0.31877248646329598</c:v>
                </c:pt>
                <c:pt idx="93">
                  <c:v>0.31994415747928101</c:v>
                </c:pt>
                <c:pt idx="94">
                  <c:v>0.321270043315728</c:v>
                </c:pt>
                <c:pt idx="95">
                  <c:v>0.32452468521675298</c:v>
                </c:pt>
                <c:pt idx="96">
                  <c:v>0.32777932711777702</c:v>
                </c:pt>
                <c:pt idx="97">
                  <c:v>0.33131542783129603</c:v>
                </c:pt>
                <c:pt idx="98">
                  <c:v>0.33499125874622099</c:v>
                </c:pt>
                <c:pt idx="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AA-40DE-A076-A0475E49F791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4.2448366339591898E-2</c:v>
                </c:pt>
                <c:pt idx="21">
                  <c:v>9.2969698970699205E-2</c:v>
                </c:pt>
                <c:pt idx="22">
                  <c:v>0.17765003407763799</c:v>
                </c:pt>
                <c:pt idx="23">
                  <c:v>0.27724748683112299</c:v>
                </c:pt>
                <c:pt idx="24">
                  <c:v>0.38172424062328097</c:v>
                </c:pt>
                <c:pt idx="25">
                  <c:v>0.47448019990086898</c:v>
                </c:pt>
                <c:pt idx="26">
                  <c:v>0.52909769874756696</c:v>
                </c:pt>
                <c:pt idx="27">
                  <c:v>0.56168131363878704</c:v>
                </c:pt>
                <c:pt idx="28">
                  <c:v>0.55589858614231702</c:v>
                </c:pt>
                <c:pt idx="29">
                  <c:v>0.53681912381144803</c:v>
                </c:pt>
                <c:pt idx="30">
                  <c:v>0.50216995376917895</c:v>
                </c:pt>
                <c:pt idx="31">
                  <c:v>0.46613554155885401</c:v>
                </c:pt>
                <c:pt idx="32">
                  <c:v>0.43475352841493797</c:v>
                </c:pt>
                <c:pt idx="33">
                  <c:v>0.40634750237658102</c:v>
                </c:pt>
                <c:pt idx="34">
                  <c:v>0.38166095940305</c:v>
                </c:pt>
                <c:pt idx="35">
                  <c:v>0.35802198143080899</c:v>
                </c:pt>
                <c:pt idx="36">
                  <c:v>0.33324540719996998</c:v>
                </c:pt>
                <c:pt idx="37">
                  <c:v>0.30937818948521101</c:v>
                </c:pt>
                <c:pt idx="38">
                  <c:v>0.28696081475839802</c:v>
                </c:pt>
                <c:pt idx="39">
                  <c:v>0.26525915465604399</c:v>
                </c:pt>
                <c:pt idx="40">
                  <c:v>0.25138999755413799</c:v>
                </c:pt>
                <c:pt idx="41">
                  <c:v>0.24057679150962899</c:v>
                </c:pt>
                <c:pt idx="42">
                  <c:v>0.23494550413373599</c:v>
                </c:pt>
                <c:pt idx="43">
                  <c:v>0.24051173717132401</c:v>
                </c:pt>
                <c:pt idx="44">
                  <c:v>0.24672874469651701</c:v>
                </c:pt>
                <c:pt idx="45">
                  <c:v>0.26265734513716499</c:v>
                </c:pt>
                <c:pt idx="46">
                  <c:v>0.28014986236948902</c:v>
                </c:pt>
                <c:pt idx="47">
                  <c:v>0.30076259432052599</c:v>
                </c:pt>
                <c:pt idx="48">
                  <c:v>0.32264775383619898</c:v>
                </c:pt>
                <c:pt idx="49">
                  <c:v>0.34464065512680803</c:v>
                </c:pt>
                <c:pt idx="50">
                  <c:v>0.366079070767031</c:v>
                </c:pt>
                <c:pt idx="51">
                  <c:v>0.37993535477092399</c:v>
                </c:pt>
                <c:pt idx="52">
                  <c:v>0.39185894929708298</c:v>
                </c:pt>
                <c:pt idx="53">
                  <c:v>0.39370895620937002</c:v>
                </c:pt>
                <c:pt idx="54">
                  <c:v>0.395558963121658</c:v>
                </c:pt>
                <c:pt idx="55">
                  <c:v>0.39702762560562199</c:v>
                </c:pt>
                <c:pt idx="56">
                  <c:v>0.38744967953019399</c:v>
                </c:pt>
                <c:pt idx="57">
                  <c:v>0.37787173345476699</c:v>
                </c:pt>
                <c:pt idx="58">
                  <c:v>0.36589782178782299</c:v>
                </c:pt>
                <c:pt idx="59">
                  <c:v>0.35313797490153898</c:v>
                </c:pt>
                <c:pt idx="60">
                  <c:v>0.340592809997247</c:v>
                </c:pt>
                <c:pt idx="61">
                  <c:v>0.32896355857459297</c:v>
                </c:pt>
                <c:pt idx="62">
                  <c:v>0.31818020829723298</c:v>
                </c:pt>
                <c:pt idx="63">
                  <c:v>0.30948606917817101</c:v>
                </c:pt>
                <c:pt idx="64">
                  <c:v>0.30288857712756201</c:v>
                </c:pt>
                <c:pt idx="65">
                  <c:v>0.29763333881278897</c:v>
                </c:pt>
                <c:pt idx="66">
                  <c:v>0.296765434432744</c:v>
                </c:pt>
                <c:pt idx="67">
                  <c:v>0.29695700327378</c:v>
                </c:pt>
                <c:pt idx="68">
                  <c:v>0.29865368053973801</c:v>
                </c:pt>
                <c:pt idx="69">
                  <c:v>0.303587032605248</c:v>
                </c:pt>
                <c:pt idx="70">
                  <c:v>0.30989903253589701</c:v>
                </c:pt>
                <c:pt idx="71">
                  <c:v>0.31702095476011</c:v>
                </c:pt>
                <c:pt idx="72">
                  <c:v>0.32506770162764098</c:v>
                </c:pt>
                <c:pt idx="73">
                  <c:v>0.333239764233075</c:v>
                </c:pt>
                <c:pt idx="74">
                  <c:v>0.34021993240005</c:v>
                </c:pt>
                <c:pt idx="75">
                  <c:v>0.34720010056702499</c:v>
                </c:pt>
                <c:pt idx="76">
                  <c:v>0.350832737225657</c:v>
                </c:pt>
                <c:pt idx="77">
                  <c:v>0.35160611746339998</c:v>
                </c:pt>
                <c:pt idx="78">
                  <c:v>0.35237949770114202</c:v>
                </c:pt>
                <c:pt idx="79">
                  <c:v>0.353152877938884</c:v>
                </c:pt>
                <c:pt idx="80">
                  <c:v>0.35392625817662698</c:v>
                </c:pt>
                <c:pt idx="81">
                  <c:v>0.35469963841436902</c:v>
                </c:pt>
                <c:pt idx="82">
                  <c:v>0.35033461032695401</c:v>
                </c:pt>
                <c:pt idx="83">
                  <c:v>0.34595639148885199</c:v>
                </c:pt>
                <c:pt idx="84">
                  <c:v>0.34096300005217001</c:v>
                </c:pt>
                <c:pt idx="85">
                  <c:v>0.33585571582914497</c:v>
                </c:pt>
                <c:pt idx="86">
                  <c:v>0.33101114778198998</c:v>
                </c:pt>
                <c:pt idx="87">
                  <c:v>0.32658504399340998</c:v>
                </c:pt>
                <c:pt idx="88">
                  <c:v>0.32274146700321599</c:v>
                </c:pt>
                <c:pt idx="89">
                  <c:v>0.320467127527092</c:v>
                </c:pt>
                <c:pt idx="90">
                  <c:v>0.31955648666666597</c:v>
                </c:pt>
                <c:pt idx="91">
                  <c:v>0.31955648666666597</c:v>
                </c:pt>
                <c:pt idx="92">
                  <c:v>0.31955648666666597</c:v>
                </c:pt>
                <c:pt idx="93">
                  <c:v>0.32026960647643998</c:v>
                </c:pt>
                <c:pt idx="94">
                  <c:v>0.32168981382787498</c:v>
                </c:pt>
                <c:pt idx="95">
                  <c:v>0.32441297935425401</c:v>
                </c:pt>
                <c:pt idx="96">
                  <c:v>0.32771769257884997</c:v>
                </c:pt>
                <c:pt idx="97">
                  <c:v>0.33100637270653799</c:v>
                </c:pt>
                <c:pt idx="98">
                  <c:v>0.33428201235326899</c:v>
                </c:pt>
                <c:pt idx="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AA-40DE-A076-A0475E49F791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'1.0LiF_plot_data'!$E$2:$E$101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0.81933469577646101</c:v>
                </c:pt>
                <c:pt idx="19">
                  <c:v>0.76597785570501298</c:v>
                </c:pt>
                <c:pt idx="20">
                  <c:v>0.76597785570501298</c:v>
                </c:pt>
                <c:pt idx="21">
                  <c:v>0.76597785570501298</c:v>
                </c:pt>
                <c:pt idx="22">
                  <c:v>0.76597785570501298</c:v>
                </c:pt>
                <c:pt idx="23">
                  <c:v>0.76597785570501298</c:v>
                </c:pt>
                <c:pt idx="24">
                  <c:v>0.76597785570501298</c:v>
                </c:pt>
                <c:pt idx="25">
                  <c:v>0.76597785570501298</c:v>
                </c:pt>
                <c:pt idx="26">
                  <c:v>0.76597785570501298</c:v>
                </c:pt>
                <c:pt idx="27">
                  <c:v>0.76597785570501298</c:v>
                </c:pt>
                <c:pt idx="28">
                  <c:v>0.76597785570501298</c:v>
                </c:pt>
                <c:pt idx="29">
                  <c:v>0.76597785570501298</c:v>
                </c:pt>
                <c:pt idx="30">
                  <c:v>0.76597785570501298</c:v>
                </c:pt>
                <c:pt idx="31">
                  <c:v>0.76597785570501298</c:v>
                </c:pt>
                <c:pt idx="32">
                  <c:v>0.76597785570501298</c:v>
                </c:pt>
                <c:pt idx="33">
                  <c:v>0.76597785570501298</c:v>
                </c:pt>
                <c:pt idx="34">
                  <c:v>0.76597785570501298</c:v>
                </c:pt>
                <c:pt idx="35">
                  <c:v>0.30374862307016998</c:v>
                </c:pt>
                <c:pt idx="36">
                  <c:v>0.13679561687706901</c:v>
                </c:pt>
                <c:pt idx="37">
                  <c:v>0.13679561687706901</c:v>
                </c:pt>
                <c:pt idx="38">
                  <c:v>0.13679561687706901</c:v>
                </c:pt>
                <c:pt idx="39">
                  <c:v>0.13679561687706901</c:v>
                </c:pt>
                <c:pt idx="40">
                  <c:v>0.13679561687706901</c:v>
                </c:pt>
                <c:pt idx="41">
                  <c:v>0.13679561687706901</c:v>
                </c:pt>
                <c:pt idx="42">
                  <c:v>0.13679561687706901</c:v>
                </c:pt>
                <c:pt idx="43">
                  <c:v>0.13679561687706901</c:v>
                </c:pt>
                <c:pt idx="44">
                  <c:v>0.13679561687706901</c:v>
                </c:pt>
                <c:pt idx="45">
                  <c:v>0.13679561687706901</c:v>
                </c:pt>
                <c:pt idx="46">
                  <c:v>0.13679561687706901</c:v>
                </c:pt>
                <c:pt idx="47">
                  <c:v>0.13679561687706901</c:v>
                </c:pt>
                <c:pt idx="48">
                  <c:v>0.13679561687706901</c:v>
                </c:pt>
                <c:pt idx="49">
                  <c:v>0.13679561687706901</c:v>
                </c:pt>
                <c:pt idx="50">
                  <c:v>0.13679561687706901</c:v>
                </c:pt>
                <c:pt idx="51">
                  <c:v>8.8764665794569E-2</c:v>
                </c:pt>
                <c:pt idx="52">
                  <c:v>6.8722650828349904E-3</c:v>
                </c:pt>
                <c:pt idx="53">
                  <c:v>6.8722650828349904E-3</c:v>
                </c:pt>
                <c:pt idx="54">
                  <c:v>6.8722650828349904E-3</c:v>
                </c:pt>
                <c:pt idx="55">
                  <c:v>6.8722650828349904E-3</c:v>
                </c:pt>
                <c:pt idx="56">
                  <c:v>6.8722650828349904E-3</c:v>
                </c:pt>
                <c:pt idx="57">
                  <c:v>6.8722650828349904E-3</c:v>
                </c:pt>
                <c:pt idx="58">
                  <c:v>6.8722650828349904E-3</c:v>
                </c:pt>
                <c:pt idx="59">
                  <c:v>6.8722650828349904E-3</c:v>
                </c:pt>
                <c:pt idx="60">
                  <c:v>6.8722650828349904E-3</c:v>
                </c:pt>
                <c:pt idx="61">
                  <c:v>6.8722650828349904E-3</c:v>
                </c:pt>
                <c:pt idx="62">
                  <c:v>6.8722650828349904E-3</c:v>
                </c:pt>
                <c:pt idx="63">
                  <c:v>6.8722650828349904E-3</c:v>
                </c:pt>
                <c:pt idx="64">
                  <c:v>6.8722650828349904E-3</c:v>
                </c:pt>
                <c:pt idx="65">
                  <c:v>6.8722650828349904E-3</c:v>
                </c:pt>
                <c:pt idx="66">
                  <c:v>6.8722650828349904E-3</c:v>
                </c:pt>
                <c:pt idx="67">
                  <c:v>5.5449778313355997E-3</c:v>
                </c:pt>
                <c:pt idx="68">
                  <c:v>4.1056307732461996E-3</c:v>
                </c:pt>
                <c:pt idx="69">
                  <c:v>2.6662837151567799E-3</c:v>
                </c:pt>
                <c:pt idx="70">
                  <c:v>1.22693665706737E-3</c:v>
                </c:pt>
                <c:pt idx="71">
                  <c:v>7.1203397418789403E-4</c:v>
                </c:pt>
                <c:pt idx="72">
                  <c:v>7.1203397418789403E-4</c:v>
                </c:pt>
                <c:pt idx="73">
                  <c:v>7.1203397418789403E-4</c:v>
                </c:pt>
                <c:pt idx="74">
                  <c:v>7.1203397418789403E-4</c:v>
                </c:pt>
                <c:pt idx="75">
                  <c:v>7.1203397418789403E-4</c:v>
                </c:pt>
                <c:pt idx="76">
                  <c:v>7.1203397418789403E-4</c:v>
                </c:pt>
                <c:pt idx="77">
                  <c:v>7.1203397418789403E-4</c:v>
                </c:pt>
                <c:pt idx="78">
                  <c:v>7.1203397418789403E-4</c:v>
                </c:pt>
                <c:pt idx="79">
                  <c:v>7.1203397418789403E-4</c:v>
                </c:pt>
                <c:pt idx="80">
                  <c:v>7.1203397418789403E-4</c:v>
                </c:pt>
                <c:pt idx="81">
                  <c:v>7.1203397418789403E-4</c:v>
                </c:pt>
                <c:pt idx="82">
                  <c:v>7.1203397418789403E-4</c:v>
                </c:pt>
                <c:pt idx="83">
                  <c:v>7.1203397418789403E-4</c:v>
                </c:pt>
                <c:pt idx="84">
                  <c:v>7.1203397418789403E-4</c:v>
                </c:pt>
                <c:pt idx="85">
                  <c:v>7.1203397418789403E-4</c:v>
                </c:pt>
                <c:pt idx="86">
                  <c:v>6.8053607299571497E-4</c:v>
                </c:pt>
                <c:pt idx="87">
                  <c:v>3.1662062177019901E-4</c:v>
                </c:pt>
                <c:pt idx="88">
                  <c:v>1.12990106756371E-4</c:v>
                </c:pt>
                <c:pt idx="89">
                  <c:v>1.12990106756371E-4</c:v>
                </c:pt>
                <c:pt idx="90">
                  <c:v>1.12990106756371E-4</c:v>
                </c:pt>
                <c:pt idx="91">
                  <c:v>1.12990106756371E-4</c:v>
                </c:pt>
                <c:pt idx="92">
                  <c:v>1.12990106756371E-4</c:v>
                </c:pt>
                <c:pt idx="93">
                  <c:v>1.12990106756371E-4</c:v>
                </c:pt>
                <c:pt idx="94">
                  <c:v>1.12990106756371E-4</c:v>
                </c:pt>
                <c:pt idx="95">
                  <c:v>1.12990106756371E-4</c:v>
                </c:pt>
                <c:pt idx="96">
                  <c:v>1.12990106756371E-4</c:v>
                </c:pt>
                <c:pt idx="97">
                  <c:v>1.12990106756371E-4</c:v>
                </c:pt>
                <c:pt idx="98">
                  <c:v>1.12990106756371E-4</c:v>
                </c:pt>
                <c:pt idx="99">
                  <c:v>1.12990106756371E-4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AA-40DE-A076-A0475E49F791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3.3052280000000001</c:v>
                </c:pt>
                <c:pt idx="1">
                  <c:v>3.3052280000000001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1AA-40DE-A076-A0475E49F791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3.4514</c:v>
                </c:pt>
                <c:pt idx="1">
                  <c:v>3.4514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1AA-40DE-A076-A0475E49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406350258383537"/>
          <c:y val="8.78550437186459E-2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'0.64NaCl_0.36UCl3_plot_data'!$B$1</c:f>
              <c:strCache>
                <c:ptCount val="1"/>
                <c:pt idx="0">
                  <c:v>U-Cl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9.6443673467693503E-3</c:v>
                </c:pt>
                <c:pt idx="35">
                  <c:v>4.3550193574662097E-2</c:v>
                </c:pt>
                <c:pt idx="36">
                  <c:v>0.142056080776155</c:v>
                </c:pt>
                <c:pt idx="37">
                  <c:v>0.32530735403419703</c:v>
                </c:pt>
                <c:pt idx="38">
                  <c:v>0.53563180168398505</c:v>
                </c:pt>
                <c:pt idx="39">
                  <c:v>0.66756402188536401</c:v>
                </c:pt>
                <c:pt idx="40">
                  <c:v>0.68987244661969305</c:v>
                </c:pt>
                <c:pt idx="41">
                  <c:v>0.64010797388757801</c:v>
                </c:pt>
                <c:pt idx="42">
                  <c:v>0.53629563778408795</c:v>
                </c:pt>
                <c:pt idx="43">
                  <c:v>0.41602699026757101</c:v>
                </c:pt>
                <c:pt idx="44">
                  <c:v>0.31428519142339001</c:v>
                </c:pt>
                <c:pt idx="45">
                  <c:v>0.23282633447970399</c:v>
                </c:pt>
                <c:pt idx="46">
                  <c:v>0.17268073309005499</c:v>
                </c:pt>
                <c:pt idx="47">
                  <c:v>0.12745855270899201</c:v>
                </c:pt>
                <c:pt idx="48">
                  <c:v>9.7782837380878604E-2</c:v>
                </c:pt>
                <c:pt idx="49">
                  <c:v>7.7530997813011995E-2</c:v>
                </c:pt>
                <c:pt idx="50">
                  <c:v>6.2727106099798799E-2</c:v>
                </c:pt>
                <c:pt idx="51">
                  <c:v>5.2028704336295098E-2</c:v>
                </c:pt>
                <c:pt idx="52">
                  <c:v>4.51756091151366E-2</c:v>
                </c:pt>
                <c:pt idx="53">
                  <c:v>3.9346826476685998E-2</c:v>
                </c:pt>
                <c:pt idx="54">
                  <c:v>3.55825655197788E-2</c:v>
                </c:pt>
                <c:pt idx="55">
                  <c:v>3.2410108395683097E-2</c:v>
                </c:pt>
                <c:pt idx="56">
                  <c:v>3.2397211327215202E-2</c:v>
                </c:pt>
                <c:pt idx="57">
                  <c:v>3.2199154980353202E-2</c:v>
                </c:pt>
                <c:pt idx="58">
                  <c:v>3.0208912481635701E-2</c:v>
                </c:pt>
                <c:pt idx="59">
                  <c:v>2.9892714257190901E-2</c:v>
                </c:pt>
                <c:pt idx="60">
                  <c:v>3.07133837323708E-2</c:v>
                </c:pt>
                <c:pt idx="61">
                  <c:v>3.2437292683270003E-2</c:v>
                </c:pt>
                <c:pt idx="62">
                  <c:v>3.4638950318917401E-2</c:v>
                </c:pt>
                <c:pt idx="63">
                  <c:v>3.7615467223946701E-2</c:v>
                </c:pt>
                <c:pt idx="64">
                  <c:v>4.0654486958999397E-2</c:v>
                </c:pt>
                <c:pt idx="65">
                  <c:v>4.3746957651341199E-2</c:v>
                </c:pt>
                <c:pt idx="66">
                  <c:v>4.6534665819548598E-2</c:v>
                </c:pt>
                <c:pt idx="67">
                  <c:v>4.9518455308044197E-2</c:v>
                </c:pt>
                <c:pt idx="68">
                  <c:v>5.3913418868992501E-2</c:v>
                </c:pt>
                <c:pt idx="69">
                  <c:v>5.83699269509977E-2</c:v>
                </c:pt>
                <c:pt idx="70">
                  <c:v>6.2991828579569101E-2</c:v>
                </c:pt>
                <c:pt idx="71">
                  <c:v>6.7523085152360093E-2</c:v>
                </c:pt>
                <c:pt idx="72">
                  <c:v>7.2025447011194593E-2</c:v>
                </c:pt>
                <c:pt idx="73">
                  <c:v>7.7196334331313898E-2</c:v>
                </c:pt>
                <c:pt idx="74">
                  <c:v>8.2664021387359302E-2</c:v>
                </c:pt>
                <c:pt idx="75">
                  <c:v>8.9006875665791504E-2</c:v>
                </c:pt>
                <c:pt idx="76">
                  <c:v>9.7083973357367098E-2</c:v>
                </c:pt>
                <c:pt idx="77">
                  <c:v>0.105440489077678</c:v>
                </c:pt>
                <c:pt idx="78">
                  <c:v>0.11379700479799</c:v>
                </c:pt>
                <c:pt idx="79">
                  <c:v>0.120840387167313</c:v>
                </c:pt>
                <c:pt idx="80">
                  <c:v>0.12651827237250099</c:v>
                </c:pt>
                <c:pt idx="81">
                  <c:v>0.13219615757768899</c:v>
                </c:pt>
                <c:pt idx="82">
                  <c:v>0.13755504879813599</c:v>
                </c:pt>
                <c:pt idx="83">
                  <c:v>0.14163568216618</c:v>
                </c:pt>
                <c:pt idx="84">
                  <c:v>0.14547633701471099</c:v>
                </c:pt>
                <c:pt idx="85">
                  <c:v>0.14888707984834701</c:v>
                </c:pt>
                <c:pt idx="86">
                  <c:v>0.15184267931203899</c:v>
                </c:pt>
                <c:pt idx="87">
                  <c:v>0.15460124742928899</c:v>
                </c:pt>
                <c:pt idx="88">
                  <c:v>0.155384239248224</c:v>
                </c:pt>
                <c:pt idx="89">
                  <c:v>0.15555726082132901</c:v>
                </c:pt>
                <c:pt idx="90">
                  <c:v>0.15362320503692001</c:v>
                </c:pt>
                <c:pt idx="91">
                  <c:v>0.15020638890294299</c:v>
                </c:pt>
                <c:pt idx="92">
                  <c:v>0.146256902349684</c:v>
                </c:pt>
                <c:pt idx="93">
                  <c:v>0.141666473292448</c:v>
                </c:pt>
                <c:pt idx="94">
                  <c:v>0.13706042019207301</c:v>
                </c:pt>
                <c:pt idx="95">
                  <c:v>0.13297060159809401</c:v>
                </c:pt>
                <c:pt idx="96">
                  <c:v>0.12904042082129499</c:v>
                </c:pt>
                <c:pt idx="97">
                  <c:v>0.12513063244947201</c:v>
                </c:pt>
                <c:pt idx="98">
                  <c:v>0.121539711305303</c:v>
                </c:pt>
                <c:pt idx="99">
                  <c:v>0.11827172579735599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F-4B8C-9EA5-40A95B943796}"/>
            </c:ext>
          </c:extLst>
        </c:ser>
        <c:ser>
          <c:idx val="5"/>
          <c:order val="1"/>
          <c:tx>
            <c:strRef>
              <c:f>'0.64NaCl_0.36UCl3_plot_data'!$F$1</c:f>
              <c:strCache>
                <c:ptCount val="1"/>
                <c:pt idx="0">
                  <c:v>Na-U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'0.64NaCl_0.36UCl3_plot_data'!$F$2:$F$101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7.6637300451885999E-4</c:v>
                </c:pt>
                <c:pt idx="46">
                  <c:v>1.3333316665492599E-3</c:v>
                </c:pt>
                <c:pt idx="47">
                  <c:v>2.7424327802620702E-3</c:v>
                </c:pt>
                <c:pt idx="48">
                  <c:v>4.62393489770136E-3</c:v>
                </c:pt>
                <c:pt idx="49">
                  <c:v>7.0523216926783898E-3</c:v>
                </c:pt>
                <c:pt idx="50">
                  <c:v>1.0388681181201599E-2</c:v>
                </c:pt>
                <c:pt idx="51">
                  <c:v>1.48549543416745E-2</c:v>
                </c:pt>
                <c:pt idx="52">
                  <c:v>2.0760044382929398E-2</c:v>
                </c:pt>
                <c:pt idx="53">
                  <c:v>2.7263019885111602E-2</c:v>
                </c:pt>
                <c:pt idx="54">
                  <c:v>3.3765995387293898E-2</c:v>
                </c:pt>
                <c:pt idx="55">
                  <c:v>4.0268970889476202E-2</c:v>
                </c:pt>
                <c:pt idx="56">
                  <c:v>4.7574145381229602E-2</c:v>
                </c:pt>
                <c:pt idx="57">
                  <c:v>5.6448882804703997E-2</c:v>
                </c:pt>
                <c:pt idx="58">
                  <c:v>6.4306716440254999E-2</c:v>
                </c:pt>
                <c:pt idx="59">
                  <c:v>7.0183167539347502E-2</c:v>
                </c:pt>
                <c:pt idx="60">
                  <c:v>7.5855051628586301E-2</c:v>
                </c:pt>
                <c:pt idx="61">
                  <c:v>8.1125336251966204E-2</c:v>
                </c:pt>
                <c:pt idx="62">
                  <c:v>8.4147784043029195E-2</c:v>
                </c:pt>
                <c:pt idx="63">
                  <c:v>8.6174456732082502E-2</c:v>
                </c:pt>
                <c:pt idx="64">
                  <c:v>8.7122447763479799E-2</c:v>
                </c:pt>
                <c:pt idx="65">
                  <c:v>8.7378663410404706E-2</c:v>
                </c:pt>
                <c:pt idx="66">
                  <c:v>8.6311255998700695E-2</c:v>
                </c:pt>
                <c:pt idx="67">
                  <c:v>8.4357969561108595E-2</c:v>
                </c:pt>
                <c:pt idx="68">
                  <c:v>8.2054056691712798E-2</c:v>
                </c:pt>
                <c:pt idx="69">
                  <c:v>7.9750143822317196E-2</c:v>
                </c:pt>
                <c:pt idx="70">
                  <c:v>7.7482301396553002E-2</c:v>
                </c:pt>
                <c:pt idx="71">
                  <c:v>7.5252801838866998E-2</c:v>
                </c:pt>
                <c:pt idx="72">
                  <c:v>7.2690490828657306E-2</c:v>
                </c:pt>
                <c:pt idx="73">
                  <c:v>6.9350893875898503E-2</c:v>
                </c:pt>
                <c:pt idx="74">
                  <c:v>6.6640275353112205E-2</c:v>
                </c:pt>
                <c:pt idx="75">
                  <c:v>6.39202717964341E-2</c:v>
                </c:pt>
                <c:pt idx="76">
                  <c:v>6.0779346436909798E-2</c:v>
                </c:pt>
                <c:pt idx="77">
                  <c:v>5.7549298735507799E-2</c:v>
                </c:pt>
                <c:pt idx="78">
                  <c:v>5.4003801594729402E-2</c:v>
                </c:pt>
                <c:pt idx="79">
                  <c:v>5.0561945510328998E-2</c:v>
                </c:pt>
                <c:pt idx="80">
                  <c:v>4.7653796577698498E-2</c:v>
                </c:pt>
                <c:pt idx="81">
                  <c:v>4.4896312683724703E-2</c:v>
                </c:pt>
                <c:pt idx="82">
                  <c:v>4.2237830519388099E-2</c:v>
                </c:pt>
                <c:pt idx="83">
                  <c:v>4.0071060182292603E-2</c:v>
                </c:pt>
                <c:pt idx="84">
                  <c:v>3.8015819799385703E-2</c:v>
                </c:pt>
                <c:pt idx="85">
                  <c:v>3.58591384071026E-2</c:v>
                </c:pt>
                <c:pt idx="86">
                  <c:v>3.4057981463326503E-2</c:v>
                </c:pt>
                <c:pt idx="87">
                  <c:v>3.3177386045036297E-2</c:v>
                </c:pt>
                <c:pt idx="88">
                  <c:v>3.2247703676680603E-2</c:v>
                </c:pt>
                <c:pt idx="89">
                  <c:v>3.1346892510338301E-2</c:v>
                </c:pt>
                <c:pt idx="90">
                  <c:v>3.0861507127611799E-2</c:v>
                </c:pt>
                <c:pt idx="91">
                  <c:v>3.0712906761647799E-2</c:v>
                </c:pt>
                <c:pt idx="92">
                  <c:v>3.0708988964078199E-2</c:v>
                </c:pt>
                <c:pt idx="93">
                  <c:v>3.0339596562580302E-2</c:v>
                </c:pt>
                <c:pt idx="94">
                  <c:v>3.0364455908196499E-2</c:v>
                </c:pt>
                <c:pt idx="95">
                  <c:v>3.0591870347273301E-2</c:v>
                </c:pt>
                <c:pt idx="96">
                  <c:v>3.11306382182636E-2</c:v>
                </c:pt>
                <c:pt idx="97">
                  <c:v>3.1588157308474397E-2</c:v>
                </c:pt>
                <c:pt idx="98">
                  <c:v>3.18232411503893E-2</c:v>
                </c:pt>
                <c:pt idx="99">
                  <c:v>3.2267877444667997E-2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F-4B8C-9EA5-40A95B943796}"/>
            </c:ext>
          </c:extLst>
        </c:ser>
        <c:ser>
          <c:idx val="0"/>
          <c:order val="2"/>
          <c:tx>
            <c:strRef>
              <c:f>'0.64NaCl_0.36UCl3_plot_data'!$C$1</c:f>
              <c:strCache>
                <c:ptCount val="1"/>
                <c:pt idx="0">
                  <c:v>Na-Cl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4.1439282718959197E-3</c:v>
                </c:pt>
                <c:pt idx="30">
                  <c:v>5.8661238233255102E-3</c:v>
                </c:pt>
                <c:pt idx="31">
                  <c:v>1.5659685761339599E-2</c:v>
                </c:pt>
                <c:pt idx="32">
                  <c:v>3.9459244021211003E-2</c:v>
                </c:pt>
                <c:pt idx="33">
                  <c:v>0.113159072768186</c:v>
                </c:pt>
                <c:pt idx="34">
                  <c:v>0.22626875969598401</c:v>
                </c:pt>
                <c:pt idx="35">
                  <c:v>0.36311303277593499</c:v>
                </c:pt>
                <c:pt idx="36">
                  <c:v>0.48935575348365101</c:v>
                </c:pt>
                <c:pt idx="37">
                  <c:v>0.57160057753108195</c:v>
                </c:pt>
                <c:pt idx="38">
                  <c:v>0.60263653759454305</c:v>
                </c:pt>
                <c:pt idx="39">
                  <c:v>0.58857638907787502</c:v>
                </c:pt>
                <c:pt idx="40">
                  <c:v>0.55088091667602801</c:v>
                </c:pt>
                <c:pt idx="41">
                  <c:v>0.497288016016041</c:v>
                </c:pt>
                <c:pt idx="42">
                  <c:v>0.44116381270969801</c:v>
                </c:pt>
                <c:pt idx="43">
                  <c:v>0.38805760791176902</c:v>
                </c:pt>
                <c:pt idx="44">
                  <c:v>0.34048227087744198</c:v>
                </c:pt>
                <c:pt idx="45">
                  <c:v>0.29876551393373302</c:v>
                </c:pt>
                <c:pt idx="46">
                  <c:v>0.26525328428621803</c:v>
                </c:pt>
                <c:pt idx="47">
                  <c:v>0.23339396261131101</c:v>
                </c:pt>
                <c:pt idx="48">
                  <c:v>0.212019619871545</c:v>
                </c:pt>
                <c:pt idx="49">
                  <c:v>0.192423699621767</c:v>
                </c:pt>
                <c:pt idx="50">
                  <c:v>0.17762473247525901</c:v>
                </c:pt>
                <c:pt idx="51">
                  <c:v>0.16572541033219901</c:v>
                </c:pt>
                <c:pt idx="52">
                  <c:v>0.15573541128479099</c:v>
                </c:pt>
                <c:pt idx="53">
                  <c:v>0.148119613503571</c:v>
                </c:pt>
                <c:pt idx="54">
                  <c:v>0.140797894726055</c:v>
                </c:pt>
                <c:pt idx="55">
                  <c:v>0.13658386541091999</c:v>
                </c:pt>
                <c:pt idx="56">
                  <c:v>0.13307815342129301</c:v>
                </c:pt>
                <c:pt idx="57">
                  <c:v>0.13096457529123301</c:v>
                </c:pt>
                <c:pt idx="58">
                  <c:v>0.129042985482932</c:v>
                </c:pt>
                <c:pt idx="59">
                  <c:v>0.127324361146126</c:v>
                </c:pt>
                <c:pt idx="60">
                  <c:v>0.12764613380173401</c:v>
                </c:pt>
                <c:pt idx="61">
                  <c:v>0.12828771595017799</c:v>
                </c:pt>
                <c:pt idx="62">
                  <c:v>0.12857582912097901</c:v>
                </c:pt>
                <c:pt idx="63">
                  <c:v>0.12980844640137401</c:v>
                </c:pt>
                <c:pt idx="64">
                  <c:v>0.131428990170288</c:v>
                </c:pt>
                <c:pt idx="65">
                  <c:v>0.133904323072119</c:v>
                </c:pt>
                <c:pt idx="66">
                  <c:v>0.136392792702137</c:v>
                </c:pt>
                <c:pt idx="67">
                  <c:v>0.14141285544010199</c:v>
                </c:pt>
                <c:pt idx="68">
                  <c:v>0.14593648893415101</c:v>
                </c:pt>
                <c:pt idx="69">
                  <c:v>0.149868084890738</c:v>
                </c:pt>
                <c:pt idx="70">
                  <c:v>0.15540144326890801</c:v>
                </c:pt>
                <c:pt idx="71">
                  <c:v>0.161336116391498</c:v>
                </c:pt>
                <c:pt idx="72">
                  <c:v>0.167796572805163</c:v>
                </c:pt>
                <c:pt idx="73">
                  <c:v>0.17493466164975799</c:v>
                </c:pt>
                <c:pt idx="74">
                  <c:v>0.18250534999717499</c:v>
                </c:pt>
                <c:pt idx="75">
                  <c:v>0.1891416875212</c:v>
                </c:pt>
                <c:pt idx="76">
                  <c:v>0.19587979529463401</c:v>
                </c:pt>
                <c:pt idx="77">
                  <c:v>0.20276531553867799</c:v>
                </c:pt>
                <c:pt idx="78">
                  <c:v>0.20965083578272301</c:v>
                </c:pt>
                <c:pt idx="79">
                  <c:v>0.21653635602676699</c:v>
                </c:pt>
                <c:pt idx="80">
                  <c:v>0.2235888867443</c:v>
                </c:pt>
                <c:pt idx="81">
                  <c:v>0.23110477605735499</c:v>
                </c:pt>
                <c:pt idx="82">
                  <c:v>0.23831414881333801</c:v>
                </c:pt>
                <c:pt idx="83">
                  <c:v>0.24480850725994799</c:v>
                </c:pt>
                <c:pt idx="84">
                  <c:v>0.25079431233261401</c:v>
                </c:pt>
                <c:pt idx="85">
                  <c:v>0.25420837983917399</c:v>
                </c:pt>
                <c:pt idx="86">
                  <c:v>0.25526994702602002</c:v>
                </c:pt>
                <c:pt idx="87">
                  <c:v>0.25428884965075599</c:v>
                </c:pt>
                <c:pt idx="88">
                  <c:v>0.25302637789963001</c:v>
                </c:pt>
                <c:pt idx="89">
                  <c:v>0.25087144668935901</c:v>
                </c:pt>
                <c:pt idx="90">
                  <c:v>0.248421023105419</c:v>
                </c:pt>
                <c:pt idx="91">
                  <c:v>0.24578141289563399</c:v>
                </c:pt>
                <c:pt idx="92">
                  <c:v>0.24395478284102701</c:v>
                </c:pt>
                <c:pt idx="93">
                  <c:v>0.24120267727202399</c:v>
                </c:pt>
                <c:pt idx="94">
                  <c:v>0.236858208799683</c:v>
                </c:pt>
                <c:pt idx="95">
                  <c:v>0.233033510249683</c:v>
                </c:pt>
                <c:pt idx="96">
                  <c:v>0.22922953284344399</c:v>
                </c:pt>
                <c:pt idx="97">
                  <c:v>0.22527993722836701</c:v>
                </c:pt>
                <c:pt idx="98">
                  <c:v>0.22041056147822899</c:v>
                </c:pt>
                <c:pt idx="99">
                  <c:v>0.21401226977999599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FF-4B8C-9EA5-40A95B943796}"/>
            </c:ext>
          </c:extLst>
        </c:ser>
        <c:ser>
          <c:idx val="8"/>
          <c:order val="3"/>
          <c:tx>
            <c:strRef>
              <c:f>'0.64NaCl_0.36UCl3_plot_data'!$H$1</c:f>
              <c:strCache>
                <c:ptCount val="1"/>
                <c:pt idx="0">
                  <c:v>S(r): U-Cl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'0.64NaCl_0.36UCl3_plot_data'!$H$2:$H$101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0.95216866430352098</c:v>
                </c:pt>
                <c:pt idx="40">
                  <c:v>1.7418993761566401E-2</c:v>
                </c:pt>
                <c:pt idx="41">
                  <c:v>1.7418993761566401E-2</c:v>
                </c:pt>
                <c:pt idx="42">
                  <c:v>1.7418993761566401E-2</c:v>
                </c:pt>
                <c:pt idx="43">
                  <c:v>1.7418993761566401E-2</c:v>
                </c:pt>
                <c:pt idx="44">
                  <c:v>1.7418993761566401E-2</c:v>
                </c:pt>
                <c:pt idx="45">
                  <c:v>1.7418993761566401E-2</c:v>
                </c:pt>
                <c:pt idx="46">
                  <c:v>1.7418993761566401E-2</c:v>
                </c:pt>
                <c:pt idx="47">
                  <c:v>1.7418993761566401E-2</c:v>
                </c:pt>
                <c:pt idx="48">
                  <c:v>1.7418993761566401E-2</c:v>
                </c:pt>
                <c:pt idx="49">
                  <c:v>1.7418993761566401E-2</c:v>
                </c:pt>
                <c:pt idx="50">
                  <c:v>1.7418993761566401E-2</c:v>
                </c:pt>
                <c:pt idx="51">
                  <c:v>1.7418993761566401E-2</c:v>
                </c:pt>
                <c:pt idx="52">
                  <c:v>1.7418993761566401E-2</c:v>
                </c:pt>
                <c:pt idx="53">
                  <c:v>1.7418993761566401E-2</c:v>
                </c:pt>
                <c:pt idx="54">
                  <c:v>1.7418993761566401E-2</c:v>
                </c:pt>
                <c:pt idx="55">
                  <c:v>1.7418993761566401E-2</c:v>
                </c:pt>
                <c:pt idx="56">
                  <c:v>1.7418993761566401E-2</c:v>
                </c:pt>
                <c:pt idx="57">
                  <c:v>1.7418993761566401E-2</c:v>
                </c:pt>
                <c:pt idx="58">
                  <c:v>1.7418993761566401E-2</c:v>
                </c:pt>
                <c:pt idx="59">
                  <c:v>1.7418993761566401E-2</c:v>
                </c:pt>
                <c:pt idx="60">
                  <c:v>1.7418993761566401E-2</c:v>
                </c:pt>
                <c:pt idx="61">
                  <c:v>1.7418993761566401E-2</c:v>
                </c:pt>
                <c:pt idx="62">
                  <c:v>1.7418993761566401E-2</c:v>
                </c:pt>
                <c:pt idx="63">
                  <c:v>1.7418993761566401E-2</c:v>
                </c:pt>
                <c:pt idx="64">
                  <c:v>1.7418993761566401E-2</c:v>
                </c:pt>
                <c:pt idx="65">
                  <c:v>1.7418993761566401E-2</c:v>
                </c:pt>
                <c:pt idx="66">
                  <c:v>1.7418993761566401E-2</c:v>
                </c:pt>
                <c:pt idx="67">
                  <c:v>1.7418993761566401E-2</c:v>
                </c:pt>
                <c:pt idx="68">
                  <c:v>1.7418993761566401E-2</c:v>
                </c:pt>
                <c:pt idx="69">
                  <c:v>1.7418993761566401E-2</c:v>
                </c:pt>
                <c:pt idx="70">
                  <c:v>1.7418993761566401E-2</c:v>
                </c:pt>
                <c:pt idx="71">
                  <c:v>1.7418993761566401E-2</c:v>
                </c:pt>
                <c:pt idx="72">
                  <c:v>1.7418993761566401E-2</c:v>
                </c:pt>
                <c:pt idx="73">
                  <c:v>1.7418993761566401E-2</c:v>
                </c:pt>
                <c:pt idx="74">
                  <c:v>1.7418993761566401E-2</c:v>
                </c:pt>
                <c:pt idx="75">
                  <c:v>1.7418993761566401E-2</c:v>
                </c:pt>
                <c:pt idx="76">
                  <c:v>1.29687604359951E-2</c:v>
                </c:pt>
                <c:pt idx="77">
                  <c:v>7.8015139081118699E-3</c:v>
                </c:pt>
                <c:pt idx="78">
                  <c:v>2.63426738022856E-3</c:v>
                </c:pt>
                <c:pt idx="79" formatCode="0.00E+00">
                  <c:v>1.37573830099005E-7</c:v>
                </c:pt>
                <c:pt idx="80" formatCode="0.00E+00">
                  <c:v>1.37573830099005E-7</c:v>
                </c:pt>
                <c:pt idx="81" formatCode="0.00E+00">
                  <c:v>1.37573830099005E-7</c:v>
                </c:pt>
                <c:pt idx="82" formatCode="0.00E+00">
                  <c:v>1.37573830099005E-7</c:v>
                </c:pt>
                <c:pt idx="83" formatCode="0.00E+00">
                  <c:v>1.37573830099005E-7</c:v>
                </c:pt>
                <c:pt idx="84" formatCode="0.00E+00">
                  <c:v>1.37573830099005E-7</c:v>
                </c:pt>
                <c:pt idx="85" formatCode="0.00E+00">
                  <c:v>1.37573830099005E-7</c:v>
                </c:pt>
                <c:pt idx="86" formatCode="0.00E+00">
                  <c:v>1.37573830099005E-7</c:v>
                </c:pt>
                <c:pt idx="87" formatCode="0.00E+00">
                  <c:v>1.37573830099005E-7</c:v>
                </c:pt>
                <c:pt idx="88" formatCode="0.00E+00">
                  <c:v>1.37573830099005E-7</c:v>
                </c:pt>
                <c:pt idx="89" formatCode="0.00E+00">
                  <c:v>1.37573830099005E-7</c:v>
                </c:pt>
                <c:pt idx="90" formatCode="0.00E+00">
                  <c:v>1.37573830099005E-7</c:v>
                </c:pt>
                <c:pt idx="91" formatCode="0.00E+00">
                  <c:v>1.37573830099005E-7</c:v>
                </c:pt>
                <c:pt idx="92" formatCode="0.00E+00">
                  <c:v>1.37573830099005E-7</c:v>
                </c:pt>
                <c:pt idx="93" formatCode="0.00E+00">
                  <c:v>1.37573830099005E-7</c:v>
                </c:pt>
                <c:pt idx="94" formatCode="0.00E+00">
                  <c:v>1.37573830099005E-7</c:v>
                </c:pt>
                <c:pt idx="95" formatCode="0.00E+00">
                  <c:v>1.37573830099005E-7</c:v>
                </c:pt>
                <c:pt idx="96" formatCode="0.00E+00">
                  <c:v>1.37573830099005E-7</c:v>
                </c:pt>
                <c:pt idx="97" formatCode="0.00E+00">
                  <c:v>1.37573830099005E-7</c:v>
                </c:pt>
                <c:pt idx="98" formatCode="0.00E+00">
                  <c:v>9.1910093725506894E-8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FF-4B8C-9EA5-40A95B943796}"/>
            </c:ext>
          </c:extLst>
        </c:ser>
        <c:ser>
          <c:idx val="4"/>
          <c:order val="4"/>
          <c:tx>
            <c:strRef>
              <c:f>'0.64NaCl_0.36UCl3_plot_data'!$D$1</c:f>
              <c:strCache>
                <c:ptCount val="1"/>
                <c:pt idx="0">
                  <c:v>Cl-Cl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6.9276496907171902E-3</c:v>
                </c:pt>
                <c:pt idx="34">
                  <c:v>6.8072718830255096E-3</c:v>
                </c:pt>
                <c:pt idx="35">
                  <c:v>6.6868940753338204E-3</c:v>
                </c:pt>
                <c:pt idx="36">
                  <c:v>6.5665162676421304E-3</c:v>
                </c:pt>
                <c:pt idx="37">
                  <c:v>6.5550340731277499E-3</c:v>
                </c:pt>
                <c:pt idx="38">
                  <c:v>7.8988767311985505E-3</c:v>
                </c:pt>
                <c:pt idx="39">
                  <c:v>1.34004403391999E-2</c:v>
                </c:pt>
                <c:pt idx="40">
                  <c:v>2.90281346391714E-2</c:v>
                </c:pt>
                <c:pt idx="41">
                  <c:v>5.1871463343989697E-2</c:v>
                </c:pt>
                <c:pt idx="42">
                  <c:v>0.120992417014597</c:v>
                </c:pt>
                <c:pt idx="43">
                  <c:v>0.21182684230943799</c:v>
                </c:pt>
                <c:pt idx="44">
                  <c:v>0.32564294106250302</c:v>
                </c:pt>
                <c:pt idx="45">
                  <c:v>0.45922878716322302</c:v>
                </c:pt>
                <c:pt idx="46">
                  <c:v>0.56018456629660296</c:v>
                </c:pt>
                <c:pt idx="47">
                  <c:v>0.72993345455345804</c:v>
                </c:pt>
                <c:pt idx="48">
                  <c:v>0.83175583619066396</c:v>
                </c:pt>
                <c:pt idx="49">
                  <c:v>0.91248056896789898</c:v>
                </c:pt>
                <c:pt idx="50">
                  <c:v>0.96520502062705305</c:v>
                </c:pt>
                <c:pt idx="51">
                  <c:v>1.00039911134319</c:v>
                </c:pt>
                <c:pt idx="52">
                  <c:v>0.99633174432568505</c:v>
                </c:pt>
                <c:pt idx="53">
                  <c:v>0.98408539950348095</c:v>
                </c:pt>
                <c:pt idx="54">
                  <c:v>0.95650794051771904</c:v>
                </c:pt>
                <c:pt idx="55">
                  <c:v>0.91955963002253505</c:v>
                </c:pt>
                <c:pt idx="56">
                  <c:v>0.87735776092597095</c:v>
                </c:pt>
                <c:pt idx="57">
                  <c:v>0.82962550645376798</c:v>
                </c:pt>
                <c:pt idx="58">
                  <c:v>0.78198339927468397</c:v>
                </c:pt>
                <c:pt idx="59">
                  <c:v>0.734767446213758</c:v>
                </c:pt>
                <c:pt idx="60">
                  <c:v>0.69425697945672005</c:v>
                </c:pt>
                <c:pt idx="61">
                  <c:v>0.65681138619098101</c:v>
                </c:pt>
                <c:pt idx="62">
                  <c:v>0.61316820832193197</c:v>
                </c:pt>
                <c:pt idx="63">
                  <c:v>0.58609206256491997</c:v>
                </c:pt>
                <c:pt idx="64">
                  <c:v>0.56454886934428705</c:v>
                </c:pt>
                <c:pt idx="65">
                  <c:v>0.542403333959395</c:v>
                </c:pt>
                <c:pt idx="66">
                  <c:v>0.524785627930759</c:v>
                </c:pt>
                <c:pt idx="67">
                  <c:v>0.51225041952783901</c:v>
                </c:pt>
                <c:pt idx="68">
                  <c:v>0.50208668251192701</c:v>
                </c:pt>
                <c:pt idx="69">
                  <c:v>0.49304210420953898</c:v>
                </c:pt>
                <c:pt idx="70">
                  <c:v>0.48719234033178299</c:v>
                </c:pt>
                <c:pt idx="71">
                  <c:v>0.48707643005232598</c:v>
                </c:pt>
                <c:pt idx="72">
                  <c:v>0.49292619398050103</c:v>
                </c:pt>
                <c:pt idx="73">
                  <c:v>0.504323158720415</c:v>
                </c:pt>
                <c:pt idx="74">
                  <c:v>0.51537200219812096</c:v>
                </c:pt>
                <c:pt idx="75">
                  <c:v>0.51913256481682102</c:v>
                </c:pt>
                <c:pt idx="76">
                  <c:v>0.52784044351714798</c:v>
                </c:pt>
                <c:pt idx="77">
                  <c:v>0.54131985510207703</c:v>
                </c:pt>
                <c:pt idx="78">
                  <c:v>0.54964312957943395</c:v>
                </c:pt>
                <c:pt idx="79">
                  <c:v>0.55314209052397501</c:v>
                </c:pt>
                <c:pt idx="80">
                  <c:v>0.53014305729771605</c:v>
                </c:pt>
                <c:pt idx="81">
                  <c:v>0.50375016520615301</c:v>
                </c:pt>
                <c:pt idx="82">
                  <c:v>0.47735727311458998</c:v>
                </c:pt>
                <c:pt idx="83">
                  <c:v>0.45895054678427499</c:v>
                </c:pt>
                <c:pt idx="84">
                  <c:v>0.453228450912675</c:v>
                </c:pt>
                <c:pt idx="85">
                  <c:v>0.454377511813715</c:v>
                </c:pt>
                <c:pt idx="86">
                  <c:v>0.44936486163456402</c:v>
                </c:pt>
                <c:pt idx="87">
                  <c:v>0.44591082412809102</c:v>
                </c:pt>
                <c:pt idx="88">
                  <c:v>0.445492983800785</c:v>
                </c:pt>
                <c:pt idx="89">
                  <c:v>0.44833817557658401</c:v>
                </c:pt>
                <c:pt idx="90">
                  <c:v>0.45280371038433198</c:v>
                </c:pt>
                <c:pt idx="91">
                  <c:v>0.461369436439997</c:v>
                </c:pt>
                <c:pt idx="92">
                  <c:v>0.47038438456211001</c:v>
                </c:pt>
                <c:pt idx="93">
                  <c:v>0.48020363118800502</c:v>
                </c:pt>
                <c:pt idx="94">
                  <c:v>0.492356160240004</c:v>
                </c:pt>
                <c:pt idx="95">
                  <c:v>0.50566417563469501</c:v>
                </c:pt>
                <c:pt idx="96">
                  <c:v>0.52270325733337897</c:v>
                </c:pt>
                <c:pt idx="97">
                  <c:v>0.537168705379932</c:v>
                </c:pt>
                <c:pt idx="98">
                  <c:v>0.54717038957597697</c:v>
                </c:pt>
                <c:pt idx="99">
                  <c:v>0.55374986955981598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FF-4B8C-9EA5-40A95B943796}"/>
            </c:ext>
          </c:extLst>
        </c:ser>
        <c:ser>
          <c:idx val="9"/>
          <c:order val="5"/>
          <c:tx>
            <c:strRef>
              <c:f>'0.64NaCl_0.36UCl3_plot_data'!$I$1</c:f>
              <c:strCache>
                <c:ptCount val="1"/>
                <c:pt idx="0">
                  <c:v>S(r): Na-Cl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'0.64NaCl_0.36UCl3_plot_data'!$I$2:$I$101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0.94286527625412597</c:v>
                </c:pt>
                <c:pt idx="38">
                  <c:v>0.17534293796327899</c:v>
                </c:pt>
                <c:pt idx="39">
                  <c:v>0.14399350407956199</c:v>
                </c:pt>
                <c:pt idx="40">
                  <c:v>0.14399350407956199</c:v>
                </c:pt>
                <c:pt idx="41">
                  <c:v>0.14399350407956199</c:v>
                </c:pt>
                <c:pt idx="42">
                  <c:v>0.14399350407956199</c:v>
                </c:pt>
                <c:pt idx="43">
                  <c:v>0.14399350407956199</c:v>
                </c:pt>
                <c:pt idx="44">
                  <c:v>0.14399350407956199</c:v>
                </c:pt>
                <c:pt idx="45">
                  <c:v>0.14399350407956199</c:v>
                </c:pt>
                <c:pt idx="46">
                  <c:v>0.14399350407956199</c:v>
                </c:pt>
                <c:pt idx="47">
                  <c:v>0.14399350407956199</c:v>
                </c:pt>
                <c:pt idx="48">
                  <c:v>0.14399350407956199</c:v>
                </c:pt>
                <c:pt idx="49">
                  <c:v>0.14399350407956199</c:v>
                </c:pt>
                <c:pt idx="50">
                  <c:v>0.14399350407956199</c:v>
                </c:pt>
                <c:pt idx="51">
                  <c:v>0.14399350407956199</c:v>
                </c:pt>
                <c:pt idx="52">
                  <c:v>0.14399350407956199</c:v>
                </c:pt>
                <c:pt idx="53">
                  <c:v>0.14399350407956199</c:v>
                </c:pt>
                <c:pt idx="54">
                  <c:v>0.14399350407956199</c:v>
                </c:pt>
                <c:pt idx="55">
                  <c:v>0.14399350407956199</c:v>
                </c:pt>
                <c:pt idx="56">
                  <c:v>0.14399350407956199</c:v>
                </c:pt>
                <c:pt idx="57">
                  <c:v>0.14399350407956199</c:v>
                </c:pt>
                <c:pt idx="58">
                  <c:v>0.14399350407956199</c:v>
                </c:pt>
                <c:pt idx="59">
                  <c:v>0.14399350407956199</c:v>
                </c:pt>
                <c:pt idx="60">
                  <c:v>0.14399350407956199</c:v>
                </c:pt>
                <c:pt idx="61">
                  <c:v>0.14399350407956199</c:v>
                </c:pt>
                <c:pt idx="62">
                  <c:v>0.14399350407956199</c:v>
                </c:pt>
                <c:pt idx="63">
                  <c:v>0.14399350407956199</c:v>
                </c:pt>
                <c:pt idx="64">
                  <c:v>0.14399350407956199</c:v>
                </c:pt>
                <c:pt idx="65">
                  <c:v>0.14399350407956199</c:v>
                </c:pt>
                <c:pt idx="66">
                  <c:v>0.14399350407956199</c:v>
                </c:pt>
                <c:pt idx="67">
                  <c:v>0.14399350407956199</c:v>
                </c:pt>
                <c:pt idx="68">
                  <c:v>0.14399350407956199</c:v>
                </c:pt>
                <c:pt idx="69">
                  <c:v>0.14399350407956199</c:v>
                </c:pt>
                <c:pt idx="70">
                  <c:v>0.14399350407956199</c:v>
                </c:pt>
                <c:pt idx="71">
                  <c:v>0.14399350407956199</c:v>
                </c:pt>
                <c:pt idx="72">
                  <c:v>0.14399350407956199</c:v>
                </c:pt>
                <c:pt idx="73">
                  <c:v>0.14399350407956199</c:v>
                </c:pt>
                <c:pt idx="74">
                  <c:v>0.13933464099617701</c:v>
                </c:pt>
                <c:pt idx="75">
                  <c:v>5.1901415757068699E-2</c:v>
                </c:pt>
                <c:pt idx="76">
                  <c:v>1.7733254242263799E-4</c:v>
                </c:pt>
                <c:pt idx="77">
                  <c:v>1.7733254242263799E-4</c:v>
                </c:pt>
                <c:pt idx="78">
                  <c:v>1.7733254242263799E-4</c:v>
                </c:pt>
                <c:pt idx="79">
                  <c:v>1.7733254242263799E-4</c:v>
                </c:pt>
                <c:pt idx="80">
                  <c:v>1.7733254242263799E-4</c:v>
                </c:pt>
                <c:pt idx="81">
                  <c:v>1.7733254242263799E-4</c:v>
                </c:pt>
                <c:pt idx="82">
                  <c:v>1.7733254242263799E-4</c:v>
                </c:pt>
                <c:pt idx="83">
                  <c:v>1.7733254242263799E-4</c:v>
                </c:pt>
                <c:pt idx="84">
                  <c:v>1.7733254242263799E-4</c:v>
                </c:pt>
                <c:pt idx="85">
                  <c:v>1.7733254242263799E-4</c:v>
                </c:pt>
                <c:pt idx="86">
                  <c:v>1.7733254242263799E-4</c:v>
                </c:pt>
                <c:pt idx="87">
                  <c:v>1.7733254242263799E-4</c:v>
                </c:pt>
                <c:pt idx="88">
                  <c:v>1.7733254242263799E-4</c:v>
                </c:pt>
                <c:pt idx="89">
                  <c:v>1.7733254242263799E-4</c:v>
                </c:pt>
                <c:pt idx="90">
                  <c:v>1.7733254242263799E-4</c:v>
                </c:pt>
                <c:pt idx="91">
                  <c:v>1.7733254242263799E-4</c:v>
                </c:pt>
                <c:pt idx="92">
                  <c:v>1.7733254242263799E-4</c:v>
                </c:pt>
                <c:pt idx="93">
                  <c:v>1.7733254242263799E-4</c:v>
                </c:pt>
                <c:pt idx="94">
                  <c:v>1.7733254242263799E-4</c:v>
                </c:pt>
                <c:pt idx="95">
                  <c:v>1.7733254242263799E-4</c:v>
                </c:pt>
                <c:pt idx="96">
                  <c:v>1.7733254242263799E-4</c:v>
                </c:pt>
                <c:pt idx="97">
                  <c:v>1.7733254242263799E-4</c:v>
                </c:pt>
                <c:pt idx="98">
                  <c:v>1.41899961034924E-4</c:v>
                </c:pt>
                <c:pt idx="99" formatCode="0.00E+00">
                  <c:v>4.75691313586119E-5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FF-4B8C-9EA5-40A95B943796}"/>
            </c:ext>
          </c:extLst>
        </c:ser>
        <c:ser>
          <c:idx val="3"/>
          <c:order val="6"/>
          <c:tx>
            <c:strRef>
              <c:f>'0.64NaCl_0.36UCl3_plot_data'!$G$1</c:f>
              <c:strCache>
                <c:ptCount val="1"/>
                <c:pt idx="0">
                  <c:v>U-U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'0.64NaCl_0.36UCl3_plot_data'!$G$2:$G$101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2.9492768398931999E-4</c:v>
                </c:pt>
                <c:pt idx="53">
                  <c:v>3.24877703878893E-4</c:v>
                </c:pt>
                <c:pt idx="54">
                  <c:v>9.7859634762841692E-4</c:v>
                </c:pt>
                <c:pt idx="55">
                  <c:v>2.1560263236586798E-3</c:v>
                </c:pt>
                <c:pt idx="56">
                  <c:v>4.3525446434807798E-3</c:v>
                </c:pt>
                <c:pt idx="57">
                  <c:v>6.7450402267326603E-3</c:v>
                </c:pt>
                <c:pt idx="58">
                  <c:v>9.8977166821703193E-3</c:v>
                </c:pt>
                <c:pt idx="59">
                  <c:v>1.46116729167822E-2</c:v>
                </c:pt>
                <c:pt idx="60">
                  <c:v>1.8854513201768199E-2</c:v>
                </c:pt>
                <c:pt idx="61">
                  <c:v>2.2946501311167398E-2</c:v>
                </c:pt>
                <c:pt idx="62">
                  <c:v>2.6776566251295899E-2</c:v>
                </c:pt>
                <c:pt idx="63">
                  <c:v>3.0620278128278399E-2</c:v>
                </c:pt>
                <c:pt idx="64">
                  <c:v>3.4447117236870099E-2</c:v>
                </c:pt>
                <c:pt idx="65">
                  <c:v>3.6390549958886402E-2</c:v>
                </c:pt>
                <c:pt idx="66">
                  <c:v>3.6920651275839898E-2</c:v>
                </c:pt>
                <c:pt idx="67">
                  <c:v>3.7197121161033603E-2</c:v>
                </c:pt>
                <c:pt idx="68">
                  <c:v>3.7268640453989699E-2</c:v>
                </c:pt>
                <c:pt idx="69">
                  <c:v>3.7284237964934401E-2</c:v>
                </c:pt>
                <c:pt idx="70">
                  <c:v>3.5515143042679699E-2</c:v>
                </c:pt>
                <c:pt idx="71">
                  <c:v>3.3745158232892501E-2</c:v>
                </c:pt>
                <c:pt idx="72">
                  <c:v>3.1973485742842103E-2</c:v>
                </c:pt>
                <c:pt idx="73">
                  <c:v>3.0173446592449801E-2</c:v>
                </c:pt>
                <c:pt idx="74">
                  <c:v>2.9027941072915401E-2</c:v>
                </c:pt>
                <c:pt idx="75">
                  <c:v>2.8333481361631201E-2</c:v>
                </c:pt>
                <c:pt idx="76">
                  <c:v>2.6839826158965598E-2</c:v>
                </c:pt>
                <c:pt idx="77">
                  <c:v>2.5454751083937101E-2</c:v>
                </c:pt>
                <c:pt idx="78">
                  <c:v>2.5356522632317899E-2</c:v>
                </c:pt>
                <c:pt idx="79">
                  <c:v>2.5197437954928799E-2</c:v>
                </c:pt>
                <c:pt idx="80">
                  <c:v>2.44210167731818E-2</c:v>
                </c:pt>
                <c:pt idx="81">
                  <c:v>2.1641400571682099E-2</c:v>
                </c:pt>
                <c:pt idx="82">
                  <c:v>1.9073148004835699E-2</c:v>
                </c:pt>
                <c:pt idx="83">
                  <c:v>1.67357895168069E-2</c:v>
                </c:pt>
                <c:pt idx="84">
                  <c:v>1.5260321273875801E-2</c:v>
                </c:pt>
                <c:pt idx="85">
                  <c:v>1.5184110783951399E-2</c:v>
                </c:pt>
                <c:pt idx="86">
                  <c:v>1.4616894441442801E-2</c:v>
                </c:pt>
                <c:pt idx="87">
                  <c:v>1.3134759161555201E-2</c:v>
                </c:pt>
                <c:pt idx="88">
                  <c:v>1.25894746947075E-2</c:v>
                </c:pt>
                <c:pt idx="89">
                  <c:v>1.2665964216994299E-2</c:v>
                </c:pt>
                <c:pt idx="90">
                  <c:v>1.30606474708885E-2</c:v>
                </c:pt>
                <c:pt idx="91">
                  <c:v>1.3575365518521201E-2</c:v>
                </c:pt>
                <c:pt idx="92">
                  <c:v>1.3132326344248499E-2</c:v>
                </c:pt>
                <c:pt idx="93">
                  <c:v>1.27711822348702E-2</c:v>
                </c:pt>
                <c:pt idx="94">
                  <c:v>1.32456712894411E-2</c:v>
                </c:pt>
                <c:pt idx="95">
                  <c:v>1.36314459401064E-2</c:v>
                </c:pt>
                <c:pt idx="96">
                  <c:v>1.3874108899783201E-2</c:v>
                </c:pt>
                <c:pt idx="97">
                  <c:v>1.4288850354861901E-2</c:v>
                </c:pt>
                <c:pt idx="98">
                  <c:v>1.49339112724119E-2</c:v>
                </c:pt>
                <c:pt idx="99">
                  <c:v>1.5876605106019199E-2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FF-4B8C-9EA5-40A95B943796}"/>
            </c:ext>
          </c:extLst>
        </c:ser>
        <c:ser>
          <c:idx val="6"/>
          <c:order val="7"/>
          <c:tx>
            <c:strRef>
              <c:f>'0.64NaCl_0.36UCl3_plot_data'!$J$1</c:f>
              <c:strCache>
                <c:ptCount val="1"/>
                <c:pt idx="0">
                  <c:v>l_scl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('0.64NaCl_0.36UCl3_plot_data'!$J$2,'0.64NaCl_0.36UCl3_plot_data'!$J$3)</c:f>
              <c:numCache>
                <c:formatCode>General</c:formatCode>
                <c:ptCount val="2"/>
                <c:pt idx="0">
                  <c:v>2.92266</c:v>
                </c:pt>
                <c:pt idx="1">
                  <c:v>2.92266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1DFF-4B8C-9EA5-40A95B943796}"/>
            </c:ext>
          </c:extLst>
        </c:ser>
        <c:ser>
          <c:idx val="1"/>
          <c:order val="8"/>
          <c:tx>
            <c:strRef>
              <c:f>'0.64NaCl_0.36UCl3_plot_data'!$E$1</c:f>
              <c:strCache>
                <c:ptCount val="1"/>
                <c:pt idx="0">
                  <c:v>Na-Na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'0.64NaCl_0.36UCl3_plot_data'!$E$2:$E$101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1.5836782393491701E-3</c:v>
                </c:pt>
                <c:pt idx="40">
                  <c:v>3.5292360257694298E-3</c:v>
                </c:pt>
                <c:pt idx="41">
                  <c:v>5.8697478695506101E-3</c:v>
                </c:pt>
                <c:pt idx="42">
                  <c:v>8.5407524961394997E-3</c:v>
                </c:pt>
                <c:pt idx="43">
                  <c:v>1.19624144817575E-2</c:v>
                </c:pt>
                <c:pt idx="44">
                  <c:v>1.6830224527728501E-2</c:v>
                </c:pt>
                <c:pt idx="45">
                  <c:v>2.30465595107094E-2</c:v>
                </c:pt>
                <c:pt idx="46">
                  <c:v>2.9126327946626701E-2</c:v>
                </c:pt>
                <c:pt idx="47">
                  <c:v>3.5190998748081799E-2</c:v>
                </c:pt>
                <c:pt idx="48">
                  <c:v>4.1903033473378801E-2</c:v>
                </c:pt>
                <c:pt idx="49">
                  <c:v>4.8661504481700799E-2</c:v>
                </c:pt>
                <c:pt idx="50">
                  <c:v>5.5511941846625598E-2</c:v>
                </c:pt>
                <c:pt idx="51">
                  <c:v>6.2820469898041104E-2</c:v>
                </c:pt>
                <c:pt idx="52">
                  <c:v>7.0556207725794198E-2</c:v>
                </c:pt>
                <c:pt idx="53">
                  <c:v>7.8542177874519101E-2</c:v>
                </c:pt>
                <c:pt idx="54">
                  <c:v>8.5662284023683199E-2</c:v>
                </c:pt>
                <c:pt idx="55">
                  <c:v>9.1098916874444699E-2</c:v>
                </c:pt>
                <c:pt idx="56">
                  <c:v>9.4981668502610694E-2</c:v>
                </c:pt>
                <c:pt idx="57">
                  <c:v>9.8674460613090598E-2</c:v>
                </c:pt>
                <c:pt idx="58">
                  <c:v>0.102169520933755</c:v>
                </c:pt>
                <c:pt idx="59">
                  <c:v>0.10428613860402999</c:v>
                </c:pt>
                <c:pt idx="60">
                  <c:v>0.105622114770568</c:v>
                </c:pt>
                <c:pt idx="61">
                  <c:v>0.106204385251622</c:v>
                </c:pt>
                <c:pt idx="62">
                  <c:v>0.10641306156878499</c:v>
                </c:pt>
                <c:pt idx="63">
                  <c:v>0.106369256430224</c:v>
                </c:pt>
                <c:pt idx="64">
                  <c:v>0.105060075193892</c:v>
                </c:pt>
                <c:pt idx="65">
                  <c:v>0.103750893957559</c:v>
                </c:pt>
                <c:pt idx="66">
                  <c:v>0.102330893097136</c:v>
                </c:pt>
                <c:pt idx="67">
                  <c:v>0.100886285765526</c:v>
                </c:pt>
                <c:pt idx="68">
                  <c:v>0.10013770097812701</c:v>
                </c:pt>
                <c:pt idx="69">
                  <c:v>9.88545480627738E-2</c:v>
                </c:pt>
                <c:pt idx="70">
                  <c:v>9.6509884129447193E-2</c:v>
                </c:pt>
                <c:pt idx="71">
                  <c:v>9.3319291085900494E-2</c:v>
                </c:pt>
                <c:pt idx="72">
                  <c:v>8.9582131082348707E-2</c:v>
                </c:pt>
                <c:pt idx="73">
                  <c:v>8.5834442757245305E-2</c:v>
                </c:pt>
                <c:pt idx="74">
                  <c:v>8.2348726753162793E-2</c:v>
                </c:pt>
                <c:pt idx="75">
                  <c:v>7.9588988669760094E-2</c:v>
                </c:pt>
                <c:pt idx="76">
                  <c:v>7.6933099081498396E-2</c:v>
                </c:pt>
                <c:pt idx="77">
                  <c:v>7.3906271232484805E-2</c:v>
                </c:pt>
                <c:pt idx="78">
                  <c:v>7.1218619772401806E-2</c:v>
                </c:pt>
                <c:pt idx="79">
                  <c:v>6.8637000911963494E-2</c:v>
                </c:pt>
                <c:pt idx="80">
                  <c:v>6.6771532819639295E-2</c:v>
                </c:pt>
                <c:pt idx="81">
                  <c:v>6.5345248342984399E-2</c:v>
                </c:pt>
                <c:pt idx="82">
                  <c:v>6.22403250471723E-2</c:v>
                </c:pt>
                <c:pt idx="83">
                  <c:v>5.9663961400133303E-2</c:v>
                </c:pt>
                <c:pt idx="84">
                  <c:v>5.8128613977214097E-2</c:v>
                </c:pt>
                <c:pt idx="85">
                  <c:v>5.6947082648920302E-2</c:v>
                </c:pt>
                <c:pt idx="86">
                  <c:v>5.5665861580896397E-2</c:v>
                </c:pt>
                <c:pt idx="87">
                  <c:v>5.4834418625015598E-2</c:v>
                </c:pt>
                <c:pt idx="88">
                  <c:v>5.4215576294194101E-2</c:v>
                </c:pt>
                <c:pt idx="89">
                  <c:v>5.34684484776154E-2</c:v>
                </c:pt>
                <c:pt idx="90">
                  <c:v>5.27514067102791E-2</c:v>
                </c:pt>
                <c:pt idx="91">
                  <c:v>5.2908863173239902E-2</c:v>
                </c:pt>
                <c:pt idx="92">
                  <c:v>5.3165372010173698E-2</c:v>
                </c:pt>
                <c:pt idx="93">
                  <c:v>5.3517312237661298E-2</c:v>
                </c:pt>
                <c:pt idx="94">
                  <c:v>5.4123414688124698E-2</c:v>
                </c:pt>
                <c:pt idx="95">
                  <c:v>5.4986990640577403E-2</c:v>
                </c:pt>
                <c:pt idx="96">
                  <c:v>5.6394695796913703E-2</c:v>
                </c:pt>
                <c:pt idx="97">
                  <c:v>5.7978102732771201E-2</c:v>
                </c:pt>
                <c:pt idx="98">
                  <c:v>5.9683384120539897E-2</c:v>
                </c:pt>
                <c:pt idx="99">
                  <c:v>6.1112738968525399E-2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DFF-4B8C-9EA5-40A95B943796}"/>
            </c:ext>
          </c:extLst>
        </c:ser>
        <c:ser>
          <c:idx val="7"/>
          <c:order val="9"/>
          <c:tx>
            <c:strRef>
              <c:f>'0.64NaCl_0.36UCl3_plot_data'!$K$1</c:f>
              <c:strCache>
                <c:ptCount val="1"/>
                <c:pt idx="0">
                  <c:v>l_BC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('0.64NaCl_0.36UCl3_plot_data'!$K$2,'0.64NaCl_0.36UCl3_plot_data'!$K$3)</c:f>
              <c:numCache>
                <c:formatCode>General</c:formatCode>
                <c:ptCount val="2"/>
                <c:pt idx="0">
                  <c:v>2.7178740000000001</c:v>
                </c:pt>
                <c:pt idx="1">
                  <c:v>2.7178740000000001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1DFF-4B8C-9EA5-40A95B943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6.9"/>
          <c:min val="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329085034777877"/>
          <c:y val="4.8818218148761347E-2"/>
          <c:w val="0.43923663532428547"/>
          <c:h val="0.2129408625997444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6.2612273277871305E-2</c:v>
                </c:pt>
                <c:pt idx="16">
                  <c:v>0.46095787187769799</c:v>
                </c:pt>
                <c:pt idx="17">
                  <c:v>0.99994769007349404</c:v>
                </c:pt>
                <c:pt idx="18">
                  <c:v>1.2384516980767999</c:v>
                </c:pt>
                <c:pt idx="19">
                  <c:v>1.09040523702456</c:v>
                </c:pt>
                <c:pt idx="20">
                  <c:v>0.80723907259291905</c:v>
                </c:pt>
                <c:pt idx="21">
                  <c:v>0.57451006708282804</c:v>
                </c:pt>
                <c:pt idx="22">
                  <c:v>0.410442110461535</c:v>
                </c:pt>
                <c:pt idx="23">
                  <c:v>0.30796192165585701</c:v>
                </c:pt>
                <c:pt idx="24">
                  <c:v>0.242001179322541</c:v>
                </c:pt>
                <c:pt idx="25">
                  <c:v>0.19822381311765599</c:v>
                </c:pt>
                <c:pt idx="26">
                  <c:v>0.17418548388294899</c:v>
                </c:pt>
                <c:pt idx="27">
                  <c:v>0.160117594333333</c:v>
                </c:pt>
                <c:pt idx="28">
                  <c:v>0.160117594333333</c:v>
                </c:pt>
                <c:pt idx="29">
                  <c:v>0.160117594333333</c:v>
                </c:pt>
                <c:pt idx="30">
                  <c:v>0.16913947962922399</c:v>
                </c:pt>
                <c:pt idx="31">
                  <c:v>0.18851110810043201</c:v>
                </c:pt>
                <c:pt idx="32">
                  <c:v>0.20788273657164</c:v>
                </c:pt>
                <c:pt idx="33">
                  <c:v>0.22725436504284799</c:v>
                </c:pt>
                <c:pt idx="34">
                  <c:v>0.25078696494321601</c:v>
                </c:pt>
                <c:pt idx="35">
                  <c:v>0.28392075119763099</c:v>
                </c:pt>
                <c:pt idx="36">
                  <c:v>0.320784108936295</c:v>
                </c:pt>
                <c:pt idx="37">
                  <c:v>0.35770950052761202</c:v>
                </c:pt>
                <c:pt idx="38">
                  <c:v>0.39463489211892799</c:v>
                </c:pt>
                <c:pt idx="39">
                  <c:v>0.42435374864766201</c:v>
                </c:pt>
                <c:pt idx="40">
                  <c:v>0.43216488924385799</c:v>
                </c:pt>
                <c:pt idx="41">
                  <c:v>0.43997602984005402</c:v>
                </c:pt>
                <c:pt idx="42">
                  <c:v>0.44778717043624899</c:v>
                </c:pt>
                <c:pt idx="43">
                  <c:v>0.44092687880625803</c:v>
                </c:pt>
                <c:pt idx="44">
                  <c:v>0.42160356239496899</c:v>
                </c:pt>
                <c:pt idx="45">
                  <c:v>0.39792498186194297</c:v>
                </c:pt>
                <c:pt idx="46">
                  <c:v>0.37292933227418501</c:v>
                </c:pt>
                <c:pt idx="47">
                  <c:v>0.35059375023566303</c:v>
                </c:pt>
                <c:pt idx="48">
                  <c:v>0.33080552747790498</c:v>
                </c:pt>
                <c:pt idx="49">
                  <c:v>0.31125594584628302</c:v>
                </c:pt>
                <c:pt idx="50">
                  <c:v>0.29719589286457598</c:v>
                </c:pt>
                <c:pt idx="51">
                  <c:v>0.28584529164772399</c:v>
                </c:pt>
                <c:pt idx="52">
                  <c:v>0.28098256099999902</c:v>
                </c:pt>
                <c:pt idx="53">
                  <c:v>0.28098256099999902</c:v>
                </c:pt>
                <c:pt idx="54">
                  <c:v>0.28098256099999902</c:v>
                </c:pt>
                <c:pt idx="55">
                  <c:v>0.28098256099999902</c:v>
                </c:pt>
                <c:pt idx="56">
                  <c:v>0.28453529354192197</c:v>
                </c:pt>
                <c:pt idx="57">
                  <c:v>0.29401110328650898</c:v>
                </c:pt>
                <c:pt idx="58">
                  <c:v>0.30348691303109498</c:v>
                </c:pt>
                <c:pt idx="59">
                  <c:v>0.31296272277568099</c:v>
                </c:pt>
                <c:pt idx="60">
                  <c:v>0.322438532520267</c:v>
                </c:pt>
                <c:pt idx="61">
                  <c:v>0.331914342264854</c:v>
                </c:pt>
                <c:pt idx="62">
                  <c:v>0.34139015200944001</c:v>
                </c:pt>
                <c:pt idx="63">
                  <c:v>0.35086596175402601</c:v>
                </c:pt>
                <c:pt idx="64">
                  <c:v>0.36034177149861202</c:v>
                </c:pt>
                <c:pt idx="65">
                  <c:v>0.36981758124319902</c:v>
                </c:pt>
                <c:pt idx="66">
                  <c:v>0.37613157720721002</c:v>
                </c:pt>
                <c:pt idx="67">
                  <c:v>0.37114488004287199</c:v>
                </c:pt>
                <c:pt idx="68">
                  <c:v>0.365737167381954</c:v>
                </c:pt>
                <c:pt idx="69">
                  <c:v>0.360329454721037</c:v>
                </c:pt>
                <c:pt idx="70">
                  <c:v>0.35492174206011901</c:v>
                </c:pt>
                <c:pt idx="71">
                  <c:v>0.34751431226493301</c:v>
                </c:pt>
                <c:pt idx="72">
                  <c:v>0.33899306833076998</c:v>
                </c:pt>
                <c:pt idx="73">
                  <c:v>0.33106230970989903</c:v>
                </c:pt>
                <c:pt idx="74">
                  <c:v>0.32375822288471201</c:v>
                </c:pt>
                <c:pt idx="75">
                  <c:v>0.31910550452310699</c:v>
                </c:pt>
                <c:pt idx="76">
                  <c:v>0.31519993419439002</c:v>
                </c:pt>
                <c:pt idx="77">
                  <c:v>0.311841701333333</c:v>
                </c:pt>
                <c:pt idx="78">
                  <c:v>0.311841701333333</c:v>
                </c:pt>
                <c:pt idx="79">
                  <c:v>0.311841701333333</c:v>
                </c:pt>
                <c:pt idx="80">
                  <c:v>0.311841701333333</c:v>
                </c:pt>
                <c:pt idx="81">
                  <c:v>0.31498140085106002</c:v>
                </c:pt>
                <c:pt idx="82">
                  <c:v>0.31957618944429</c:v>
                </c:pt>
                <c:pt idx="83">
                  <c:v>0.32417097803751999</c:v>
                </c:pt>
                <c:pt idx="84">
                  <c:v>0.32876576663074902</c:v>
                </c:pt>
                <c:pt idx="85">
                  <c:v>0.333360555223979</c:v>
                </c:pt>
                <c:pt idx="86">
                  <c:v>0.33796329745164</c:v>
                </c:pt>
                <c:pt idx="87">
                  <c:v>0.34264997948389903</c:v>
                </c:pt>
                <c:pt idx="88">
                  <c:v>0.34527243357860299</c:v>
                </c:pt>
                <c:pt idx="89">
                  <c:v>0.34527243413547298</c:v>
                </c:pt>
                <c:pt idx="90">
                  <c:v>0.34527243469234198</c:v>
                </c:pt>
                <c:pt idx="91">
                  <c:v>0.34527243524921097</c:v>
                </c:pt>
                <c:pt idx="92">
                  <c:v>0.34527243580608102</c:v>
                </c:pt>
                <c:pt idx="93">
                  <c:v>0.34527243636295002</c:v>
                </c:pt>
                <c:pt idx="94">
                  <c:v>0.34527243691981901</c:v>
                </c:pt>
                <c:pt idx="95">
                  <c:v>0.34279012048947599</c:v>
                </c:pt>
                <c:pt idx="96">
                  <c:v>0.33871474482999903</c:v>
                </c:pt>
                <c:pt idx="97">
                  <c:v>0.33579860469838002</c:v>
                </c:pt>
                <c:pt idx="98">
                  <c:v>0.33204925704078703</c:v>
                </c:pt>
                <c:pt idx="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5B-43B8-97DE-BA11ACBD3707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2.9059459344315001E-3</c:v>
                </c:pt>
                <c:pt idx="19">
                  <c:v>8.8186713781525494E-3</c:v>
                </c:pt>
                <c:pt idx="20">
                  <c:v>2.6986059689671198E-2</c:v>
                </c:pt>
                <c:pt idx="21">
                  <c:v>7.2339609514790307E-2</c:v>
                </c:pt>
                <c:pt idx="22">
                  <c:v>0.152769257567239</c:v>
                </c:pt>
                <c:pt idx="23">
                  <c:v>0.27244849344319</c:v>
                </c:pt>
                <c:pt idx="24">
                  <c:v>0.382126164694091</c:v>
                </c:pt>
                <c:pt idx="25">
                  <c:v>0.50095558025064402</c:v>
                </c:pt>
                <c:pt idx="26">
                  <c:v>0.56513102911643998</c:v>
                </c:pt>
                <c:pt idx="27">
                  <c:v>0.59350780014153204</c:v>
                </c:pt>
                <c:pt idx="28">
                  <c:v>0.58132620668212498</c:v>
                </c:pt>
                <c:pt idx="29">
                  <c:v>0.55409605327533995</c:v>
                </c:pt>
                <c:pt idx="30">
                  <c:v>0.51352072912200797</c:v>
                </c:pt>
                <c:pt idx="31">
                  <c:v>0.46063540649053297</c:v>
                </c:pt>
                <c:pt idx="32">
                  <c:v>0.42003229319381902</c:v>
                </c:pt>
                <c:pt idx="33">
                  <c:v>0.38982806339022402</c:v>
                </c:pt>
                <c:pt idx="34">
                  <c:v>0.362453009526992</c:v>
                </c:pt>
                <c:pt idx="35">
                  <c:v>0.340247052791876</c:v>
                </c:pt>
                <c:pt idx="36">
                  <c:v>0.31925501416454899</c:v>
                </c:pt>
                <c:pt idx="37">
                  <c:v>0.29761245677589698</c:v>
                </c:pt>
                <c:pt idx="38">
                  <c:v>0.27796354530275602</c:v>
                </c:pt>
                <c:pt idx="39">
                  <c:v>0.26372992958457497</c:v>
                </c:pt>
                <c:pt idx="40">
                  <c:v>0.25123353741260901</c:v>
                </c:pt>
                <c:pt idx="41">
                  <c:v>0.241292085866224</c:v>
                </c:pt>
                <c:pt idx="42">
                  <c:v>0.23442381779361299</c:v>
                </c:pt>
                <c:pt idx="43">
                  <c:v>0.239891616158462</c:v>
                </c:pt>
                <c:pt idx="44">
                  <c:v>0.246867881714364</c:v>
                </c:pt>
                <c:pt idx="45">
                  <c:v>0.26008673484080003</c:v>
                </c:pt>
                <c:pt idx="46">
                  <c:v>0.28725617881599502</c:v>
                </c:pt>
                <c:pt idx="47">
                  <c:v>0.30912737233865101</c:v>
                </c:pt>
                <c:pt idx="48">
                  <c:v>0.33129008502345703</c:v>
                </c:pt>
                <c:pt idx="49">
                  <c:v>0.35433294966331402</c:v>
                </c:pt>
                <c:pt idx="50">
                  <c:v>0.37246149353465502</c:v>
                </c:pt>
                <c:pt idx="51">
                  <c:v>0.386834887569101</c:v>
                </c:pt>
                <c:pt idx="52">
                  <c:v>0.39767052299671002</c:v>
                </c:pt>
                <c:pt idx="53">
                  <c:v>0.39754661933787799</c:v>
                </c:pt>
                <c:pt idx="54">
                  <c:v>0.39738270510876</c:v>
                </c:pt>
                <c:pt idx="55">
                  <c:v>0.39443682366772898</c:v>
                </c:pt>
                <c:pt idx="56">
                  <c:v>0.384347433852265</c:v>
                </c:pt>
                <c:pt idx="57">
                  <c:v>0.37425804403680202</c:v>
                </c:pt>
                <c:pt idx="58">
                  <c:v>0.36231404750173002</c:v>
                </c:pt>
                <c:pt idx="59">
                  <c:v>0.34935603148380701</c:v>
                </c:pt>
                <c:pt idx="60">
                  <c:v>0.33673564210905199</c:v>
                </c:pt>
                <c:pt idx="61">
                  <c:v>0.324162627728939</c:v>
                </c:pt>
                <c:pt idx="62">
                  <c:v>0.31544537943253897</c:v>
                </c:pt>
                <c:pt idx="63">
                  <c:v>0.307353379716584</c:v>
                </c:pt>
                <c:pt idx="64">
                  <c:v>0.30174994246403197</c:v>
                </c:pt>
                <c:pt idx="65">
                  <c:v>0.29628214409918302</c:v>
                </c:pt>
                <c:pt idx="66">
                  <c:v>0.29684018097495402</c:v>
                </c:pt>
                <c:pt idx="67">
                  <c:v>0.29775913866884002</c:v>
                </c:pt>
                <c:pt idx="68">
                  <c:v>0.29867809636272702</c:v>
                </c:pt>
                <c:pt idx="69">
                  <c:v>0.30327699549425802</c:v>
                </c:pt>
                <c:pt idx="70">
                  <c:v>0.31107062390881601</c:v>
                </c:pt>
                <c:pt idx="71">
                  <c:v>0.31901863935385</c:v>
                </c:pt>
                <c:pt idx="72">
                  <c:v>0.32730544611234402</c:v>
                </c:pt>
                <c:pt idx="73">
                  <c:v>0.33559225287083699</c:v>
                </c:pt>
                <c:pt idx="74">
                  <c:v>0.34380916134415901</c:v>
                </c:pt>
                <c:pt idx="75">
                  <c:v>0.34874039343070101</c:v>
                </c:pt>
                <c:pt idx="76">
                  <c:v>0.35367162551724202</c:v>
                </c:pt>
                <c:pt idx="77">
                  <c:v>0.35719195244476398</c:v>
                </c:pt>
                <c:pt idx="78">
                  <c:v>0.35765143124280502</c:v>
                </c:pt>
                <c:pt idx="79">
                  <c:v>0.358110910040847</c:v>
                </c:pt>
                <c:pt idx="80">
                  <c:v>0.35857038883888798</c:v>
                </c:pt>
                <c:pt idx="81">
                  <c:v>0.35421404223808201</c:v>
                </c:pt>
                <c:pt idx="82">
                  <c:v>0.34936574814909999</c:v>
                </c:pt>
                <c:pt idx="83">
                  <c:v>0.34451733838554299</c:v>
                </c:pt>
                <c:pt idx="84">
                  <c:v>0.339309911354713</c:v>
                </c:pt>
                <c:pt idx="85">
                  <c:v>0.33410248432388301</c:v>
                </c:pt>
                <c:pt idx="86">
                  <c:v>0.329672055574668</c:v>
                </c:pt>
                <c:pt idx="87">
                  <c:v>0.32544300321172298</c:v>
                </c:pt>
                <c:pt idx="88">
                  <c:v>0.32231854705074198</c:v>
                </c:pt>
                <c:pt idx="89">
                  <c:v>0.31919409088976203</c:v>
                </c:pt>
                <c:pt idx="90">
                  <c:v>0.31642914443132603</c:v>
                </c:pt>
                <c:pt idx="91">
                  <c:v>0.317600815447311</c:v>
                </c:pt>
                <c:pt idx="92">
                  <c:v>0.31877248646329598</c:v>
                </c:pt>
                <c:pt idx="93">
                  <c:v>0.31994415747928101</c:v>
                </c:pt>
                <c:pt idx="94">
                  <c:v>0.321270043315728</c:v>
                </c:pt>
                <c:pt idx="95">
                  <c:v>0.32452468521675298</c:v>
                </c:pt>
                <c:pt idx="96">
                  <c:v>0.32777932711777702</c:v>
                </c:pt>
                <c:pt idx="97">
                  <c:v>0.33131542783129603</c:v>
                </c:pt>
                <c:pt idx="98">
                  <c:v>0.33499125874622099</c:v>
                </c:pt>
                <c:pt idx="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5B-43B8-97DE-BA11ACBD3707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4.2448366339591898E-2</c:v>
                </c:pt>
                <c:pt idx="21">
                  <c:v>9.2969698970699205E-2</c:v>
                </c:pt>
                <c:pt idx="22">
                  <c:v>0.17765003407763799</c:v>
                </c:pt>
                <c:pt idx="23">
                  <c:v>0.27724748683112299</c:v>
                </c:pt>
                <c:pt idx="24">
                  <c:v>0.38172424062328097</c:v>
                </c:pt>
                <c:pt idx="25">
                  <c:v>0.47448019990086898</c:v>
                </c:pt>
                <c:pt idx="26">
                  <c:v>0.52909769874756696</c:v>
                </c:pt>
                <c:pt idx="27">
                  <c:v>0.56168131363878704</c:v>
                </c:pt>
                <c:pt idx="28">
                  <c:v>0.55589858614231702</c:v>
                </c:pt>
                <c:pt idx="29">
                  <c:v>0.53681912381144803</c:v>
                </c:pt>
                <c:pt idx="30">
                  <c:v>0.50216995376917895</c:v>
                </c:pt>
                <c:pt idx="31">
                  <c:v>0.46613554155885401</c:v>
                </c:pt>
                <c:pt idx="32">
                  <c:v>0.43475352841493797</c:v>
                </c:pt>
                <c:pt idx="33">
                  <c:v>0.40634750237658102</c:v>
                </c:pt>
                <c:pt idx="34">
                  <c:v>0.38166095940305</c:v>
                </c:pt>
                <c:pt idx="35">
                  <c:v>0.35802198143080899</c:v>
                </c:pt>
                <c:pt idx="36">
                  <c:v>0.33324540719996998</c:v>
                </c:pt>
                <c:pt idx="37">
                  <c:v>0.30937818948521101</c:v>
                </c:pt>
                <c:pt idx="38">
                  <c:v>0.28696081475839802</c:v>
                </c:pt>
                <c:pt idx="39">
                  <c:v>0.26525915465604399</c:v>
                </c:pt>
                <c:pt idx="40">
                  <c:v>0.25138999755413799</c:v>
                </c:pt>
                <c:pt idx="41">
                  <c:v>0.24057679150962899</c:v>
                </c:pt>
                <c:pt idx="42">
                  <c:v>0.23494550413373599</c:v>
                </c:pt>
                <c:pt idx="43">
                  <c:v>0.24051173717132401</c:v>
                </c:pt>
                <c:pt idx="44">
                  <c:v>0.24672874469651701</c:v>
                </c:pt>
                <c:pt idx="45">
                  <c:v>0.26265734513716499</c:v>
                </c:pt>
                <c:pt idx="46">
                  <c:v>0.28014986236948902</c:v>
                </c:pt>
                <c:pt idx="47">
                  <c:v>0.30076259432052599</c:v>
                </c:pt>
                <c:pt idx="48">
                  <c:v>0.32264775383619898</c:v>
                </c:pt>
                <c:pt idx="49">
                  <c:v>0.34464065512680803</c:v>
                </c:pt>
                <c:pt idx="50">
                  <c:v>0.366079070767031</c:v>
                </c:pt>
                <c:pt idx="51">
                  <c:v>0.37993535477092399</c:v>
                </c:pt>
                <c:pt idx="52">
                  <c:v>0.39185894929708298</c:v>
                </c:pt>
                <c:pt idx="53">
                  <c:v>0.39370895620937002</c:v>
                </c:pt>
                <c:pt idx="54">
                  <c:v>0.395558963121658</c:v>
                </c:pt>
                <c:pt idx="55">
                  <c:v>0.39702762560562199</c:v>
                </c:pt>
                <c:pt idx="56">
                  <c:v>0.38744967953019399</c:v>
                </c:pt>
                <c:pt idx="57">
                  <c:v>0.37787173345476699</c:v>
                </c:pt>
                <c:pt idx="58">
                  <c:v>0.36589782178782299</c:v>
                </c:pt>
                <c:pt idx="59">
                  <c:v>0.35313797490153898</c:v>
                </c:pt>
                <c:pt idx="60">
                  <c:v>0.340592809997247</c:v>
                </c:pt>
                <c:pt idx="61">
                  <c:v>0.32896355857459297</c:v>
                </c:pt>
                <c:pt idx="62">
                  <c:v>0.31818020829723298</c:v>
                </c:pt>
                <c:pt idx="63">
                  <c:v>0.30948606917817101</c:v>
                </c:pt>
                <c:pt idx="64">
                  <c:v>0.30288857712756201</c:v>
                </c:pt>
                <c:pt idx="65">
                  <c:v>0.29763333881278897</c:v>
                </c:pt>
                <c:pt idx="66">
                  <c:v>0.296765434432744</c:v>
                </c:pt>
                <c:pt idx="67">
                  <c:v>0.29695700327378</c:v>
                </c:pt>
                <c:pt idx="68">
                  <c:v>0.29865368053973801</c:v>
                </c:pt>
                <c:pt idx="69">
                  <c:v>0.303587032605248</c:v>
                </c:pt>
                <c:pt idx="70">
                  <c:v>0.30989903253589701</c:v>
                </c:pt>
                <c:pt idx="71">
                  <c:v>0.31702095476011</c:v>
                </c:pt>
                <c:pt idx="72">
                  <c:v>0.32506770162764098</c:v>
                </c:pt>
                <c:pt idx="73">
                  <c:v>0.333239764233075</c:v>
                </c:pt>
                <c:pt idx="74">
                  <c:v>0.34021993240005</c:v>
                </c:pt>
                <c:pt idx="75">
                  <c:v>0.34720010056702499</c:v>
                </c:pt>
                <c:pt idx="76">
                  <c:v>0.350832737225657</c:v>
                </c:pt>
                <c:pt idx="77">
                  <c:v>0.35160611746339998</c:v>
                </c:pt>
                <c:pt idx="78">
                  <c:v>0.35237949770114202</c:v>
                </c:pt>
                <c:pt idx="79">
                  <c:v>0.353152877938884</c:v>
                </c:pt>
                <c:pt idx="80">
                  <c:v>0.35392625817662698</c:v>
                </c:pt>
                <c:pt idx="81">
                  <c:v>0.35469963841436902</c:v>
                </c:pt>
                <c:pt idx="82">
                  <c:v>0.35033461032695401</c:v>
                </c:pt>
                <c:pt idx="83">
                  <c:v>0.34595639148885199</c:v>
                </c:pt>
                <c:pt idx="84">
                  <c:v>0.34096300005217001</c:v>
                </c:pt>
                <c:pt idx="85">
                  <c:v>0.33585571582914497</c:v>
                </c:pt>
                <c:pt idx="86">
                  <c:v>0.33101114778198998</c:v>
                </c:pt>
                <c:pt idx="87">
                  <c:v>0.32658504399340998</c:v>
                </c:pt>
                <c:pt idx="88">
                  <c:v>0.32274146700321599</c:v>
                </c:pt>
                <c:pt idx="89">
                  <c:v>0.320467127527092</c:v>
                </c:pt>
                <c:pt idx="90">
                  <c:v>0.31955648666666597</c:v>
                </c:pt>
                <c:pt idx="91">
                  <c:v>0.31955648666666597</c:v>
                </c:pt>
                <c:pt idx="92">
                  <c:v>0.31955648666666597</c:v>
                </c:pt>
                <c:pt idx="93">
                  <c:v>0.32026960647643998</c:v>
                </c:pt>
                <c:pt idx="94">
                  <c:v>0.32168981382787498</c:v>
                </c:pt>
                <c:pt idx="95">
                  <c:v>0.32441297935425401</c:v>
                </c:pt>
                <c:pt idx="96">
                  <c:v>0.32771769257884997</c:v>
                </c:pt>
                <c:pt idx="97">
                  <c:v>0.33100637270653799</c:v>
                </c:pt>
                <c:pt idx="98">
                  <c:v>0.33428201235326899</c:v>
                </c:pt>
                <c:pt idx="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5B-43B8-97DE-BA11ACBD3707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'1.0LiF_plot_data'!$E$2:$E$101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0.81933469577646101</c:v>
                </c:pt>
                <c:pt idx="19">
                  <c:v>0.76597785570501298</c:v>
                </c:pt>
                <c:pt idx="20">
                  <c:v>0.76597785570501298</c:v>
                </c:pt>
                <c:pt idx="21">
                  <c:v>0.76597785570501298</c:v>
                </c:pt>
                <c:pt idx="22">
                  <c:v>0.76597785570501298</c:v>
                </c:pt>
                <c:pt idx="23">
                  <c:v>0.76597785570501298</c:v>
                </c:pt>
                <c:pt idx="24">
                  <c:v>0.76597785570501298</c:v>
                </c:pt>
                <c:pt idx="25">
                  <c:v>0.76597785570501298</c:v>
                </c:pt>
                <c:pt idx="26">
                  <c:v>0.76597785570501298</c:v>
                </c:pt>
                <c:pt idx="27">
                  <c:v>0.76597785570501298</c:v>
                </c:pt>
                <c:pt idx="28">
                  <c:v>0.76597785570501298</c:v>
                </c:pt>
                <c:pt idx="29">
                  <c:v>0.76597785570501298</c:v>
                </c:pt>
                <c:pt idx="30">
                  <c:v>0.76597785570501298</c:v>
                </c:pt>
                <c:pt idx="31">
                  <c:v>0.76597785570501298</c:v>
                </c:pt>
                <c:pt idx="32">
                  <c:v>0.76597785570501298</c:v>
                </c:pt>
                <c:pt idx="33">
                  <c:v>0.76597785570501298</c:v>
                </c:pt>
                <c:pt idx="34">
                  <c:v>0.76597785570501298</c:v>
                </c:pt>
                <c:pt idx="35">
                  <c:v>0.30374862307016998</c:v>
                </c:pt>
                <c:pt idx="36">
                  <c:v>0.13679561687706901</c:v>
                </c:pt>
                <c:pt idx="37">
                  <c:v>0.13679561687706901</c:v>
                </c:pt>
                <c:pt idx="38">
                  <c:v>0.13679561687706901</c:v>
                </c:pt>
                <c:pt idx="39">
                  <c:v>0.13679561687706901</c:v>
                </c:pt>
                <c:pt idx="40">
                  <c:v>0.13679561687706901</c:v>
                </c:pt>
                <c:pt idx="41">
                  <c:v>0.13679561687706901</c:v>
                </c:pt>
                <c:pt idx="42">
                  <c:v>0.13679561687706901</c:v>
                </c:pt>
                <c:pt idx="43">
                  <c:v>0.13679561687706901</c:v>
                </c:pt>
                <c:pt idx="44">
                  <c:v>0.13679561687706901</c:v>
                </c:pt>
                <c:pt idx="45">
                  <c:v>0.13679561687706901</c:v>
                </c:pt>
                <c:pt idx="46">
                  <c:v>0.13679561687706901</c:v>
                </c:pt>
                <c:pt idx="47">
                  <c:v>0.13679561687706901</c:v>
                </c:pt>
                <c:pt idx="48">
                  <c:v>0.13679561687706901</c:v>
                </c:pt>
                <c:pt idx="49">
                  <c:v>0.13679561687706901</c:v>
                </c:pt>
                <c:pt idx="50">
                  <c:v>0.13679561687706901</c:v>
                </c:pt>
                <c:pt idx="51">
                  <c:v>8.8764665794569E-2</c:v>
                </c:pt>
                <c:pt idx="52">
                  <c:v>6.8722650828349904E-3</c:v>
                </c:pt>
                <c:pt idx="53">
                  <c:v>6.8722650828349904E-3</c:v>
                </c:pt>
                <c:pt idx="54">
                  <c:v>6.8722650828349904E-3</c:v>
                </c:pt>
                <c:pt idx="55">
                  <c:v>6.8722650828349904E-3</c:v>
                </c:pt>
                <c:pt idx="56">
                  <c:v>6.8722650828349904E-3</c:v>
                </c:pt>
                <c:pt idx="57">
                  <c:v>6.8722650828349904E-3</c:v>
                </c:pt>
                <c:pt idx="58">
                  <c:v>6.8722650828349904E-3</c:v>
                </c:pt>
                <c:pt idx="59">
                  <c:v>6.8722650828349904E-3</c:v>
                </c:pt>
                <c:pt idx="60">
                  <c:v>6.8722650828349904E-3</c:v>
                </c:pt>
                <c:pt idx="61">
                  <c:v>6.8722650828349904E-3</c:v>
                </c:pt>
                <c:pt idx="62">
                  <c:v>6.8722650828349904E-3</c:v>
                </c:pt>
                <c:pt idx="63">
                  <c:v>6.8722650828349904E-3</c:v>
                </c:pt>
                <c:pt idx="64">
                  <c:v>6.8722650828349904E-3</c:v>
                </c:pt>
                <c:pt idx="65">
                  <c:v>6.8722650828349904E-3</c:v>
                </c:pt>
                <c:pt idx="66">
                  <c:v>6.8722650828349904E-3</c:v>
                </c:pt>
                <c:pt idx="67">
                  <c:v>5.5449778313355997E-3</c:v>
                </c:pt>
                <c:pt idx="68">
                  <c:v>4.1056307732461996E-3</c:v>
                </c:pt>
                <c:pt idx="69">
                  <c:v>2.6662837151567799E-3</c:v>
                </c:pt>
                <c:pt idx="70">
                  <c:v>1.22693665706737E-3</c:v>
                </c:pt>
                <c:pt idx="71">
                  <c:v>7.1203397418789403E-4</c:v>
                </c:pt>
                <c:pt idx="72">
                  <c:v>7.1203397418789403E-4</c:v>
                </c:pt>
                <c:pt idx="73">
                  <c:v>7.1203397418789403E-4</c:v>
                </c:pt>
                <c:pt idx="74">
                  <c:v>7.1203397418789403E-4</c:v>
                </c:pt>
                <c:pt idx="75">
                  <c:v>7.1203397418789403E-4</c:v>
                </c:pt>
                <c:pt idx="76">
                  <c:v>7.1203397418789403E-4</c:v>
                </c:pt>
                <c:pt idx="77">
                  <c:v>7.1203397418789403E-4</c:v>
                </c:pt>
                <c:pt idx="78">
                  <c:v>7.1203397418789403E-4</c:v>
                </c:pt>
                <c:pt idx="79">
                  <c:v>7.1203397418789403E-4</c:v>
                </c:pt>
                <c:pt idx="80">
                  <c:v>7.1203397418789403E-4</c:v>
                </c:pt>
                <c:pt idx="81">
                  <c:v>7.1203397418789403E-4</c:v>
                </c:pt>
                <c:pt idx="82">
                  <c:v>7.1203397418789403E-4</c:v>
                </c:pt>
                <c:pt idx="83">
                  <c:v>7.1203397418789403E-4</c:v>
                </c:pt>
                <c:pt idx="84">
                  <c:v>7.1203397418789403E-4</c:v>
                </c:pt>
                <c:pt idx="85">
                  <c:v>7.1203397418789403E-4</c:v>
                </c:pt>
                <c:pt idx="86">
                  <c:v>6.8053607299571497E-4</c:v>
                </c:pt>
                <c:pt idx="87">
                  <c:v>3.1662062177019901E-4</c:v>
                </c:pt>
                <c:pt idx="88">
                  <c:v>1.12990106756371E-4</c:v>
                </c:pt>
                <c:pt idx="89">
                  <c:v>1.12990106756371E-4</c:v>
                </c:pt>
                <c:pt idx="90">
                  <c:v>1.12990106756371E-4</c:v>
                </c:pt>
                <c:pt idx="91">
                  <c:v>1.12990106756371E-4</c:v>
                </c:pt>
                <c:pt idx="92">
                  <c:v>1.12990106756371E-4</c:v>
                </c:pt>
                <c:pt idx="93">
                  <c:v>1.12990106756371E-4</c:v>
                </c:pt>
                <c:pt idx="94">
                  <c:v>1.12990106756371E-4</c:v>
                </c:pt>
                <c:pt idx="95">
                  <c:v>1.12990106756371E-4</c:v>
                </c:pt>
                <c:pt idx="96">
                  <c:v>1.12990106756371E-4</c:v>
                </c:pt>
                <c:pt idx="97">
                  <c:v>1.12990106756371E-4</c:v>
                </c:pt>
                <c:pt idx="98">
                  <c:v>1.12990106756371E-4</c:v>
                </c:pt>
                <c:pt idx="99">
                  <c:v>1.12990106756371E-4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5B-43B8-97DE-BA11ACBD3707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3.3052280000000001</c:v>
                </c:pt>
                <c:pt idx="1">
                  <c:v>3.3052280000000001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75B-43B8-97DE-BA11ACBD3707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3.4514</c:v>
                </c:pt>
                <c:pt idx="1">
                  <c:v>3.4514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675B-43B8-97DE-BA11ACB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932114318265931"/>
          <c:y val="0.26910270024376531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0"/>
          <c:order val="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1-4320-9E68-4C05B6A2DA57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CE1-4320-9E68-4C05B6A2DA57}"/>
            </c:ext>
          </c:extLst>
        </c:ser>
        <c:ser>
          <c:idx val="1"/>
          <c:order val="1"/>
          <c:tx>
            <c:strRef>
              <c:f>'Fig1_Fig2 (2)'!$X$36</c:f>
              <c:strCache>
                <c:ptCount val="1"/>
                <c:pt idx="0">
                  <c:v>Gheribi; 11.8%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'Fig1_Fig2 (2)'!$AH$16:$AH$30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'Fig1_Fig2 (2)'!$V$16:$V$30</c:f>
              <c:numCache>
                <c:formatCode>General</c:formatCode>
                <c:ptCount val="15"/>
                <c:pt idx="0">
                  <c:v>0.99333380791119696</c:v>
                </c:pt>
                <c:pt idx="1">
                  <c:v>0.98447068021154305</c:v>
                </c:pt>
                <c:pt idx="2">
                  <c:v>0.64214260840362103</c:v>
                </c:pt>
                <c:pt idx="3">
                  <c:v>0.69317885535811896</c:v>
                </c:pt>
                <c:pt idx="4">
                  <c:v>0.39011154382422603</c:v>
                </c:pt>
                <c:pt idx="5">
                  <c:v>0.56448951322319196</c:v>
                </c:pt>
                <c:pt idx="6">
                  <c:v>0.66793180176935196</c:v>
                </c:pt>
                <c:pt idx="7">
                  <c:v>0.466842165145266</c:v>
                </c:pt>
                <c:pt idx="8">
                  <c:v>0.37249183936476299</c:v>
                </c:pt>
                <c:pt idx="9">
                  <c:v>1.3498414938304</c:v>
                </c:pt>
                <c:pt idx="10">
                  <c:v>0.83980660523057205</c:v>
                </c:pt>
                <c:pt idx="11">
                  <c:v>0.58268227937308503</c:v>
                </c:pt>
                <c:pt idx="12">
                  <c:v>0.43829220310135403</c:v>
                </c:pt>
                <c:pt idx="13">
                  <c:v>0.76680974617502995</c:v>
                </c:pt>
                <c:pt idx="14">
                  <c:v>0.53209375499864198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E1-4320-9E68-4C05B6A2DA57}"/>
            </c:ext>
          </c:extLst>
        </c:ser>
        <c:ser>
          <c:idx val="4"/>
          <c:order val="2"/>
          <c:tx>
            <c:strRef>
              <c:f>'Fig1_Fig2 (2)'!$X$37</c:f>
              <c:strCache>
                <c:ptCount val="1"/>
                <c:pt idx="0">
                  <c:v>Zhao; 33.1%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'Fig1_Fig2 (2)'!$AH$16:$AH$30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'Fig1_Fig2 (2)'!$Y$16:$Y$30</c:f>
              <c:numCache>
                <c:formatCode>General</c:formatCode>
                <c:ptCount val="15"/>
                <c:pt idx="0">
                  <c:v>0.77570441935694301</c:v>
                </c:pt>
                <c:pt idx="1">
                  <c:v>0.74095938136264805</c:v>
                </c:pt>
                <c:pt idx="2">
                  <c:v>0.46849389713973499</c:v>
                </c:pt>
                <c:pt idx="3">
                  <c:v>0.64594060152309996</c:v>
                </c:pt>
                <c:pt idx="4">
                  <c:v>0.33784078052696798</c:v>
                </c:pt>
                <c:pt idx="5">
                  <c:v>0.47418605647421902</c:v>
                </c:pt>
                <c:pt idx="6">
                  <c:v>0.38684120382342102</c:v>
                </c:pt>
                <c:pt idx="7">
                  <c:v>0.28504924771650703</c:v>
                </c:pt>
                <c:pt idx="8">
                  <c:v>0.25964866776244899</c:v>
                </c:pt>
                <c:pt idx="9">
                  <c:v>0.80194503019063301</c:v>
                </c:pt>
                <c:pt idx="10">
                  <c:v>0.52656452655946195</c:v>
                </c:pt>
                <c:pt idx="11">
                  <c:v>0.36409719101091298</c:v>
                </c:pt>
                <c:pt idx="12">
                  <c:v>0.28861057804145501</c:v>
                </c:pt>
                <c:pt idx="13">
                  <c:v>0.54942631142670295</c:v>
                </c:pt>
                <c:pt idx="14">
                  <c:v>0.427744101475241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E1-4320-9E68-4C05B6A2DA57}"/>
            </c:ext>
          </c:extLst>
        </c:ser>
        <c:ser>
          <c:idx val="7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CE1-4320-9E68-4C05B6A2DA57}"/>
            </c:ext>
          </c:extLst>
        </c:ser>
        <c:ser>
          <c:idx val="2"/>
          <c:order val="4"/>
          <c:tx>
            <c:strRef>
              <c:f>'Fig1_Fig2 (2)'!$X$38</c:f>
              <c:strCache>
                <c:ptCount val="1"/>
                <c:pt idx="0">
                  <c:v>Gheribi; 55.7%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'Fig1_Fig2 (2)'!$AH$6:$AH$15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'Fig1_Fig2 (2)'!$V$6:$V$15</c:f>
              <c:numCache>
                <c:formatCode>General</c:formatCode>
                <c:ptCount val="10"/>
                <c:pt idx="0">
                  <c:v>0.67741220740497099</c:v>
                </c:pt>
                <c:pt idx="1">
                  <c:v>0.55550594201447301</c:v>
                </c:pt>
                <c:pt idx="2">
                  <c:v>0.112148952119888</c:v>
                </c:pt>
                <c:pt idx="3">
                  <c:v>0.105408277874666</c:v>
                </c:pt>
                <c:pt idx="4">
                  <c:v>0.46141777072929802</c:v>
                </c:pt>
                <c:pt idx="5">
                  <c:v>0.10753765071044399</c:v>
                </c:pt>
                <c:pt idx="6">
                  <c:v>0.14300503155139799</c:v>
                </c:pt>
                <c:pt idx="7">
                  <c:v>0.151181269098529</c:v>
                </c:pt>
                <c:pt idx="8">
                  <c:v>0.16870277158194399</c:v>
                </c:pt>
                <c:pt idx="9">
                  <c:v>0.46141777072929802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E1-4320-9E68-4C05B6A2DA57}"/>
            </c:ext>
          </c:extLst>
        </c:ser>
        <c:ser>
          <c:idx val="3"/>
          <c:order val="5"/>
          <c:tx>
            <c:strRef>
              <c:f>'Fig1_Fig2 (2)'!$X$39</c:f>
              <c:strCache>
                <c:ptCount val="1"/>
                <c:pt idx="0">
                  <c:v>Zhao; 28.7%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'Fig1_Fig2 (2)'!$AH$6:$AH$15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'Fig1_Fig2 (2)'!$Y$6:$Y$15</c:f>
              <c:numCache>
                <c:formatCode>General</c:formatCode>
                <c:ptCount val="10"/>
                <c:pt idx="0">
                  <c:v>0.74096562545436895</c:v>
                </c:pt>
                <c:pt idx="1">
                  <c:v>0.72228652104409496</c:v>
                </c:pt>
                <c:pt idx="2">
                  <c:v>0.29987597191156701</c:v>
                </c:pt>
                <c:pt idx="3">
                  <c:v>0.29112922787240902</c:v>
                </c:pt>
                <c:pt idx="4">
                  <c:v>0.71241195168460603</c:v>
                </c:pt>
                <c:pt idx="5">
                  <c:v>0.58317546813700505</c:v>
                </c:pt>
                <c:pt idx="6">
                  <c:v>0.35966985442212901</c:v>
                </c:pt>
                <c:pt idx="7">
                  <c:v>0.33864101447663503</c:v>
                </c:pt>
                <c:pt idx="8">
                  <c:v>0.328531464474764</c:v>
                </c:pt>
                <c:pt idx="9">
                  <c:v>0.71241195168460603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E1-4320-9E68-4C05B6A2DA57}"/>
            </c:ext>
          </c:extLst>
        </c:ser>
        <c:ser>
          <c:idx val="5"/>
          <c:order val="6"/>
          <c:tx>
            <c:v>Positive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1.1499999999999999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CE1-4320-9E68-4C05B6A2DA57}"/>
            </c:ext>
          </c:extLst>
        </c:ser>
        <c:ser>
          <c:idx val="6"/>
          <c:order val="7"/>
          <c:tx>
            <c:v>Negative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CE1-4320-9E68-4C05B6A2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4406014149742116"/>
          <c:y val="0.10110590315835105"/>
          <c:w val="0.32810498687664041"/>
          <c:h val="0.244564146339455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3-465D-B539-257DCB6516AC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('MFP-rsum'!$AL$26:$AL$27,'MFP-rsum'!$AL$29:$AL$30,'MFP-rsum'!$AL$36:$AL$37,'MFP-rsum'!$AL$38:$AL$40)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43-465D-B539-257DCB65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4967714806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'MFP-rsum'!$BO$2:$BO$41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63-42CE-9489-8107EB19CBE7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('MFP-rsum'!$BO$26:$BO$27,'MFP-rsum'!$BO$29:$BO$30,'MFP-rsum'!$BO$36:$BO$40)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63-42CE-9489-8107EB19C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 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 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'MFP-rsum'!$BQ$2:$BQ$41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4-454E-83A6-19657BE2A91E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('MFP-rsum'!$BQ$26:$BQ$27,'MFP-rsum'!$BQ$29:$BQ$30,'MFP-rsum'!$BQ$36:$BQ$40)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4-454E-83A6-19657BE2A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κ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PGM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1-45E2-9F21-7EAE5C046FD3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('MFP-rsum'!$AL$26:$AL$27,'MFP-rsum'!$AL$29:$AL$30,'MFP-rsum'!$AL$36:$AL$37,'MFP-rsum'!$AL$38:$AL$40)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1-45E2-9F21-7EAE5C04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496786729661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'MFP-rsum'!$BO$2:$BO$41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5-4A55-BECC-B97C8D13B3D8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('MFP-rsum'!$BO$26:$BO$27,'MFP-rsum'!$BO$29:$BO$30,'MFP-rsum'!$BO$36:$BO$40)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05-4A55-BECC-B97C8D13B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00874730265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'MFP-rsum'!$BQ$2:$BQ$41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5-420B-B26F-453D36C2440B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('MFP-rsum'!$BQ$26:$BQ$27,'MFP-rsum'!$BQ$29:$BQ$30,'MFP-rsum'!$BQ$36:$BQ$40)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A5-420B-B26F-453D36C24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9.51675777539348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'MFP-rsum'!$X$2:$X$41</c:f>
              <c:numCache>
                <c:formatCode>0.00E+00</c:formatCode>
                <c:ptCount val="40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1">
                  <c:v>2.9788000000000001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1">
                  <c:v>2.5428999999999999</c:v>
                </c:pt>
                <c:pt idx="32">
                  <c:v>2.8291599999999995</c:v>
                </c:pt>
                <c:pt idx="33">
                  <c:v>2.194</c:v>
                </c:pt>
                <c:pt idx="34">
                  <c:v>2.8818000000000001</c:v>
                </c:pt>
                <c:pt idx="35">
                  <c:v>2.8778800000000002</c:v>
                </c:pt>
                <c:pt idx="36">
                  <c:v>3.0851800000000003</c:v>
                </c:pt>
                <c:pt idx="37">
                  <c:v>3.2822400000000003</c:v>
                </c:pt>
                <c:pt idx="38">
                  <c:v>3.4792999999999994</c:v>
                </c:pt>
                <c:pt idx="39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C-4323-BB65-66032AF0D355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('MFP-rsum'!$AL$26:$AL$27,'MFP-rsum'!$AL$29:$AL$30,'MFP-rsum'!$AL$36:$AL$37,'MFP-rsum'!$AL$38:$AL$40)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('MFP-rsum'!$X$26:$X$27,'MFP-rsum'!$X$29:$X$30,'MFP-rsum'!$X$36:$X$40)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C-4323-BB65-66032AF0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'MFP-rsum'!$BP$2:$BP$41</c:f>
              <c:numCache>
                <c:formatCode>0.00E+00</c:formatCode>
                <c:ptCount val="40"/>
                <c:pt idx="0">
                  <c:v>1.1518926760563384</c:v>
                </c:pt>
                <c:pt idx="1">
                  <c:v>0.67778749999999999</c:v>
                </c:pt>
                <c:pt idx="2">
                  <c:v>0.39972750000000007</c:v>
                </c:pt>
                <c:pt idx="3">
                  <c:v>0.34271092436974793</c:v>
                </c:pt>
                <c:pt idx="4">
                  <c:v>0.301421612691466</c:v>
                </c:pt>
                <c:pt idx="5">
                  <c:v>0.46955282968415579</c:v>
                </c:pt>
                <c:pt idx="6">
                  <c:v>0.32243028313413014</c:v>
                </c:pt>
                <c:pt idx="7">
                  <c:v>0.24068948075348068</c:v>
                </c:pt>
                <c:pt idx="8">
                  <c:v>0.93313175000000004</c:v>
                </c:pt>
                <c:pt idx="9">
                  <c:v>0.80730208087671307</c:v>
                </c:pt>
                <c:pt idx="10">
                  <c:v>0.55121026994994238</c:v>
                </c:pt>
                <c:pt idx="11">
                  <c:v>0.38234418891071892</c:v>
                </c:pt>
                <c:pt idx="12">
                  <c:v>0.34222598186733888</c:v>
                </c:pt>
                <c:pt idx="13">
                  <c:v>0.39833903873250681</c:v>
                </c:pt>
                <c:pt idx="14">
                  <c:v>0.33711780852199386</c:v>
                </c:pt>
                <c:pt idx="15">
                  <c:v>0.63290221625251841</c:v>
                </c:pt>
                <c:pt idx="16">
                  <c:v>0.4607564927857935</c:v>
                </c:pt>
                <c:pt idx="17">
                  <c:v>0.48708757669995822</c:v>
                </c:pt>
                <c:pt idx="18">
                  <c:v>0.45461357386269008</c:v>
                </c:pt>
                <c:pt idx="19">
                  <c:v>0.38073015787085324</c:v>
                </c:pt>
                <c:pt idx="20">
                  <c:v>0.2489564819205321</c:v>
                </c:pt>
                <c:pt idx="21">
                  <c:v>0.33612940298277016</c:v>
                </c:pt>
                <c:pt idx="22">
                  <c:v>1.1014048595585626</c:v>
                </c:pt>
                <c:pt idx="23">
                  <c:v>0.68470603255856344</c:v>
                </c:pt>
                <c:pt idx="24">
                  <c:v>0.7665996750513322</c:v>
                </c:pt>
                <c:pt idx="25">
                  <c:v>1.0070070932608983</c:v>
                </c:pt>
                <c:pt idx="26">
                  <c:v>1.1282080942364856</c:v>
                </c:pt>
                <c:pt idx="27">
                  <c:v>1.0786052187787996</c:v>
                </c:pt>
                <c:pt idx="28">
                  <c:v>1.0349189533056169</c:v>
                </c:pt>
                <c:pt idx="29">
                  <c:v>0.34851316317353825</c:v>
                </c:pt>
                <c:pt idx="30">
                  <c:v>0.37827811192374966</c:v>
                </c:pt>
                <c:pt idx="31">
                  <c:v>0.52269864642849884</c:v>
                </c:pt>
                <c:pt idx="32">
                  <c:v>0.43409309762372345</c:v>
                </c:pt>
                <c:pt idx="33">
                  <c:v>0.96352777458242056</c:v>
                </c:pt>
                <c:pt idx="34">
                  <c:v>0.31304602622672262</c:v>
                </c:pt>
                <c:pt idx="35">
                  <c:v>0.31611417205960979</c:v>
                </c:pt>
                <c:pt idx="36">
                  <c:v>0.44777593555136702</c:v>
                </c:pt>
                <c:pt idx="37">
                  <c:v>0.43226765885674451</c:v>
                </c:pt>
                <c:pt idx="38">
                  <c:v>0.42224348610504159</c:v>
                </c:pt>
                <c:pt idx="39">
                  <c:v>0.58689311875693662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A-4847-947C-4D9BD67EA5EF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('MFP-rsum'!$BP$26:$BP$27,'MFP-rsum'!$BP$29:$BP$30,'MFP-rsum'!$BP$36:$BP$40)</c:f>
              <c:numCache>
                <c:formatCode>0.00E+00</c:formatCode>
                <c:ptCount val="9"/>
                <c:pt idx="0">
                  <c:v>0.7665996750513322</c:v>
                </c:pt>
                <c:pt idx="1">
                  <c:v>1.0070070932608983</c:v>
                </c:pt>
                <c:pt idx="2">
                  <c:v>1.0786052187787996</c:v>
                </c:pt>
                <c:pt idx="3">
                  <c:v>1.0349189533056169</c:v>
                </c:pt>
                <c:pt idx="4">
                  <c:v>0.31304602622672262</c:v>
                </c:pt>
                <c:pt idx="5">
                  <c:v>0.31611417205960979</c:v>
                </c:pt>
                <c:pt idx="6">
                  <c:v>0.44777593555136702</c:v>
                </c:pt>
                <c:pt idx="7">
                  <c:v>0.43226765885674451</c:v>
                </c:pt>
                <c:pt idx="8">
                  <c:v>0.42224348610504159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DA-4847-947C-4D9BD67EA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c</a:t>
                </a:r>
                <a:r>
                  <a:rPr lang="en-US" sz="1050" b="1" baseline="-25000"/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'MFP-rsum'!$BQ$2:$BQ$41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C-482C-8367-E818195F393A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('MFP-rsum'!$AL$26:$AL$27,'MFP-rsum'!$AL$29:$AL$30,'MFP-rsum'!$AL$36:$AL$40)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('MFP-rsum'!$BQ$26:$BQ$27,'MFP-rsum'!$BQ$29:$BQ$30,'MFP-rsum'!$BQ$36:$BQ$40)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C-482C-8367-E818195F3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'MFP-rsum'!$BO$2:$BO$22</c:f>
              <c:numCache>
                <c:formatCode>0.00E+00</c:formatCode>
                <c:ptCount val="21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8-41A3-8BFC-59873387536B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'MFP-rsum'!$AL$23:$AL$40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'MFP-rsum'!$BO$23:$BO$40</c:f>
              <c:numCache>
                <c:formatCode>0.00E+00</c:formatCode>
                <c:ptCount val="18"/>
                <c:pt idx="0">
                  <c:v>3361294029.8277016</c:v>
                </c:pt>
                <c:pt idx="1">
                  <c:v>11014048595.585625</c:v>
                </c:pt>
                <c:pt idx="2">
                  <c:v>6847060325.5856342</c:v>
                </c:pt>
                <c:pt idx="3">
                  <c:v>7665996750.5133219</c:v>
                </c:pt>
                <c:pt idx="4">
                  <c:v>10070070932.608982</c:v>
                </c:pt>
                <c:pt idx="5">
                  <c:v>11282080942.364857</c:v>
                </c:pt>
                <c:pt idx="6">
                  <c:v>10786052187.787994</c:v>
                </c:pt>
                <c:pt idx="7">
                  <c:v>10349189533.056168</c:v>
                </c:pt>
                <c:pt idx="8">
                  <c:v>3485131631.7353826</c:v>
                </c:pt>
                <c:pt idx="9">
                  <c:v>3782781119.2374964</c:v>
                </c:pt>
                <c:pt idx="10">
                  <c:v>5226986464.2849884</c:v>
                </c:pt>
                <c:pt idx="11">
                  <c:v>4340930976.2372341</c:v>
                </c:pt>
                <c:pt idx="12">
                  <c:v>9635277745.8242054</c:v>
                </c:pt>
                <c:pt idx="13">
                  <c:v>3130460262.2672262</c:v>
                </c:pt>
                <c:pt idx="14">
                  <c:v>3161141720.5960979</c:v>
                </c:pt>
                <c:pt idx="15">
                  <c:v>4477759355.51367</c:v>
                </c:pt>
                <c:pt idx="16">
                  <c:v>4322676588.5674448</c:v>
                </c:pt>
                <c:pt idx="17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E8-41A3-8BFC-59873387536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'MFP-rsum'!$BO$41</c:f>
              <c:numCache>
                <c:formatCode>0.00E+00</c:formatCode>
                <c:ptCount val="1"/>
                <c:pt idx="0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E8-41A3-8BFC-59873387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'MFP-rsum'!$AL$2:$AL$23</c:f>
              <c:numCache>
                <c:formatCode>General</c:formatCode>
                <c:ptCount val="22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</c:numCache>
            </c:numRef>
          </c:xVal>
          <c:yVal>
            <c:numRef>
              <c:f>'MFP-rsum'!$T$2:$T$22</c:f>
              <c:numCache>
                <c:formatCode>0.00E+00</c:formatCode>
                <c:ptCount val="21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48-4460-911F-D29483EFD993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'MFP-rsum'!$AL$23:$AL$40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'MFP-rsum'!$T$23:$T$40</c:f>
              <c:numCache>
                <c:formatCode>0.00E+00</c:formatCode>
                <c:ptCount val="18"/>
                <c:pt idx="0">
                  <c:v>2.9788000000000001E-10</c:v>
                </c:pt>
                <c:pt idx="1">
                  <c:v>1.9472000000000003E-10</c:v>
                </c:pt>
                <c:pt idx="2">
                  <c:v>2.3803E-10</c:v>
                </c:pt>
                <c:pt idx="3">
                  <c:v>2.0225E-10</c:v>
                </c:pt>
                <c:pt idx="4">
                  <c:v>1.9924399999999998E-10</c:v>
                </c:pt>
                <c:pt idx="5">
                  <c:v>1.9765999999999999E-10</c:v>
                </c:pt>
                <c:pt idx="6">
                  <c:v>1.9799999999999999E-10</c:v>
                </c:pt>
                <c:pt idx="7">
                  <c:v>1.9834000000000001E-10</c:v>
                </c:pt>
                <c:pt idx="8">
                  <c:v>2.7411999999999998E-10</c:v>
                </c:pt>
                <c:pt idx="9">
                  <c:v>2.9247459999999999E-10</c:v>
                </c:pt>
                <c:pt idx="10">
                  <c:v>2.5429000000000001E-10</c:v>
                </c:pt>
                <c:pt idx="11">
                  <c:v>2.8291599999999996E-10</c:v>
                </c:pt>
                <c:pt idx="12">
                  <c:v>2.1940000000000001E-10</c:v>
                </c:pt>
                <c:pt idx="13">
                  <c:v>2.8818000000000003E-10</c:v>
                </c:pt>
                <c:pt idx="14">
                  <c:v>2.8778800000000003E-10</c:v>
                </c:pt>
                <c:pt idx="15">
                  <c:v>3.0851800000000002E-10</c:v>
                </c:pt>
                <c:pt idx="16">
                  <c:v>3.2822400000000001E-10</c:v>
                </c:pt>
                <c:pt idx="17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48-4460-911F-D29483EFD993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'MFP-rsum'!$T$41</c:f>
              <c:numCache>
                <c:formatCode>0.00E+00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48-4460-911F-D29483EFD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'[1]MFP-rsum'!$BG$2:$BG$4</c:f>
              <c:numCache>
                <c:formatCode>General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'[1]MFP-rsum'!$AQ$2:$AQ$4</c:f>
              <c:numCache>
                <c:formatCode>General</c:formatCode>
                <c:ptCount val="3"/>
                <c:pt idx="0">
                  <c:v>3.5020163515113658E-10</c:v>
                </c:pt>
                <c:pt idx="1">
                  <c:v>3.6556534571800534E-10</c:v>
                </c:pt>
                <c:pt idx="2">
                  <c:v>4.2816386420947E-10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2-4B41-A59F-3BB6DF50BCE1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'[1]MFP-rsum'!$BG$7:$BG$9</c:f>
              <c:numCache>
                <c:formatCode>General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'[1]MFP-rsum'!$AQ$7:$AQ$9</c:f>
              <c:numCache>
                <c:formatCode>General</c:formatCode>
                <c:ptCount val="3"/>
                <c:pt idx="0">
                  <c:v>3.9139936572305044E-10</c:v>
                </c:pt>
                <c:pt idx="1">
                  <c:v>4.3125848172746209E-10</c:v>
                </c:pt>
                <c:pt idx="2">
                  <c:v>4.4152298321701493E-10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2-4B41-A59F-3BB6DF50BCE1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'[1]MFP-rsum'!$BG$10:$BG$13</c:f>
              <c:numCache>
                <c:formatCode>General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'[1]MFP-rsum'!$AQ$10:$AQ$13</c:f>
              <c:numCache>
                <c:formatCode>General</c:formatCode>
                <c:ptCount val="4"/>
                <c:pt idx="0">
                  <c:v>2.5678418596676501E-10</c:v>
                </c:pt>
                <c:pt idx="1">
                  <c:v>2.4179714709519052E-10</c:v>
                </c:pt>
                <c:pt idx="2">
                  <c:v>3.0739804614922655E-10</c:v>
                </c:pt>
                <c:pt idx="3">
                  <c:v>3.0633262750424528E-10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B2-4B41-A59F-3BB6DF50BCE1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'[1]MFP-rsum'!$BG$14:$BG$16</c:f>
              <c:numCache>
                <c:formatCode>General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'[1]MFP-rsum'!$AQ$14:$AQ$16</c:f>
              <c:numCache>
                <c:formatCode>General</c:formatCode>
                <c:ptCount val="3"/>
                <c:pt idx="0">
                  <c:v>4.004371592485416E-10</c:v>
                </c:pt>
                <c:pt idx="2">
                  <c:v>3.3553552242144542E-10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2-4B41-A59F-3BB6DF50BCE1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('[1]MFP-rsum'!$BG$35,'[1]MFP-rsum'!$BG$28:$BG$30,'[1]MFP-rsum'!$BG$24:$BG$26)</c:f>
              <c:numCache>
                <c:formatCode>General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('[1]MFP-rsum'!$AQ$35,'[1]MFP-rsum'!$AQ$28:$AQ$30,'[1]MFP-rsum'!$AQ$24:$AQ$26)</c:f>
              <c:numCache>
                <c:formatCode>General</c:formatCode>
                <c:ptCount val="7"/>
                <c:pt idx="0">
                  <c:v>2.6946274087941797E-10</c:v>
                </c:pt>
                <c:pt idx="1">
                  <c:v>2.6219323241660306E-10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2.9961734518972644E-10</c:v>
                </c:pt>
                <c:pt idx="5">
                  <c:v>3.4185873702814765E-10</c:v>
                </c:pt>
                <c:pt idx="6">
                  <c:v>4.5395271003303991E-10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2-4B41-A59F-3BB6DF50BCE1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('[1]MFP-rsum'!$BG$23,'[1]MFP-rsum'!$BG$36:$BG$37)</c:f>
              <c:numCache>
                <c:formatCode>General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'[1]MFP-rsum'!$AQ$36:$AQ$37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B2-4B41-A59F-3BB6DF50BCE1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'[1]MFP-rsum'!$BG$41</c:f>
              <c:numCache>
                <c:formatCode>General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'[1]MFP-rsum'!$AQ$41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B2-4B41-A59F-3BB6DF50B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'[1]MFP-rsum'!$AV$2:$AV$22</c:f>
              <c:numCache>
                <c:formatCode>General</c:formatCode>
                <c:ptCount val="21"/>
                <c:pt idx="0">
                  <c:v>4269.1087370242376</c:v>
                </c:pt>
                <c:pt idx="1">
                  <c:v>3244.1979935953195</c:v>
                </c:pt>
                <c:pt idx="2">
                  <c:v>2869.8038485242841</c:v>
                </c:pt>
                <c:pt idx="5">
                  <c:v>3110.478857915858</c:v>
                </c:pt>
                <c:pt idx="6">
                  <c:v>2657.1618000655158</c:v>
                </c:pt>
                <c:pt idx="7">
                  <c:v>2210.6377568228363</c:v>
                </c:pt>
                <c:pt idx="8">
                  <c:v>3917.5733473420601</c:v>
                </c:pt>
                <c:pt idx="9">
                  <c:v>2566.1164547331541</c:v>
                </c:pt>
                <c:pt idx="10">
                  <c:v>2256.4072031288506</c:v>
                </c:pt>
                <c:pt idx="11">
                  <c:v>1706.9195730176784</c:v>
                </c:pt>
                <c:pt idx="12">
                  <c:v>3325.369452890061</c:v>
                </c:pt>
                <c:pt idx="14">
                  <c:v>2102.0122177701733</c:v>
                </c:pt>
                <c:pt idx="15">
                  <c:v>1332.8843910654564</c:v>
                </c:pt>
                <c:pt idx="16">
                  <c:v>1361.7772257843667</c:v>
                </c:pt>
              </c:numCache>
            </c:numRef>
          </c:xVal>
          <c:yVal>
            <c:numRef>
              <c:f>'MFP-rsum'!$BC$2:$BC$22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B-4B56-8C4A-735E2F7828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'[1]MFP-rsum'!$AV$23:$AV$40</c:f>
              <c:numCache>
                <c:formatCode>General</c:formatCode>
                <c:ptCount val="18"/>
                <c:pt idx="0">
                  <c:v>3031.5021274627966</c:v>
                </c:pt>
                <c:pt idx="1">
                  <c:v>4489.23185837235</c:v>
                </c:pt>
                <c:pt idx="2">
                  <c:v>3928.5026616668206</c:v>
                </c:pt>
                <c:pt idx="3">
                  <c:v>4749.3953484419217</c:v>
                </c:pt>
                <c:pt idx="4">
                  <c:v>4937.466210619561</c:v>
                </c:pt>
                <c:pt idx="5">
                  <c:v>3795.8303809762697</c:v>
                </c:pt>
                <c:pt idx="6">
                  <c:v>3449.509084380104</c:v>
                </c:pt>
                <c:pt idx="7">
                  <c:v>3132.7084908009401</c:v>
                </c:pt>
                <c:pt idx="8">
                  <c:v>3532.8676528038841</c:v>
                </c:pt>
                <c:pt idx="9">
                  <c:v>3321.033763100063</c:v>
                </c:pt>
                <c:pt idx="10">
                  <c:v>4633.4649403519479</c:v>
                </c:pt>
                <c:pt idx="11">
                  <c:v>3647.3492314127866</c:v>
                </c:pt>
                <c:pt idx="12">
                  <c:v>3505.1330931193306</c:v>
                </c:pt>
                <c:pt idx="13">
                  <c:v>1402.3754205361033</c:v>
                </c:pt>
                <c:pt idx="14">
                  <c:v>1611.4557750945648</c:v>
                </c:pt>
                <c:pt idx="15">
                  <c:v>2628.0818161314883</c:v>
                </c:pt>
                <c:pt idx="16">
                  <c:v>2395.4780479310921</c:v>
                </c:pt>
                <c:pt idx="17">
                  <c:v>2231.6285138229914</c:v>
                </c:pt>
              </c:numCache>
            </c:numRef>
          </c:xVal>
          <c:yVal>
            <c:numRef>
              <c:f>'MFP-rsum'!$BC$23:$BC$40</c:f>
              <c:numCache>
                <c:formatCode>0.00E+00</c:formatCode>
                <c:ptCount val="18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 formatCode="General">
                  <c:v>1348.6175138087231</c:v>
                </c:pt>
                <c:pt idx="16" formatCode="General">
                  <c:v>1272.126022947567</c:v>
                </c:pt>
                <c:pt idx="17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B-4B56-8C4A-735E2F782868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'[1]MFP-rsum'!$AV$41</c:f>
              <c:numCache>
                <c:formatCode>General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'MFP-rsum'!$BC$41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9B-4B56-8C4A-735E2F782868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B59B-4B56-8C4A-735E2F782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'[1]MFP-rsum'!$AY$2:$AY$22</c:f>
              <c:numCache>
                <c:formatCode>General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  <c:pt idx="8">
                  <c:v>87.9</c:v>
                </c:pt>
                <c:pt idx="9">
                  <c:v>94.9</c:v>
                </c:pt>
                <c:pt idx="10">
                  <c:v>99.914000000000001</c:v>
                </c:pt>
                <c:pt idx="11">
                  <c:v>99</c:v>
                </c:pt>
                <c:pt idx="12">
                  <c:v>92.048000000000002</c:v>
                </c:pt>
                <c:pt idx="13">
                  <c:v>102.533</c:v>
                </c:pt>
                <c:pt idx="14">
                  <c:v>104.6</c:v>
                </c:pt>
                <c:pt idx="15">
                  <c:v>155.6</c:v>
                </c:pt>
                <c:pt idx="16">
                  <c:v>141</c:v>
                </c:pt>
                <c:pt idx="17">
                  <c:v>123</c:v>
                </c:pt>
                <c:pt idx="18">
                  <c:v>168</c:v>
                </c:pt>
                <c:pt idx="19">
                  <c:v>174</c:v>
                </c:pt>
                <c:pt idx="20">
                  <c:v>150</c:v>
                </c:pt>
              </c:numCache>
            </c:numRef>
          </c:xVal>
          <c:yVal>
            <c:numRef>
              <c:f>'MFP-rsum'!$AL$2:$AL$22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8-4FC4-AAC8-E31FAB04E1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'[1]MFP-rsum'!$AY$23:$AY$40</c:f>
              <c:numCache>
                <c:formatCode>General</c:formatCode>
                <c:ptCount val="18"/>
                <c:pt idx="0">
                  <c:v>79.503360000000001</c:v>
                </c:pt>
                <c:pt idx="1">
                  <c:v>72.25800000000001</c:v>
                </c:pt>
                <c:pt idx="2">
                  <c:v>66.024000000000001</c:v>
                </c:pt>
                <c:pt idx="3">
                  <c:v>82.635000000000005</c:v>
                </c:pt>
                <c:pt idx="4">
                  <c:v>73.469400000000007</c:v>
                </c:pt>
                <c:pt idx="5">
                  <c:v>70.599000000000004</c:v>
                </c:pt>
                <c:pt idx="6">
                  <c:v>71.578500000000005</c:v>
                </c:pt>
                <c:pt idx="7">
                  <c:v>72.558000000000007</c:v>
                </c:pt>
                <c:pt idx="8">
                  <c:v>86.14464000000001</c:v>
                </c:pt>
                <c:pt idx="9">
                  <c:v>74.557488799999987</c:v>
                </c:pt>
                <c:pt idx="10">
                  <c:v>69.858500000000006</c:v>
                </c:pt>
                <c:pt idx="11">
                  <c:v>68.606440000000006</c:v>
                </c:pt>
                <c:pt idx="12">
                  <c:v>66.600000000000009</c:v>
                </c:pt>
                <c:pt idx="13">
                  <c:v>99.360600000000005</c:v>
                </c:pt>
                <c:pt idx="14">
                  <c:v>97.109960000000001</c:v>
                </c:pt>
                <c:pt idx="15">
                  <c:v>100.416</c:v>
                </c:pt>
                <c:pt idx="16">
                  <c:v>110.928</c:v>
                </c:pt>
                <c:pt idx="17">
                  <c:v>121.44</c:v>
                </c:pt>
              </c:numCache>
            </c:numRef>
          </c:xVal>
          <c:yVal>
            <c:numRef>
              <c:f>'MFP-rsum'!$AL$23:$AL$40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78-4FC4-AAC8-E31FAB04E1F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'[1]MFP-rsum'!$AY$41</c:f>
              <c:numCache>
                <c:formatCode>General</c:formatCode>
                <c:ptCount val="1"/>
                <c:pt idx="0">
                  <c:v>75.38</c:v>
                </c:pt>
              </c:numCache>
            </c:numRef>
          </c:xVal>
          <c:y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78-4FC4-AAC8-E31FAB04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('[1]MFP-rsum'!$AQ$7:$AQ$9,'[1]MFP-rsum'!$AQ$7:$AQ$9)</c:f>
              <c:numCache>
                <c:formatCode>General</c:formatCode>
                <c:ptCount val="6"/>
                <c:pt idx="0">
                  <c:v>3.9139936572305044E-10</c:v>
                </c:pt>
                <c:pt idx="1">
                  <c:v>4.3125848172746209E-10</c:v>
                </c:pt>
                <c:pt idx="2">
                  <c:v>4.4152298321701493E-10</c:v>
                </c:pt>
                <c:pt idx="3">
                  <c:v>3.9139936572305044E-10</c:v>
                </c:pt>
                <c:pt idx="4">
                  <c:v>4.3125848172746209E-10</c:v>
                </c:pt>
                <c:pt idx="5">
                  <c:v>4.4152298321701493E-10</c:v>
                </c:pt>
              </c:numCache>
            </c:numRef>
          </c:xVal>
          <c:yVal>
            <c:numRef>
              <c:f>'[1]MFP-rsum'!$AM$7:$AM$9</c:f>
              <c:numCache>
                <c:formatCode>General</c:formatCode>
                <c:ptCount val="3"/>
                <c:pt idx="0">
                  <c:v>2.5700000000000004E-10</c:v>
                </c:pt>
                <c:pt idx="1">
                  <c:v>2.8300000000000001E-10</c:v>
                </c:pt>
                <c:pt idx="2">
                  <c:v>3.1899999999999998E-10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B-49A7-9C4E-123F7845B938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('[1]MFP-rsum'!$AQ$2:$AQ$4,'[1]MFP-rsum'!$AQ$10,'[1]MFP-rsum'!$AQ$10:$AQ$13)</c:f>
              <c:numCache>
                <c:formatCode>General</c:formatCode>
                <c:ptCount val="8"/>
                <c:pt idx="0">
                  <c:v>3.5020163515113658E-10</c:v>
                </c:pt>
                <c:pt idx="1">
                  <c:v>3.6556534571800534E-10</c:v>
                </c:pt>
                <c:pt idx="2">
                  <c:v>4.2816386420947E-10</c:v>
                </c:pt>
                <c:pt idx="3">
                  <c:v>2.5678418596676501E-10</c:v>
                </c:pt>
                <c:pt idx="4">
                  <c:v>2.5678418596676501E-10</c:v>
                </c:pt>
                <c:pt idx="5">
                  <c:v>2.4179714709519052E-10</c:v>
                </c:pt>
                <c:pt idx="6">
                  <c:v>3.0739804614922655E-10</c:v>
                </c:pt>
                <c:pt idx="7">
                  <c:v>3.0633262750424528E-10</c:v>
                </c:pt>
              </c:numCache>
            </c:numRef>
          </c:xVal>
          <c:yVal>
            <c:numRef>
              <c:f>('[1]MFP-rsum'!$AM$2:$AM$4,'[1]MFP-rsum'!$AM$10,'[1]MFP-rsum'!$AM$11,'[1]MFP-rsum'!$AM$12,'[1]MFP-rsum'!$AM$13)</c:f>
              <c:numCache>
                <c:formatCode>General</c:formatCode>
                <c:ptCount val="7"/>
                <c:pt idx="0">
                  <c:v>2.0900000000000005E-10</c:v>
                </c:pt>
                <c:pt idx="1">
                  <c:v>2.3499999999999996E-10</c:v>
                </c:pt>
                <c:pt idx="2">
                  <c:v>2.710000000000001E-10</c:v>
                </c:pt>
                <c:pt idx="3">
                  <c:v>1.6699999999999999E-10</c:v>
                </c:pt>
                <c:pt idx="4">
                  <c:v>2.0499999999999996E-10</c:v>
                </c:pt>
                <c:pt idx="5">
                  <c:v>2.3299999999999997E-10</c:v>
                </c:pt>
                <c:pt idx="6">
                  <c:v>2.5100000000000012E-10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B-49A7-9C4E-123F7845B938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'[1]MFP-rsum'!$AQ$31:$AQ$32</c:f>
              <c:numCache>
                <c:formatCode>General</c:formatCode>
                <c:ptCount val="2"/>
                <c:pt idx="0">
                  <c:v>3.9568089407094871E-10</c:v>
                </c:pt>
                <c:pt idx="1">
                  <c:v>3.6921059218577845E-10</c:v>
                </c:pt>
              </c:numCache>
            </c:numRef>
          </c:xVal>
          <c:yVal>
            <c:numRef>
              <c:f>'[1]MFP-rsum'!$AM$31:$AM$32</c:f>
              <c:numCache>
                <c:formatCode>General</c:formatCode>
                <c:ptCount val="2"/>
                <c:pt idx="0">
                  <c:v>2.2842400000000006E-10</c:v>
                </c:pt>
                <c:pt idx="1">
                  <c:v>2.2510131898000011E-10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BB-49A7-9C4E-123F7845B938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('[1]MFP-rsum'!$AQ$24:$AQ$25,'[1]MFP-rsum'!$AQ$28,'[1]MFP-rsum'!$AQ$33,'[1]MFP-rsum'!$AQ$35)</c:f>
              <c:numCache>
                <c:formatCode>General</c:formatCode>
                <c:ptCount val="5"/>
                <c:pt idx="0">
                  <c:v>2.9961734518972644E-10</c:v>
                </c:pt>
                <c:pt idx="1">
                  <c:v>3.4185873702814765E-10</c:v>
                </c:pt>
                <c:pt idx="2">
                  <c:v>2.6219323241660306E-10</c:v>
                </c:pt>
                <c:pt idx="3">
                  <c:v>4.7554516048842846E-10</c:v>
                </c:pt>
                <c:pt idx="4">
                  <c:v>2.6946274087941797E-10</c:v>
                </c:pt>
              </c:numCache>
            </c:numRef>
          </c:xVal>
          <c:yVal>
            <c:numRef>
              <c:f>('[1]MFP-rsum'!$AM$24:$AM$25,'[1]MFP-rsum'!$AM$28,'[1]MFP-rsum'!$AM$33,'[1]MFP-rsum'!$AM$35)</c:f>
              <c:numCache>
                <c:formatCode>General</c:formatCode>
                <c:ptCount val="5"/>
                <c:pt idx="0">
                  <c:v>1.7003600000000001E-10</c:v>
                </c:pt>
                <c:pt idx="1">
                  <c:v>1.7512524999999998E-10</c:v>
                </c:pt>
                <c:pt idx="2">
                  <c:v>1.7597899999999999E-10</c:v>
                </c:pt>
                <c:pt idx="3">
                  <c:v>1.9348255000000005E-10</c:v>
                </c:pt>
                <c:pt idx="4">
                  <c:v>1.7668000000000003E-10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BB-49A7-9C4E-123F7845B938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'[1]MFP-rsum'!$AQ$36:$AQ$37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xVal>
          <c:yVal>
            <c:numRef>
              <c:f>'[1]MFP-rsum'!$AM$36:$AM$37</c:f>
              <c:numCache>
                <c:formatCode>General</c:formatCode>
                <c:ptCount val="2"/>
                <c:pt idx="0">
                  <c:v>2.3736419999999999E-10</c:v>
                </c:pt>
                <c:pt idx="1">
                  <c:v>2.3873015199999994E-10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BB-49A7-9C4E-123F7845B938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('[1]MFP-rsum'!$AQ$26:$AQ$27,'[1]MFP-rsum'!$AQ$29:$AQ$30,'[1]MFP-rsum'!$AQ$38:$AQ$40)</c:f>
              <c:numCache>
                <c:formatCode>General</c:formatCode>
                <c:ptCount val="7"/>
                <c:pt idx="0">
                  <c:v>4.5395271003303991E-10</c:v>
                </c:pt>
                <c:pt idx="1">
                  <c:v>3.6941149917364205E-10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3.3093601826261176E-10</c:v>
                </c:pt>
                <c:pt idx="5">
                  <c:v>3.171208353723041E-10</c:v>
                </c:pt>
                <c:pt idx="6">
                  <c:v>3.1210834180383304E-10</c:v>
                </c:pt>
              </c:numCache>
            </c:numRef>
          </c:xVal>
          <c:yVal>
            <c:numRef>
              <c:f>('[1]MFP-rsum'!$AM$26:$AM$27,'[1]MFP-rsum'!$AM$29:$AM$30,'[1]MFP-rsum'!$AM$38:$AM$40)</c:f>
              <c:numCache>
                <c:formatCode>General</c:formatCode>
                <c:ptCount val="7"/>
                <c:pt idx="0">
                  <c:v>1.7027145000000005E-10</c:v>
                </c:pt>
                <c:pt idx="1">
                  <c:v>1.7351204000000004E-10</c:v>
                </c:pt>
                <c:pt idx="2">
                  <c:v>1.7534405000000001E-10</c:v>
                </c:pt>
                <c:pt idx="3">
                  <c:v>1.7473239999999999E-10</c:v>
                </c:pt>
                <c:pt idx="4">
                  <c:v>1.6982200000000003E-10</c:v>
                </c:pt>
                <c:pt idx="5">
                  <c:v>1.68408E-10</c:v>
                </c:pt>
                <c:pt idx="6">
                  <c:v>1.6994999999999999E-10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BB-49A7-9C4E-123F7845B938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'[1]MFP-rsum'!$AQ$17:$AQ$18</c:f>
              <c:numCache>
                <c:formatCode>General</c:formatCode>
                <c:ptCount val="2"/>
                <c:pt idx="0">
                  <c:v>2.4428327814458135E-10</c:v>
                </c:pt>
                <c:pt idx="1">
                  <c:v>2.8444875708406813E-10</c:v>
                </c:pt>
              </c:numCache>
            </c:numRef>
          </c:xVal>
          <c:yVal>
            <c:numRef>
              <c:f>'[1]MFP-rsum'!$AM$17:$AM$18</c:f>
              <c:numCache>
                <c:formatCode>General</c:formatCode>
                <c:ptCount val="2"/>
                <c:pt idx="0">
                  <c:v>3.3300000000000009E-10</c:v>
                </c:pt>
                <c:pt idx="1">
                  <c:v>3.6899999999999997E-10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BB-49A7-9C4E-123F7845B938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'[1]MFP-rsum'!$AQ$41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'[1]MFP-rsum'!$AM$41</c:f>
              <c:numCache>
                <c:formatCode>General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BB-49A7-9C4E-123F7845B938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EDBB-49A7-9C4E-123F7845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'MFP-rsum'!$AL$2:$AL$22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'MFP-rsum'!$BQ$2:$BQ$22</c:f>
              <c:numCache>
                <c:formatCode>0.00E+00</c:formatCode>
                <c:ptCount val="21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A-4CD1-A217-0B2226BFF2FF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'MFP-rsum'!$AL$23:$AL$40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'MFP-rsum'!$BQ$23:$BQ$40</c:f>
              <c:numCache>
                <c:formatCode>0.00E+00</c:formatCode>
                <c:ptCount val="18"/>
                <c:pt idx="0">
                  <c:v>1.0012622656050758</c:v>
                </c:pt>
                <c:pt idx="1">
                  <c:v>2.144655542532433</c:v>
                </c:pt>
                <c:pt idx="2">
                  <c:v>1.6298057692991486</c:v>
                </c:pt>
                <c:pt idx="3">
                  <c:v>1.5504478427913193</c:v>
                </c:pt>
                <c:pt idx="4">
                  <c:v>2.0064012128967437</c:v>
                </c:pt>
                <c:pt idx="5">
                  <c:v>2.2300161190678374</c:v>
                </c:pt>
                <c:pt idx="6">
                  <c:v>2.1356383331820226</c:v>
                </c:pt>
                <c:pt idx="7">
                  <c:v>2.0526582519863603</c:v>
                </c:pt>
                <c:pt idx="8">
                  <c:v>0.95534428289130302</c:v>
                </c:pt>
                <c:pt idx="9">
                  <c:v>1.1063673947365391</c:v>
                </c:pt>
                <c:pt idx="10">
                  <c:v>1.3291703880030297</c:v>
                </c:pt>
                <c:pt idx="11">
                  <c:v>1.2281188280731332</c:v>
                </c:pt>
                <c:pt idx="12">
                  <c:v>2.1139799374338306</c:v>
                </c:pt>
                <c:pt idx="13">
                  <c:v>0.90213603838016931</c:v>
                </c:pt>
                <c:pt idx="14">
                  <c:v>0.90973865348690997</c:v>
                </c:pt>
                <c:pt idx="15">
                  <c:v>1.3814693608443664</c:v>
                </c:pt>
                <c:pt idx="16">
                  <c:v>1.418806200605961</c:v>
                </c:pt>
                <c:pt idx="17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CA-4CD1-A217-0B2226BFF2F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'MFP-rsum'!$BQ$41</c:f>
              <c:numCache>
                <c:formatCode>0.00E+00</c:formatCode>
                <c:ptCount val="1"/>
                <c:pt idx="0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CA-4CD1-A217-0B2226BFF2FF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DCA-4CD1-A217-0B2226BF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kExp.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1/3*cp*vs*davg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'[1]MFP-rsum'!$AH$7:$AH$9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'MFP-rsum'!$AL$7:$AL$9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C-4295-AA6D-9B7FAE5B96E4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('[1]MFP-rsum'!$AH$3:$AH$4,'[1]MFP-rsum'!$AH$10:$AH$13)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('MFP-rsum'!$AL$3:$AL$4,'MFP-rsum'!$AL$10:$AL$13)</c:f>
              <c:numCache>
                <c:formatCode>General</c:formatCode>
                <c:ptCount val="6"/>
                <c:pt idx="0">
                  <c:v>0.82789999999999997</c:v>
                </c:pt>
                <c:pt idx="1">
                  <c:v>0.56999999999999995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C-4295-AA6D-9B7FAE5B96E4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'[1]MFP-rsum'!$AH$31:$AH$32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'MFP-rsum'!$AL$31:$AL$32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C-4295-AA6D-9B7FAE5B96E4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('[1]MFP-rsum'!$AH$24,'[1]MFP-rsum'!$AH$25,'[1]MFP-rsum'!$AH$28,'[1]MFP-rsum'!$AH$33,'[1]MFP-rsum'!$AH$35)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('MFP-rsum'!$AL$24,'MFP-rsum'!$AL$25,'MFP-rsum'!$AL$28,'MFP-rsum'!$AL$33,'MFP-rsum'!$AL$35)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8C-4295-AA6D-9B7FAE5B96E4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'[1]MFP-rsum'!$AH$36:$AH$37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'MFP-rsum'!$AL$36:$AL$37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8C-4295-AA6D-9B7FAE5B96E4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('[1]MFP-rsum'!$AH$26:$AH$27,'[1]MFP-rsum'!$AH$29:$AH$30,'[1]MFP-rsum'!$AH$38:$AH$40)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('MFP-rsum'!$AL$26:$AL$27,'MFP-rsum'!$AL$29:$AL$30,'MFP-rsum'!$AL$38:$AL$40)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8C-4295-AA6D-9B7FAE5B96E4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'[1]MFP-rsum'!$AH$17:$AH$18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'MFP-rsum'!$AL$17:$AL$18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8C-4295-AA6D-9B7FAE5B96E4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'[1]MFP-rsum'!$AH$41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F8C-4295-AA6D-9B7FAE5B96E4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5F8C-4295-AA6D-9B7FAE5B9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('[1]MFP-rsum'!$BA$7,'[1]MFP-rsum'!$BA$8,'[1]MFP-rsum'!$BA$9,'[1]MFP-rsum'!$BA$14)</c:f>
              <c:numCache>
                <c:formatCode>General</c:formatCode>
                <c:ptCount val="4"/>
                <c:pt idx="0">
                  <c:v>99.022516573201301</c:v>
                </c:pt>
                <c:pt idx="1">
                  <c:v>106.09263426807742</c:v>
                </c:pt>
                <c:pt idx="2">
                  <c:v>101.86862559489748</c:v>
                </c:pt>
                <c:pt idx="3">
                  <c:v>145.68948472138237</c:v>
                </c:pt>
              </c:numCache>
            </c:numRef>
          </c:xVal>
          <c:yVal>
            <c:numRef>
              <c:f>('[1]MFP-rsum'!$AY$7,'[1]MFP-rsum'!$AY$8,'[1]MFP-rsum'!$AY$9,'[1]MFP-rsum'!$AY$14)</c:f>
              <c:numCache>
                <c:formatCode>General</c:formatCode>
                <c:ptCount val="4"/>
                <c:pt idx="0">
                  <c:v>65.02</c:v>
                </c:pt>
                <c:pt idx="1">
                  <c:v>69.62</c:v>
                </c:pt>
                <c:pt idx="2">
                  <c:v>73.599999999999994</c:v>
                </c:pt>
                <c:pt idx="3">
                  <c:v>92.048000000000002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5-4ED8-8392-28C2F7E462D1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('[1]MFP-rsum'!$BA$2:$BA$4,'[1]MFP-rsum'!$BA$10:$BA$13)</c:f>
              <c:numCache>
                <c:formatCode>General</c:formatCode>
                <c:ptCount val="7"/>
                <c:pt idx="0">
                  <c:v>107.57389941006203</c:v>
                </c:pt>
                <c:pt idx="1">
                  <c:v>109.20292455065521</c:v>
                </c:pt>
                <c:pt idx="2">
                  <c:v>105.69801666278057</c:v>
                </c:pt>
                <c:pt idx="3">
                  <c:v>135.15766435017156</c:v>
                </c:pt>
                <c:pt idx="4">
                  <c:v>111.93438663089556</c:v>
                </c:pt>
                <c:pt idx="5">
                  <c:v>131.8170316864971</c:v>
                </c:pt>
                <c:pt idx="6">
                  <c:v>120.82442280047917</c:v>
                </c:pt>
              </c:numCache>
            </c:numRef>
          </c:xVal>
          <c:yVal>
            <c:numRef>
              <c:f>('[1]MFP-rsum'!$AY$2:$AY$4,'[1]MFP-rsum'!$AY$10,'[1]MFP-rsum'!$AY$11,'[1]MFP-rsum'!$AY$12,'[1]MFP-rsum'!$AY$13)</c:f>
              <c:numCache>
                <c:formatCode>General</c:formatCode>
                <c:ptCount val="7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87.9</c:v>
                </c:pt>
                <c:pt idx="4">
                  <c:v>94.9</c:v>
                </c:pt>
                <c:pt idx="5">
                  <c:v>99.914000000000001</c:v>
                </c:pt>
                <c:pt idx="6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5-4ED8-8392-28C2F7E462D1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('[1]MFP-rsum'!$BA$23,'[1]MFP-rsum'!$BA$31,'[1]MFP-rsum'!$BA$32,'[1]MFP-rsum'!$BA$34)</c:f>
              <c:numCache>
                <c:formatCode>General</c:formatCode>
                <c:ptCount val="4"/>
                <c:pt idx="0">
                  <c:v>122.46486458212317</c:v>
                </c:pt>
                <c:pt idx="1">
                  <c:v>149.22157117737191</c:v>
                </c:pt>
                <c:pt idx="2">
                  <c:v>122.288997312265</c:v>
                </c:pt>
                <c:pt idx="3">
                  <c:v>120.0218356093734</c:v>
                </c:pt>
              </c:numCache>
            </c:numRef>
          </c:xVal>
          <c:yVal>
            <c:numRef>
              <c:f>('[1]MFP-rsum'!$AY$23,'[1]MFP-rsum'!$AY$31,'[1]MFP-rsum'!$AY$32,'[1]MFP-rsum'!$AY$34,'[1]MFP-rsum'!$AY$36,'[1]MFP-rsum'!$AY$36)</c:f>
              <c:numCache>
                <c:formatCode>General</c:formatCode>
                <c:ptCount val="6"/>
                <c:pt idx="0">
                  <c:v>79.503360000000001</c:v>
                </c:pt>
                <c:pt idx="1">
                  <c:v>86.14464000000001</c:v>
                </c:pt>
                <c:pt idx="2">
                  <c:v>74.557488799999987</c:v>
                </c:pt>
                <c:pt idx="3">
                  <c:v>68.606440000000006</c:v>
                </c:pt>
                <c:pt idx="4">
                  <c:v>99.360600000000005</c:v>
                </c:pt>
                <c:pt idx="5">
                  <c:v>99.360600000000005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5-4ED8-8392-28C2F7E462D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('[1]MFP-rsum'!$BA$24:$BA$25,'[1]MFP-rsum'!$BA$28,'[1]MFP-rsum'!$BA$33,'[1]MFP-rsum'!$BA$35)</c:f>
              <c:numCache>
                <c:formatCode>General</c:formatCode>
                <c:ptCount val="5"/>
                <c:pt idx="0">
                  <c:v>127.32450850831152</c:v>
                </c:pt>
                <c:pt idx="1">
                  <c:v>128.88422002850203</c:v>
                </c:pt>
                <c:pt idx="2">
                  <c:v>105.18630072553975</c:v>
                </c:pt>
                <c:pt idx="3">
                  <c:v>171.69957494348131</c:v>
                </c:pt>
                <c:pt idx="4">
                  <c:v>101.57470309355466</c:v>
                </c:pt>
              </c:numCache>
            </c:numRef>
          </c:xVal>
          <c:yVal>
            <c:numRef>
              <c:f>('[1]MFP-rsum'!$AY$24:$AY$25,'[1]MFP-rsum'!$AY$28,'[1]MFP-rsum'!$AY$33,'[1]MFP-rsum'!$AY$35)</c:f>
              <c:numCache>
                <c:formatCode>General</c:formatCode>
                <c:ptCount val="5"/>
                <c:pt idx="0">
                  <c:v>72.25800000000001</c:v>
                </c:pt>
                <c:pt idx="1">
                  <c:v>66.024000000000001</c:v>
                </c:pt>
                <c:pt idx="2">
                  <c:v>70.599000000000004</c:v>
                </c:pt>
                <c:pt idx="3">
                  <c:v>69.858500000000006</c:v>
                </c:pt>
                <c:pt idx="4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5-4ED8-8392-28C2F7E462D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'[1]MFP-rsum'!$BA$36:$BA$37</c:f>
              <c:numCache>
                <c:formatCode>General</c:formatCode>
                <c:ptCount val="2"/>
                <c:pt idx="0">
                  <c:v>95.981343172363822</c:v>
                </c:pt>
                <c:pt idx="1">
                  <c:v>106.42171733973825</c:v>
                </c:pt>
              </c:numCache>
            </c:numRef>
          </c:xVal>
          <c:yVal>
            <c:numRef>
              <c:f>'[1]MFP-rsum'!$AY$36:$AY$37</c:f>
              <c:numCache>
                <c:formatCode>General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55-4ED8-8392-28C2F7E462D1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('[1]MFP-rsum'!$BA$26:$BA$27,'[1]MFP-rsum'!$BA$29:$BA$30,'[1]MFP-rsum'!$BA$38:$BA$40)</c:f>
              <c:numCache>
                <c:formatCode>General</c:formatCode>
                <c:ptCount val="7"/>
                <c:pt idx="0">
                  <c:v>220.30928962888524</c:v>
                </c:pt>
                <c:pt idx="1">
                  <c:v>156.41820128094841</c:v>
                </c:pt>
                <c:pt idx="2">
                  <c:v>101.11538617334517</c:v>
                </c:pt>
                <c:pt idx="3">
                  <c:v>96.776100919165899</c:v>
                </c:pt>
                <c:pt idx="4">
                  <c:v>195.68295750761632</c:v>
                </c:pt>
                <c:pt idx="5">
                  <c:v>208.88306984335037</c:v>
                </c:pt>
                <c:pt idx="6">
                  <c:v>223.02110637633118</c:v>
                </c:pt>
              </c:numCache>
            </c:numRef>
          </c:xVal>
          <c:yVal>
            <c:numRef>
              <c:f>('[1]MFP-rsum'!$AY$26:$AY$27,'[1]MFP-rsum'!$AY$29:$AY$30,'[1]MFP-rsum'!$AY$38:$AY$40)</c:f>
              <c:numCache>
                <c:formatCode>General</c:formatCode>
                <c:ptCount val="7"/>
                <c:pt idx="0">
                  <c:v>82.635000000000005</c:v>
                </c:pt>
                <c:pt idx="1">
                  <c:v>73.469400000000007</c:v>
                </c:pt>
                <c:pt idx="2">
                  <c:v>71.578500000000005</c:v>
                </c:pt>
                <c:pt idx="3">
                  <c:v>72.558000000000007</c:v>
                </c:pt>
                <c:pt idx="4">
                  <c:v>100.416</c:v>
                </c:pt>
                <c:pt idx="5">
                  <c:v>110.928</c:v>
                </c:pt>
                <c:pt idx="6">
                  <c:v>121.44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55-4ED8-8392-28C2F7E462D1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'[1]MFP-rsum'!$BA$17:$BA$18</c:f>
              <c:numCache>
                <c:formatCode>General</c:formatCode>
                <c:ptCount val="2"/>
                <c:pt idx="0">
                  <c:v>114.14557981770825</c:v>
                </c:pt>
                <c:pt idx="1">
                  <c:v>108.69180148740814</c:v>
                </c:pt>
              </c:numCache>
            </c:numRef>
          </c:xVal>
          <c:yVal>
            <c:numRef>
              <c:f>'[1]MFP-rsum'!$AY$17:$AY$18</c:f>
              <c:numCache>
                <c:formatCode>General</c:formatCode>
                <c:ptCount val="2"/>
                <c:pt idx="0">
                  <c:v>155.6</c:v>
                </c:pt>
                <c:pt idx="1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55-4ED8-8392-28C2F7E462D1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'[1]MFP-rsum'!$BA$41</c:f>
              <c:numCache>
                <c:formatCode>General</c:formatCode>
                <c:ptCount val="1"/>
                <c:pt idx="0">
                  <c:v>69.72997953693698</c:v>
                </c:pt>
              </c:numCache>
            </c:numRef>
          </c:xVal>
          <c:yVal>
            <c:numRef>
              <c:f>'[1]MFP-rsum'!$AY$41</c:f>
              <c:numCache>
                <c:formatCode>General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655-4ED8-8392-28C2F7E462D1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655-4ED8-8392-28C2F7E46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'[1]MFP-rsum'!$AV$7:$AV$9</c:f>
              <c:numCache>
                <c:formatCode>General</c:formatCode>
                <c:ptCount val="3"/>
                <c:pt idx="0">
                  <c:v>3110.478857915858</c:v>
                </c:pt>
                <c:pt idx="1">
                  <c:v>2657.1618000655158</c:v>
                </c:pt>
                <c:pt idx="2">
                  <c:v>2210.6377568228363</c:v>
                </c:pt>
              </c:numCache>
            </c:numRef>
          </c:xVal>
          <c:yVal>
            <c:numRef>
              <c:f>'MFP-rsum'!$BC$7:$BC$9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6-48F5-AC40-55D3B3D4D242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('[1]MFP-rsum'!$AV$10:$AV$13,'[1]MFP-rsum'!$AV$3:$AV$4)</c:f>
              <c:numCache>
                <c:formatCode>General</c:formatCode>
                <c:ptCount val="6"/>
                <c:pt idx="0">
                  <c:v>3917.5733473420601</c:v>
                </c:pt>
                <c:pt idx="1">
                  <c:v>2566.1164547331541</c:v>
                </c:pt>
                <c:pt idx="2">
                  <c:v>2256.4072031288506</c:v>
                </c:pt>
                <c:pt idx="3">
                  <c:v>1706.9195730176784</c:v>
                </c:pt>
                <c:pt idx="4">
                  <c:v>3244.1979935953195</c:v>
                </c:pt>
                <c:pt idx="5">
                  <c:v>2869.8038485242841</c:v>
                </c:pt>
              </c:numCache>
            </c:numRef>
          </c:xVal>
          <c:yVal>
            <c:numRef>
              <c:f>('MFP-rsum'!$BC$3:$BC$4,'MFP-rsum'!$BC$10:$BC$13)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6-48F5-AC40-55D3B3D4D242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'[1]MFP-rsum'!$AV$31:$AV$32</c:f>
              <c:numCache>
                <c:formatCode>General</c:formatCode>
                <c:ptCount val="2"/>
                <c:pt idx="0">
                  <c:v>3532.8676528038841</c:v>
                </c:pt>
                <c:pt idx="1">
                  <c:v>3321.033763100063</c:v>
                </c:pt>
              </c:numCache>
            </c:numRef>
          </c:xVal>
          <c:yVal>
            <c:numRef>
              <c:f>'MFP-rsum'!$BC$31:$BC$32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6-48F5-AC40-55D3B3D4D24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'[1]MFP-rsum'!$AV$24:$AV$25</c:f>
              <c:numCache>
                <c:formatCode>General</c:formatCode>
                <c:ptCount val="2"/>
                <c:pt idx="0">
                  <c:v>4489.23185837235</c:v>
                </c:pt>
                <c:pt idx="1">
                  <c:v>3928.5026616668206</c:v>
                </c:pt>
              </c:numCache>
            </c:numRef>
          </c:xVal>
          <c:yVal>
            <c:numRef>
              <c:f>'MFP-rsum'!$BC$24:$BC$25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6-48F5-AC40-55D3B3D4D24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D6-48F5-AC40-55D3B3D4D2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D6-48F5-AC40-55D3B3D4D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'[1]MFP-rsum'!$AV$36:$AV$37</c:f>
              <c:numCache>
                <c:formatCode>General</c:formatCode>
                <c:ptCount val="2"/>
                <c:pt idx="0">
                  <c:v>1402.3754205361033</c:v>
                </c:pt>
                <c:pt idx="1">
                  <c:v>1611.4557750945648</c:v>
                </c:pt>
              </c:numCache>
            </c:numRef>
          </c:xVal>
          <c:yVal>
            <c:numRef>
              <c:f>'MFP-rsum'!$BC$36:$BC$37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D6-48F5-AC40-55D3B3D4D242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D6-48F5-AC40-55D3B3D4D2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D6-48F5-AC40-55D3B3D4D24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D6-48F5-AC40-55D3B3D4D24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D6-48F5-AC40-55D3B3D4D242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'MFP-rsum'!$A$38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0D6-48F5-AC40-55D3B3D4D242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'MFP-rsum'!$A$39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0D6-48F5-AC40-55D3B3D4D242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'MFP-rsum'!$A$40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0D6-48F5-AC40-55D3B3D4D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('[1]MFP-rsum'!$AV$26:$AV$27,'[1]MFP-rsum'!$AV$29:$AV$30,'[1]MFP-rsum'!$AV$38:$AV$40)</c:f>
              <c:numCache>
                <c:formatCode>General</c:formatCode>
                <c:ptCount val="7"/>
                <c:pt idx="0">
                  <c:v>4749.3953484419217</c:v>
                </c:pt>
                <c:pt idx="1">
                  <c:v>4937.466210619561</c:v>
                </c:pt>
                <c:pt idx="2">
                  <c:v>3449.509084380104</c:v>
                </c:pt>
                <c:pt idx="3">
                  <c:v>3132.7084908009401</c:v>
                </c:pt>
                <c:pt idx="4">
                  <c:v>2628.0818161314883</c:v>
                </c:pt>
                <c:pt idx="5">
                  <c:v>2395.4780479310921</c:v>
                </c:pt>
                <c:pt idx="6">
                  <c:v>2231.6285138229914</c:v>
                </c:pt>
              </c:numCache>
            </c:numRef>
          </c:xVal>
          <c:yVal>
            <c:numRef>
              <c:f>('MFP-rsum'!$BC$26:$BC$27,'MFP-rsum'!$BC$29:$BC$30,'MFP-rsum'!$BC$38:$BC$40)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0D6-48F5-AC40-55D3B3D4D242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'[1]MFP-rsum'!$AV$17:$AV$18</c:f>
              <c:numCache>
                <c:formatCode>General</c:formatCode>
                <c:ptCount val="2"/>
                <c:pt idx="0">
                  <c:v>1332.8843910654564</c:v>
                </c:pt>
                <c:pt idx="1">
                  <c:v>1361.7772257843667</c:v>
                </c:pt>
              </c:numCache>
            </c:numRef>
          </c:xVal>
          <c:yVal>
            <c:numRef>
              <c:f>'MFP-rsum'!$BC$17:$BC$18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0D6-48F5-AC40-55D3B3D4D242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'[1]MFP-rsum'!$AV$41</c:f>
              <c:numCache>
                <c:formatCode>General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'MFP-rsum'!$BC$41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0D6-48F5-AC40-55D3B3D4D242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40D6-48F5-AC40-55D3B3D4D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'MFP-rsum'!$AM$46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'[1]MFP-rsum'!$AF$2:$AF$6</c:f>
              <c:numCache>
                <c:formatCode>General</c:formatCode>
                <c:ptCount val="5"/>
                <c:pt idx="0">
                  <c:v>0.72246877793114617</c:v>
                </c:pt>
                <c:pt idx="1">
                  <c:v>0.49109756053584946</c:v>
                </c:pt>
                <c:pt idx="2">
                  <c:v>0.32961603483108115</c:v>
                </c:pt>
                <c:pt idx="3">
                  <c:v>0.29579640687862813</c:v>
                </c:pt>
                <c:pt idx="4">
                  <c:v>0.28095436645910149</c:v>
                </c:pt>
              </c:numCache>
            </c:numRef>
          </c:xVal>
          <c:yVal>
            <c:numRef>
              <c:f>'MFP-rsum'!$AL$2:$AL$6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4-41E5-9C00-D8796949647E}"/>
            </c:ext>
          </c:extLst>
        </c:ser>
        <c:ser>
          <c:idx val="0"/>
          <c:order val="1"/>
          <c:tx>
            <c:strRef>
              <c:f>'MFP-rsum'!$AM$47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'[1]MFP-rsum'!$AF$7:$AF$9</c:f>
              <c:numCache>
                <c:formatCode>General</c:formatCode>
                <c:ptCount val="3"/>
                <c:pt idx="0">
                  <c:v>0.37226977205251366</c:v>
                </c:pt>
                <c:pt idx="1">
                  <c:v>0.28617343538334455</c:v>
                </c:pt>
                <c:pt idx="2">
                  <c:v>0.2397757949166118</c:v>
                </c:pt>
              </c:numCache>
            </c:numRef>
          </c:xVal>
          <c:yVal>
            <c:numRef>
              <c:f>'MFP-rsum'!$AL$7:$AL$9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54-41E5-9C00-D8796949647E}"/>
            </c:ext>
          </c:extLst>
        </c:ser>
        <c:ser>
          <c:idx val="5"/>
          <c:order val="2"/>
          <c:tx>
            <c:strRef>
              <c:f>'MFP-rsum'!$AM$49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'[1]MFP-rsum'!$AF$14:$AF$16</c:f>
              <c:numCache>
                <c:formatCode>General</c:formatCode>
                <c:ptCount val="3"/>
                <c:pt idx="0">
                  <c:v>0.26994066201236538</c:v>
                </c:pt>
                <c:pt idx="1">
                  <c:v>0.37024310108699077</c:v>
                </c:pt>
                <c:pt idx="2">
                  <c:v>0.32666098973626656</c:v>
                </c:pt>
              </c:numCache>
            </c:numRef>
          </c:xVal>
          <c:yVal>
            <c:numRef>
              <c:f>'MFP-rsum'!$AL$14:$AL$16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54-41E5-9C00-D8796949647E}"/>
            </c:ext>
          </c:extLst>
        </c:ser>
        <c:ser>
          <c:idx val="6"/>
          <c:order val="3"/>
          <c:tx>
            <c:strRef>
              <c:f>'MFP-rsum'!$AM$50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'[1]MFP-rsum'!$AF$17:$AF$18</c:f>
              <c:numCache>
                <c:formatCode>General</c:formatCode>
                <c:ptCount val="2"/>
                <c:pt idx="0">
                  <c:v>0.43236429370237983</c:v>
                </c:pt>
              </c:numCache>
            </c:numRef>
          </c:xVal>
          <c:yVal>
            <c:numRef>
              <c:f>'MFP-rsum'!$AL$17:$AL$18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54-41E5-9C00-D8796949647E}"/>
            </c:ext>
          </c:extLst>
        </c:ser>
        <c:ser>
          <c:idx val="7"/>
          <c:order val="4"/>
          <c:tx>
            <c:strRef>
              <c:f>'MFP-rsum'!$AM$51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'[1]MFP-rsum'!$AF$24:$AF$25</c:f>
              <c:numCache>
                <c:formatCode>General</c:formatCode>
                <c:ptCount val="2"/>
                <c:pt idx="0">
                  <c:v>0.60953584013575091</c:v>
                </c:pt>
                <c:pt idx="1">
                  <c:v>0.48209294921946866</c:v>
                </c:pt>
              </c:numCache>
            </c:numRef>
          </c:xVal>
          <c:yVal>
            <c:numRef>
              <c:f>'MFP-rsum'!$AL$24:$AL$25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54-41E5-9C00-D8796949647E}"/>
            </c:ext>
          </c:extLst>
        </c:ser>
        <c:ser>
          <c:idx val="10"/>
          <c:order val="5"/>
          <c:tx>
            <c:strRef>
              <c:f>'MFP-rsum'!$AM$53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('[1]MFP-rsum'!$AD$26:$AD$27,'[1]MFP-rsum'!$AD$29:$AD$30,'[1]MFP-rsum'!$AD$38:$AD$40)</c:f>
              <c:numCache>
                <c:formatCode>General</c:formatCode>
                <c:ptCount val="7"/>
                <c:pt idx="0">
                  <c:v>0.51681594759710647</c:v>
                </c:pt>
                <c:pt idx="1">
                  <c:v>0.66880040429891452</c:v>
                </c:pt>
                <c:pt idx="2">
                  <c:v>0.71187944439400763</c:v>
                </c:pt>
                <c:pt idx="3">
                  <c:v>0.68421941732878677</c:v>
                </c:pt>
                <c:pt idx="4">
                  <c:v>0.46048978694812209</c:v>
                </c:pt>
                <c:pt idx="5">
                  <c:v>0.47293540020198699</c:v>
                </c:pt>
                <c:pt idx="6">
                  <c:v>0.48970392040175686</c:v>
                </c:pt>
              </c:numCache>
            </c:numRef>
          </c:xVal>
          <c:yVal>
            <c:numRef>
              <c:f>('MFP-rsum'!$AL$26:$AL$27,'MFP-rsum'!$AL$29:$AL$30,'MFP-rsum'!$AL$38:$AL$40)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54-41E5-9C00-D8796949647E}"/>
            </c:ext>
          </c:extLst>
        </c:ser>
        <c:ser>
          <c:idx val="11"/>
          <c:order val="6"/>
          <c:tx>
            <c:strRef>
              <c:f>'MFP-rsum'!$AM$54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'[1]MFP-rsum'!$AF$36:$AF$37</c:f>
              <c:numCache>
                <c:formatCode>General</c:formatCode>
                <c:ptCount val="2"/>
                <c:pt idx="0">
                  <c:v>0.2841819778633502</c:v>
                </c:pt>
                <c:pt idx="1">
                  <c:v>0.28696722884280707</c:v>
                </c:pt>
              </c:numCache>
            </c:numRef>
          </c:xVal>
          <c:yVal>
            <c:numRef>
              <c:f>'MFP-rsum'!$AL$36:$AL$37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54-41E5-9C00-D8796949647E}"/>
            </c:ext>
          </c:extLst>
        </c:ser>
        <c:ser>
          <c:idx val="2"/>
          <c:order val="7"/>
          <c:tx>
            <c:strRef>
              <c:f>'MFP-rsum'!$AM$55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54-41E5-9C00-D8796949647E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754-41E5-9C00-D8796949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'[1]MFP-rsum'!$AH$7:$AH$9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'MFP-rsum'!$AL$7:$AL$9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B-4617-9B6F-437EE6298C80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('[1]MFP-rsum'!$AH$3:$AH$4,'[1]MFP-rsum'!$AH$10:$AH$13)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('MFP-rsum'!$AL$3:$AL$4,'MFP-rsum'!$AL$10:$AL$13)</c:f>
              <c:numCache>
                <c:formatCode>General</c:formatCode>
                <c:ptCount val="6"/>
                <c:pt idx="0">
                  <c:v>0.82789999999999997</c:v>
                </c:pt>
                <c:pt idx="1">
                  <c:v>0.56999999999999995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B-4617-9B6F-437EE6298C80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'[1]MFP-rsum'!$AH$31:$AH$32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'MFP-rsum'!$AL$31:$AL$32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B-4617-9B6F-437EE6298C8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('[1]MFP-rsum'!$AH$24,'[1]MFP-rsum'!$AH$25,'[1]MFP-rsum'!$AH$28,'[1]MFP-rsum'!$AH$33,'[1]MFP-rsum'!$AH$35)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('MFP-rsum'!$AL$24,'MFP-rsum'!$AL$25,'MFP-rsum'!$AL$28,'MFP-rsum'!$AL$33,'MFP-rsum'!$AL$35)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B-4617-9B6F-437EE6298C8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'[1]MFP-rsum'!$AH$36:$AH$37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'MFP-rsum'!$AL$36:$AL$37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B-4617-9B6F-437EE6298C80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('[1]MFP-rsum'!$AH$26:$AH$27,'[1]MFP-rsum'!$AH$29:$AH$30,'[1]MFP-rsum'!$AH$38:$AH$40)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('MFP-rsum'!$AL$26:$AL$27,'MFP-rsum'!$AL$29:$AL$30,'MFP-rsum'!$AL$38:$AL$40)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3B-4617-9B6F-437EE6298C80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'[1]MFP-rsum'!$AH$17:$AH$18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'MFP-rsum'!$AL$17:$AL$18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3B-4617-9B6F-437EE6298C80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'[1]MFP-rsum'!$AH$41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3B-4617-9B6F-437EE6298C80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B93B-4617-9B6F-437EE6298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'MFP-rsum'!$AM$46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'[1]MFP-rsum'!$AD$2:$AD$6</c:f>
              <c:numCache>
                <c:formatCode>General</c:formatCode>
                <c:ptCount val="5"/>
                <c:pt idx="0">
                  <c:v>0.80248523098591562</c:v>
                </c:pt>
                <c:pt idx="1">
                  <c:v>0.53093354166666662</c:v>
                </c:pt>
                <c:pt idx="2">
                  <c:v>0.36108717500000004</c:v>
                </c:pt>
                <c:pt idx="3">
                  <c:v>0.32557537815126053</c:v>
                </c:pt>
                <c:pt idx="4">
                  <c:v>0.301421612691466</c:v>
                </c:pt>
              </c:numCache>
            </c:numRef>
          </c:xVal>
          <c:yVal>
            <c:numRef>
              <c:f>'MFP-rsum'!$AL$2:$AL$6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1-47CD-AC9C-9BBE630FD4E1}"/>
            </c:ext>
          </c:extLst>
        </c:ser>
        <c:ser>
          <c:idx val="0"/>
          <c:order val="1"/>
          <c:tx>
            <c:strRef>
              <c:f>'MFP-rsum'!$AM$47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'[1]MFP-rsum'!$AD$7:$AD$9</c:f>
              <c:numCache>
                <c:formatCode>General</c:formatCode>
                <c:ptCount val="3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</c:numCache>
            </c:numRef>
          </c:xVal>
          <c:yVal>
            <c:numRef>
              <c:f>'MFP-rsum'!$AL$7:$AL$9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1-47CD-AC9C-9BBE630FD4E1}"/>
            </c:ext>
          </c:extLst>
        </c:ser>
        <c:ser>
          <c:idx val="1"/>
          <c:order val="2"/>
          <c:tx>
            <c:strRef>
              <c:f>'MFP-rsum'!$AM$48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'[1]MFP-rsum'!$AD$10:$AD$13</c:f>
              <c:numCache>
                <c:formatCode>General</c:formatCode>
                <c:ptCount val="4"/>
                <c:pt idx="0">
                  <c:v>0.51944334083333332</c:v>
                </c:pt>
                <c:pt idx="1">
                  <c:v>0.55165642193242059</c:v>
                </c:pt>
                <c:pt idx="2">
                  <c:v>0.42810664299445522</c:v>
                </c:pt>
                <c:pt idx="3">
                  <c:v>0.31989463805530149</c:v>
                </c:pt>
              </c:numCache>
            </c:numRef>
          </c:xVal>
          <c:yVal>
            <c:numRef>
              <c:f>'MFP-rsum'!$AL$10:$AL$13</c:f>
              <c:numCache>
                <c:formatCode>General</c:formatCode>
                <c:ptCount val="4"/>
                <c:pt idx="0">
                  <c:v>0.79925905600000002</c:v>
                </c:pt>
                <c:pt idx="1">
                  <c:v>0.65067779999999997</c:v>
                </c:pt>
                <c:pt idx="2">
                  <c:v>0.56480320000000006</c:v>
                </c:pt>
                <c:pt idx="3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A1-47CD-AC9C-9BBE630FD4E1}"/>
            </c:ext>
          </c:extLst>
        </c:ser>
        <c:ser>
          <c:idx val="5"/>
          <c:order val="3"/>
          <c:tx>
            <c:strRef>
              <c:f>'MFP-rsum'!$AM$49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'[1]MFP-rsum'!$AD$14:$AD$16</c:f>
              <c:numCache>
                <c:formatCode>General</c:formatCode>
                <c:ptCount val="3"/>
                <c:pt idx="0">
                  <c:v>0.28861057804145579</c:v>
                </c:pt>
                <c:pt idx="1">
                  <c:v>0.37311089961278132</c:v>
                </c:pt>
                <c:pt idx="2">
                  <c:v>0.33599408249358714</c:v>
                </c:pt>
              </c:numCache>
            </c:numRef>
          </c:xVal>
          <c:yVal>
            <c:numRef>
              <c:f>'MFP-rsum'!$AL$14:$AL$16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A1-47CD-AC9C-9BBE630FD4E1}"/>
            </c:ext>
          </c:extLst>
        </c:ser>
        <c:ser>
          <c:idx val="6"/>
          <c:order val="4"/>
          <c:tx>
            <c:strRef>
              <c:f>'MFP-rsum'!$AM$50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'[1]MFP-rsum'!$AD$17:$AD$18</c:f>
              <c:numCache>
                <c:formatCode>General</c:formatCode>
                <c:ptCount val="2"/>
                <c:pt idx="0">
                  <c:v>0.70252146004029536</c:v>
                </c:pt>
                <c:pt idx="1">
                  <c:v>0.56673048612652599</c:v>
                </c:pt>
              </c:numCache>
            </c:numRef>
          </c:xVal>
          <c:yVal>
            <c:numRef>
              <c:f>'MFP-rsum'!$AL$17:$AL$18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A1-47CD-AC9C-9BBE630FD4E1}"/>
            </c:ext>
          </c:extLst>
        </c:ser>
        <c:ser>
          <c:idx val="7"/>
          <c:order val="5"/>
          <c:tx>
            <c:strRef>
              <c:f>'MFP-rsum'!$AM$51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'[1]MFP-rsum'!$AD$24:$AD$25</c:f>
              <c:numCache>
                <c:formatCode>General</c:formatCode>
                <c:ptCount val="2"/>
                <c:pt idx="0">
                  <c:v>0.71488518084414443</c:v>
                </c:pt>
                <c:pt idx="1">
                  <c:v>0.54326858976638281</c:v>
                </c:pt>
              </c:numCache>
            </c:numRef>
          </c:xVal>
          <c:yVal>
            <c:numRef>
              <c:f>'MFP-rsum'!$AL$24:$AL$25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A1-47CD-AC9C-9BBE630FD4E1}"/>
            </c:ext>
          </c:extLst>
        </c:ser>
        <c:ser>
          <c:idx val="9"/>
          <c:order val="6"/>
          <c:tx>
            <c:strRef>
              <c:f>'MFP-rsum'!$AM$52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('[1]MFP-rsum'!$AD$23,'[1]MFP-rsum'!$AD$31,'[1]MFP-rsum'!$AD$32,'[1]MFP-rsum'!$AD$34)</c:f>
              <c:numCache>
                <c:formatCode>General</c:formatCode>
                <c:ptCount val="4"/>
                <c:pt idx="0">
                  <c:v>0.33375408853502531</c:v>
                </c:pt>
                <c:pt idx="1">
                  <c:v>0.31844809429710103</c:v>
                </c:pt>
                <c:pt idx="2">
                  <c:v>0.36878913157884635</c:v>
                </c:pt>
                <c:pt idx="3">
                  <c:v>0.40937294269104435</c:v>
                </c:pt>
              </c:numCache>
            </c:numRef>
          </c:xVal>
          <c:yVal>
            <c:numRef>
              <c:f>('MFP-rsum'!$AL$23,'MFP-rsum'!$AL$31,'MFP-rsum'!$AL$32,'MFP-rsum'!$AL$34)</c:f>
              <c:numCache>
                <c:formatCode>General</c:formatCode>
                <c:ptCount val="4"/>
                <c:pt idx="0">
                  <c:v>0.43524000000000002</c:v>
                </c:pt>
                <c:pt idx="1">
                  <c:v>0.45966666666666672</c:v>
                </c:pt>
                <c:pt idx="2">
                  <c:v>0.46554761904761921</c:v>
                </c:pt>
                <c:pt idx="3">
                  <c:v>0.58438111223711209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A1-47CD-AC9C-9BBE630FD4E1}"/>
            </c:ext>
          </c:extLst>
        </c:ser>
        <c:ser>
          <c:idx val="10"/>
          <c:order val="7"/>
          <c:tx>
            <c:strRef>
              <c:f>'MFP-rsum'!$AM$53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('[1]MFP-rsum'!$AD$26:$AD$27,'[1]MFP-rsum'!$AD$29:$AD$30,'[1]MFP-rsum'!$AD$38:$AD$40)</c:f>
              <c:numCache>
                <c:formatCode>General</c:formatCode>
                <c:ptCount val="7"/>
                <c:pt idx="0">
                  <c:v>0.51681594759710647</c:v>
                </c:pt>
                <c:pt idx="1">
                  <c:v>0.66880040429891452</c:v>
                </c:pt>
                <c:pt idx="2">
                  <c:v>0.71187944439400763</c:v>
                </c:pt>
                <c:pt idx="3">
                  <c:v>0.68421941732878677</c:v>
                </c:pt>
                <c:pt idx="4">
                  <c:v>0.46048978694812209</c:v>
                </c:pt>
                <c:pt idx="5">
                  <c:v>0.47293540020198699</c:v>
                </c:pt>
                <c:pt idx="6">
                  <c:v>0.48970392040175686</c:v>
                </c:pt>
              </c:numCache>
            </c:numRef>
          </c:xVal>
          <c:yVal>
            <c:numRef>
              <c:f>('MFP-rsum'!$AL$26:$AL$27,'MFP-rsum'!$AL$29:$AL$30,'MFP-rsum'!$AL$38:$AL$40)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A1-47CD-AC9C-9BBE630FD4E1}"/>
            </c:ext>
          </c:extLst>
        </c:ser>
        <c:ser>
          <c:idx val="11"/>
          <c:order val="8"/>
          <c:tx>
            <c:strRef>
              <c:f>'MFP-rsum'!$AM$54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'[1]MFP-rsum'!$AD$36:$AD$37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0.30324621782896993</c:v>
                </c:pt>
              </c:numCache>
            </c:numRef>
          </c:xVal>
          <c:yVal>
            <c:numRef>
              <c:f>'MFP-rsum'!$AL$36:$AL$37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A1-47CD-AC9C-9BBE630FD4E1}"/>
            </c:ext>
          </c:extLst>
        </c:ser>
        <c:ser>
          <c:idx val="2"/>
          <c:order val="9"/>
          <c:tx>
            <c:strRef>
              <c:f>'MFP-rsum'!$AM$55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3A1-47CD-AC9C-9BBE630FD4E1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43A1-47CD-AC9C-9BBE630F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'MFP-rsum'!$AM$46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'[1]MFP-rsum'!$AG$2:$AG$6</c:f>
              <c:numCache>
                <c:formatCode>General</c:formatCode>
                <c:ptCount val="5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0.40376310518547792</c:v>
                </c:pt>
              </c:numCache>
            </c:numRef>
          </c:xVal>
          <c:yVal>
            <c:numRef>
              <c:f>'MFP-rsum'!$AL$2:$AL$6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8-478E-9ACE-957D22E69799}"/>
            </c:ext>
          </c:extLst>
        </c:ser>
        <c:ser>
          <c:idx val="0"/>
          <c:order val="1"/>
          <c:tx>
            <c:strRef>
              <c:f>'MFP-rsum'!$AM$47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'[1]MFP-rsum'!$AG$7:$AG$9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'MFP-rsum'!$AL$7:$AL$9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8-478E-9ACE-957D22E69799}"/>
            </c:ext>
          </c:extLst>
        </c:ser>
        <c:ser>
          <c:idx val="5"/>
          <c:order val="2"/>
          <c:tx>
            <c:strRef>
              <c:f>'MFP-rsum'!$AM$49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'[1]MFP-rsum'!$AG$14:$AG$16</c:f>
              <c:numCache>
                <c:formatCode>General</c:formatCode>
                <c:ptCount val="3"/>
                <c:pt idx="0">
                  <c:v>0.33370075449931308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'MFP-rsum'!$AL$14:$AL$16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8-478E-9ACE-957D22E69799}"/>
            </c:ext>
          </c:extLst>
        </c:ser>
        <c:ser>
          <c:idx val="6"/>
          <c:order val="3"/>
          <c:tx>
            <c:strRef>
              <c:f>'MFP-rsum'!$AM$50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'[1]MFP-rsum'!$AG$17:$AG$18</c:f>
              <c:numCache>
                <c:formatCode>General</c:formatCode>
                <c:ptCount val="2"/>
              </c:numCache>
            </c:numRef>
          </c:xVal>
          <c:yVal>
            <c:numRef>
              <c:f>'MFP-rsum'!$AL$17:$AL$18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8-478E-9ACE-957D22E69799}"/>
            </c:ext>
          </c:extLst>
        </c:ser>
        <c:ser>
          <c:idx val="7"/>
          <c:order val="4"/>
          <c:tx>
            <c:strRef>
              <c:f>'MFP-rsum'!$AM$51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'[1]MFP-rsum'!$AG$24:$AG$25</c:f>
              <c:numCache>
                <c:formatCode>General</c:formatCode>
                <c:ptCount val="2"/>
                <c:pt idx="0">
                  <c:v>1.28305844543897</c:v>
                </c:pt>
                <c:pt idx="1">
                  <c:v>0.85046707066330796</c:v>
                </c:pt>
              </c:numCache>
            </c:numRef>
          </c:xVal>
          <c:yVal>
            <c:numRef>
              <c:f>'MFP-rsum'!$AL$24:$AL$25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68-478E-9ACE-957D22E69799}"/>
            </c:ext>
          </c:extLst>
        </c:ser>
        <c:ser>
          <c:idx val="11"/>
          <c:order val="5"/>
          <c:tx>
            <c:strRef>
              <c:f>'MFP-rsum'!$AM$54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'[1]MFP-rsum'!$AG$36:$AG$37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'MFP-rsum'!$AL$36:$AL$37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68-478E-9ACE-957D22E69799}"/>
            </c:ext>
          </c:extLst>
        </c:ser>
        <c:ser>
          <c:idx val="2"/>
          <c:order val="6"/>
          <c:tx>
            <c:strRef>
              <c:f>'MFP-rsum'!$AM$55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'MFP-rsum'!$AL$41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68-478E-9ACE-957D22E69799}"/>
            </c:ext>
          </c:extLst>
        </c:ser>
        <c:ser>
          <c:idx val="3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8E68-478E-9ACE-957D22E69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n-US" sz="1400" b="0" i="0" baseline="0">
                <a:effectLst/>
              </a:rPr>
              <a:t>rSum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'MFP-rsum'!$AM$46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'[1]MFP-rsum'!$AJ$2:$AJ$6</c:f>
              <c:numCache>
                <c:formatCode>General</c:formatCode>
                <c:ptCount val="5"/>
                <c:pt idx="0">
                  <c:v>7500138.0307092983</c:v>
                </c:pt>
                <c:pt idx="1">
                  <c:v>5067818.8301188033</c:v>
                </c:pt>
                <c:pt idx="2">
                  <c:v>3473884.1112260493</c:v>
                </c:pt>
                <c:pt idx="3">
                  <c:v>2927863.2846601852</c:v>
                </c:pt>
                <c:pt idx="4">
                  <c:v>1975018.424181133</c:v>
                </c:pt>
              </c:numCache>
            </c:numRef>
          </c:xVal>
          <c:yVal>
            <c:numRef>
              <c:f>'MFP-rsum'!$BL$2:$BL$6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3-4A6C-A784-EAAA1B04C7EA}"/>
            </c:ext>
          </c:extLst>
        </c:ser>
        <c:ser>
          <c:idx val="0"/>
          <c:order val="1"/>
          <c:tx>
            <c:strRef>
              <c:f>'MFP-rsum'!$AM$47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'[1]MFP-rsum'!$AJ$7:$AJ$9</c:f>
              <c:numCache>
                <c:formatCode>General</c:formatCode>
                <c:ptCount val="3"/>
                <c:pt idx="0">
                  <c:v>3501264.0476249694</c:v>
                </c:pt>
                <c:pt idx="1">
                  <c:v>2836087.8612926682</c:v>
                </c:pt>
                <c:pt idx="2">
                  <c:v>2090572.0400192747</c:v>
                </c:pt>
              </c:numCache>
            </c:numRef>
          </c:xVal>
          <c:yVal>
            <c:numRef>
              <c:f>'MFP-rsum'!$BL$7:$BL$9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43-4A6C-A784-EAAA1B04C7EA}"/>
            </c:ext>
          </c:extLst>
        </c:ser>
        <c:ser>
          <c:idx val="1"/>
          <c:order val="2"/>
          <c:tx>
            <c:strRef>
              <c:f>'MFP-rsum'!$AM$48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'[1]MFP-rsum'!$AJ$10:$AJ$13</c:f>
              <c:numCache>
                <c:formatCode>General</c:formatCode>
                <c:ptCount val="4"/>
                <c:pt idx="0">
                  <c:v>5635429.4347171905</c:v>
                </c:pt>
                <c:pt idx="1">
                  <c:v>4376776.1290409379</c:v>
                </c:pt>
                <c:pt idx="2">
                  <c:v>4251969.9503061362</c:v>
                </c:pt>
                <c:pt idx="3">
                  <c:v>3336418.376259014</c:v>
                </c:pt>
              </c:numCache>
            </c:numRef>
          </c:xVal>
          <c:yVal>
            <c:numRef>
              <c:f>'MFP-rsum'!$BL$10:$BL$13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43-4A6C-A784-EAAA1B04C7EA}"/>
            </c:ext>
          </c:extLst>
        </c:ser>
        <c:ser>
          <c:idx val="5"/>
          <c:order val="3"/>
          <c:tx>
            <c:strRef>
              <c:f>'MFP-rsum'!$AM$49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'[1]MFP-rsum'!$AJ$14:$AJ$16</c:f>
              <c:numCache>
                <c:formatCode>General</c:formatCode>
                <c:ptCount val="3"/>
                <c:pt idx="0">
                  <c:v>2578106.0402255282</c:v>
                </c:pt>
                <c:pt idx="1">
                  <c:v>2281252.1331538479</c:v>
                </c:pt>
                <c:pt idx="2">
                  <c:v>2019673.1502314182</c:v>
                </c:pt>
              </c:numCache>
            </c:numRef>
          </c:xVal>
          <c:yVal>
            <c:numRef>
              <c:f>'MFP-rsum'!$BL$14:$BL$16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43-4A6C-A784-EAAA1B04C7EA}"/>
            </c:ext>
          </c:extLst>
        </c:ser>
        <c:ser>
          <c:idx val="6"/>
          <c:order val="4"/>
          <c:tx>
            <c:strRef>
              <c:f>'MFP-rsum'!$AM$50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'[1]MFP-rsum'!$AJ$17:$AJ$18</c:f>
              <c:numCache>
                <c:formatCode>General</c:formatCode>
                <c:ptCount val="2"/>
                <c:pt idx="0">
                  <c:v>2539896.4555242937</c:v>
                </c:pt>
                <c:pt idx="1">
                  <c:v>1883224.6107082034</c:v>
                </c:pt>
              </c:numCache>
            </c:numRef>
          </c:xVal>
          <c:yVal>
            <c:numRef>
              <c:f>'MFP-rsum'!$BL$17:$BL$18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43-4A6C-A784-EAAA1B04C7EA}"/>
            </c:ext>
          </c:extLst>
        </c:ser>
        <c:ser>
          <c:idx val="7"/>
          <c:order val="5"/>
          <c:tx>
            <c:strRef>
              <c:f>'MFP-rsum'!$AM$51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'[1]MFP-rsum'!$AJ$24:$AJ$25</c:f>
              <c:numCache>
                <c:formatCode>General</c:formatCode>
                <c:ptCount val="2"/>
                <c:pt idx="0">
                  <c:v>6652079.2470877897</c:v>
                </c:pt>
                <c:pt idx="1">
                  <c:v>4886411.1374480864</c:v>
                </c:pt>
              </c:numCache>
            </c:numRef>
          </c:xVal>
          <c:yVal>
            <c:numRef>
              <c:f>'MFP-rsum'!$BL$24:$BL$25</c:f>
              <c:numCache>
                <c:formatCode>#,##0.00</c:formatCode>
                <c:ptCount val="2"/>
                <c:pt idx="0">
                  <c:v>4323157.1595853949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43-4A6C-A784-EAAA1B04C7EA}"/>
            </c:ext>
          </c:extLst>
        </c:ser>
        <c:ser>
          <c:idx val="9"/>
          <c:order val="6"/>
          <c:tx>
            <c:strRef>
              <c:f>'MFP-rsum'!$AM$52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('[1]MFP-rsum'!$AJ$23,'[1]MFP-rsum'!$AJ$31,'[1]MFP-rsum'!$AJ$32,'[1]MFP-rsum'!$AJ$34)</c:f>
              <c:numCache>
                <c:formatCode>General</c:formatCode>
                <c:ptCount val="4"/>
                <c:pt idx="0">
                  <c:v>2227290.4609544491</c:v>
                </c:pt>
                <c:pt idx="1">
                  <c:v>2466604.5183689054</c:v>
                </c:pt>
                <c:pt idx="2">
                  <c:v>2358413.9237225675</c:v>
                </c:pt>
                <c:pt idx="3">
                  <c:v>2972199.4380712733</c:v>
                </c:pt>
              </c:numCache>
            </c:numRef>
          </c:xVal>
          <c:yVal>
            <c:numRef>
              <c:f>('MFP-rsum'!$BL$23,'MFP-rsum'!$BL$31,'MFP-rsum'!$BL$32,'MFP-rsum'!$BL$34)</c:f>
              <c:numCache>
                <c:formatCode>#,##0.00</c:formatCode>
                <c:ptCount val="4"/>
                <c:pt idx="0">
                  <c:v>1707948.0233861969</c:v>
                </c:pt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43-4A6C-A784-EAAA1B04C7EA}"/>
            </c:ext>
          </c:extLst>
        </c:ser>
        <c:ser>
          <c:idx val="10"/>
          <c:order val="7"/>
          <c:tx>
            <c:strRef>
              <c:f>'MFP-rsum'!$AM$53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('[1]MFP-rsum'!$AJ$26:$AJ$27,'[1]MFP-rsum'!$AJ$29:$AJ$30,'[1]MFP-rsum'!$AJ$38:$AJ$40)</c:f>
              <c:numCache>
                <c:formatCode>General</c:formatCode>
                <c:ptCount val="7"/>
                <c:pt idx="0">
                  <c:v>9658755.4388015848</c:v>
                </c:pt>
                <c:pt idx="1">
                  <c:v>8050713.0166514972</c:v>
                </c:pt>
                <c:pt idx="2">
                  <c:v>5525866.2760937605</c:v>
                </c:pt>
                <c:pt idx="3">
                  <c:v>5177440.5902498215</c:v>
                </c:pt>
                <c:pt idx="4">
                  <c:v>3561520.7957820492</c:v>
                </c:pt>
                <c:pt idx="5">
                  <c:v>3283046.6227647751</c:v>
                </c:pt>
                <c:pt idx="6">
                  <c:v>3117014.0748641295</c:v>
                </c:pt>
              </c:numCache>
            </c:numRef>
          </c:xVal>
          <c:yVal>
            <c:numRef>
              <c:f>('MFP-rsum'!$BL$26:$BL$27,'MFP-rsum'!$BL$29:$BL$30,'MFP-rsum'!$BL$38:$BL$40)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43-4A6C-A784-EAAA1B04C7EA}"/>
            </c:ext>
          </c:extLst>
        </c:ser>
        <c:ser>
          <c:idx val="11"/>
          <c:order val="8"/>
          <c:tx>
            <c:strRef>
              <c:f>'MFP-rsum'!$AM$54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'[1]MFP-rsum'!$AJ$36:$AJ$37</c:f>
              <c:numCache>
                <c:formatCode>General</c:formatCode>
                <c:ptCount val="2"/>
                <c:pt idx="0">
                  <c:v>1715696.7182316666</c:v>
                </c:pt>
                <c:pt idx="1">
                  <c:v>1954308.6049635103</c:v>
                </c:pt>
              </c:numCache>
            </c:numRef>
          </c:xVal>
          <c:yVal>
            <c:numRef>
              <c:f>'MFP-rsum'!$BL$36:$BL$37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43-4A6C-A784-EAAA1B04C7EA}"/>
            </c:ext>
          </c:extLst>
        </c:ser>
        <c:ser>
          <c:idx val="2"/>
          <c:order val="9"/>
          <c:tx>
            <c:strRef>
              <c:f>'MFP-rsum'!$AM$55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'[1]MFP-rsum'!$AJ$41</c:f>
              <c:numCache>
                <c:formatCode>General</c:formatCode>
                <c:ptCount val="1"/>
                <c:pt idx="0">
                  <c:v>3869588.2095969468</c:v>
                </c:pt>
              </c:numCache>
            </c:numRef>
          </c:xVal>
          <c:yVal>
            <c:numRef>
              <c:f>'MFP-rsum'!$BL$41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43-4A6C-A784-EAAA1B04C7EA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2443-4A6C-A784-EAAA1B04C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l-GR" sz="1400" b="0" i="0" baseline="0">
                <a:effectLst/>
              </a:rPr>
              <a:t>λ</a:t>
            </a:r>
            <a:r>
              <a:rPr lang="en-US" sz="1400" b="0" i="0" baseline="0">
                <a:effectLst/>
              </a:rPr>
              <a:t>_BC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'MFP-rsum'!$AM$46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'[1]MFP-rsum'!$AJ$2:$AJ$6</c:f>
              <c:numCache>
                <c:formatCode>General</c:formatCode>
                <c:ptCount val="5"/>
                <c:pt idx="0">
                  <c:v>7500138.0307092983</c:v>
                </c:pt>
                <c:pt idx="1">
                  <c:v>5067818.8301188033</c:v>
                </c:pt>
                <c:pt idx="2">
                  <c:v>3473884.1112260493</c:v>
                </c:pt>
                <c:pt idx="3">
                  <c:v>2927863.2846601852</c:v>
                </c:pt>
                <c:pt idx="4">
                  <c:v>1975018.424181133</c:v>
                </c:pt>
              </c:numCache>
            </c:numRef>
          </c:xVal>
          <c:yVal>
            <c:numRef>
              <c:f>'MFP-rsum'!$BL$2:$BL$6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F-48C0-B980-D043CC6EA2F1}"/>
            </c:ext>
          </c:extLst>
        </c:ser>
        <c:ser>
          <c:idx val="0"/>
          <c:order val="1"/>
          <c:tx>
            <c:strRef>
              <c:f>'MFP-rsum'!$AM$47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'[1]MFP-rsum'!$AJ$7:$AJ$9</c:f>
              <c:numCache>
                <c:formatCode>General</c:formatCode>
                <c:ptCount val="3"/>
                <c:pt idx="0">
                  <c:v>3501264.0476249694</c:v>
                </c:pt>
                <c:pt idx="1">
                  <c:v>2836087.8612926682</c:v>
                </c:pt>
                <c:pt idx="2">
                  <c:v>2090572.0400192747</c:v>
                </c:pt>
              </c:numCache>
            </c:numRef>
          </c:xVal>
          <c:yVal>
            <c:numRef>
              <c:f>'MFP-rsum'!$BL$7:$BL$9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F-48C0-B980-D043CC6EA2F1}"/>
            </c:ext>
          </c:extLst>
        </c:ser>
        <c:ser>
          <c:idx val="1"/>
          <c:order val="2"/>
          <c:tx>
            <c:strRef>
              <c:f>'MFP-rsum'!$AM$48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'[1]MFP-rsum'!$AJ$10:$AJ$13</c:f>
              <c:numCache>
                <c:formatCode>General</c:formatCode>
                <c:ptCount val="4"/>
                <c:pt idx="0">
                  <c:v>5635429.4347171905</c:v>
                </c:pt>
                <c:pt idx="1">
                  <c:v>4376776.1290409379</c:v>
                </c:pt>
                <c:pt idx="2">
                  <c:v>4251969.9503061362</c:v>
                </c:pt>
                <c:pt idx="3">
                  <c:v>3336418.376259014</c:v>
                </c:pt>
              </c:numCache>
            </c:numRef>
          </c:xVal>
          <c:yVal>
            <c:numRef>
              <c:f>'MFP-rsum'!$BL$10:$BL$13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F-48C0-B980-D043CC6EA2F1}"/>
            </c:ext>
          </c:extLst>
        </c:ser>
        <c:ser>
          <c:idx val="5"/>
          <c:order val="3"/>
          <c:tx>
            <c:strRef>
              <c:f>'MFP-rsum'!$AM$49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'[1]MFP-rsum'!$AJ$14:$AJ$16</c:f>
              <c:numCache>
                <c:formatCode>General</c:formatCode>
                <c:ptCount val="3"/>
                <c:pt idx="0">
                  <c:v>2578106.0402255282</c:v>
                </c:pt>
                <c:pt idx="1">
                  <c:v>2281252.1331538479</c:v>
                </c:pt>
                <c:pt idx="2">
                  <c:v>2019673.1502314182</c:v>
                </c:pt>
              </c:numCache>
            </c:numRef>
          </c:xVal>
          <c:yVal>
            <c:numRef>
              <c:f>'MFP-rsum'!$BL$14:$BL$16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F-48C0-B980-D043CC6EA2F1}"/>
            </c:ext>
          </c:extLst>
        </c:ser>
        <c:ser>
          <c:idx val="6"/>
          <c:order val="4"/>
          <c:tx>
            <c:strRef>
              <c:f>'MFP-rsum'!$AM$50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'[1]MFP-rsum'!$AJ$17:$AJ$18</c:f>
              <c:numCache>
                <c:formatCode>General</c:formatCode>
                <c:ptCount val="2"/>
                <c:pt idx="0">
                  <c:v>2539896.4555242937</c:v>
                </c:pt>
                <c:pt idx="1">
                  <c:v>1883224.6107082034</c:v>
                </c:pt>
              </c:numCache>
            </c:numRef>
          </c:xVal>
          <c:yVal>
            <c:numRef>
              <c:f>'MFP-rsum'!$BL$17:$BL$18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EF-48C0-B980-D043CC6EA2F1}"/>
            </c:ext>
          </c:extLst>
        </c:ser>
        <c:ser>
          <c:idx val="7"/>
          <c:order val="5"/>
          <c:tx>
            <c:strRef>
              <c:f>'MFP-rsum'!$AM$51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'[1]MFP-rsum'!$AJ$24:$AJ$25</c:f>
              <c:numCache>
                <c:formatCode>General</c:formatCode>
                <c:ptCount val="2"/>
                <c:pt idx="0">
                  <c:v>6652079.2470877897</c:v>
                </c:pt>
                <c:pt idx="1">
                  <c:v>4886411.1374480864</c:v>
                </c:pt>
              </c:numCache>
            </c:numRef>
          </c:xVal>
          <c:yVal>
            <c:numRef>
              <c:f>'MFP-rsum'!$BL$24:$BL$25</c:f>
              <c:numCache>
                <c:formatCode>#,##0.00</c:formatCode>
                <c:ptCount val="2"/>
                <c:pt idx="0">
                  <c:v>4323157.1595853949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EF-48C0-B980-D043CC6EA2F1}"/>
            </c:ext>
          </c:extLst>
        </c:ser>
        <c:ser>
          <c:idx val="9"/>
          <c:order val="6"/>
          <c:tx>
            <c:strRef>
              <c:f>'MFP-rsum'!$AM$52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('[1]MFP-rsum'!$AJ$23,'[1]MFP-rsum'!$AJ$31,'[1]MFP-rsum'!$AJ$32,'[1]MFP-rsum'!$AJ$34)</c:f>
              <c:numCache>
                <c:formatCode>General</c:formatCode>
                <c:ptCount val="4"/>
                <c:pt idx="0">
                  <c:v>2227290.4609544491</c:v>
                </c:pt>
                <c:pt idx="1">
                  <c:v>2466604.5183689054</c:v>
                </c:pt>
                <c:pt idx="2">
                  <c:v>2358413.9237225675</c:v>
                </c:pt>
                <c:pt idx="3">
                  <c:v>2972199.4380712733</c:v>
                </c:pt>
              </c:numCache>
            </c:numRef>
          </c:xVal>
          <c:yVal>
            <c:numRef>
              <c:f>('MFP-rsum'!$BL$23,'MFP-rsum'!$BL$31,'MFP-rsum'!$BL$32,'MFP-rsum'!$BL$34)</c:f>
              <c:numCache>
                <c:formatCode>#,##0.00</c:formatCode>
                <c:ptCount val="4"/>
                <c:pt idx="0">
                  <c:v>1707948.0233861969</c:v>
                </c:pt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EF-48C0-B980-D043CC6EA2F1}"/>
            </c:ext>
          </c:extLst>
        </c:ser>
        <c:ser>
          <c:idx val="10"/>
          <c:order val="7"/>
          <c:tx>
            <c:strRef>
              <c:f>'MFP-rsum'!$AM$53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('[1]MFP-rsum'!$AJ$26:$AJ$27,'[1]MFP-rsum'!$AJ$29:$AJ$30,'[1]MFP-rsum'!$AJ$38:$AJ$40)</c:f>
              <c:numCache>
                <c:formatCode>General</c:formatCode>
                <c:ptCount val="7"/>
                <c:pt idx="0">
                  <c:v>9658755.4388015848</c:v>
                </c:pt>
                <c:pt idx="1">
                  <c:v>8050713.0166514972</c:v>
                </c:pt>
                <c:pt idx="2">
                  <c:v>5525866.2760937605</c:v>
                </c:pt>
                <c:pt idx="3">
                  <c:v>5177440.5902498215</c:v>
                </c:pt>
                <c:pt idx="4">
                  <c:v>3561520.7957820492</c:v>
                </c:pt>
                <c:pt idx="5">
                  <c:v>3283046.6227647751</c:v>
                </c:pt>
                <c:pt idx="6">
                  <c:v>3117014.0748641295</c:v>
                </c:pt>
              </c:numCache>
            </c:numRef>
          </c:xVal>
          <c:yVal>
            <c:numRef>
              <c:f>('MFP-rsum'!$BL$26:$BL$27,'MFP-rsum'!$BL$29:$BL$30,'MFP-rsum'!$BL$38:$BL$40)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EF-48C0-B980-D043CC6EA2F1}"/>
            </c:ext>
          </c:extLst>
        </c:ser>
        <c:ser>
          <c:idx val="11"/>
          <c:order val="8"/>
          <c:tx>
            <c:strRef>
              <c:f>'MFP-rsum'!$AM$54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'[1]MFP-rsum'!$AJ$36:$AJ$37</c:f>
              <c:numCache>
                <c:formatCode>General</c:formatCode>
                <c:ptCount val="2"/>
                <c:pt idx="0">
                  <c:v>1715696.7182316666</c:v>
                </c:pt>
                <c:pt idx="1">
                  <c:v>1954308.6049635103</c:v>
                </c:pt>
              </c:numCache>
            </c:numRef>
          </c:xVal>
          <c:yVal>
            <c:numRef>
              <c:f>'MFP-rsum'!$BL$36:$BL$37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FEF-48C0-B980-D043CC6EA2F1}"/>
            </c:ext>
          </c:extLst>
        </c:ser>
        <c:ser>
          <c:idx val="2"/>
          <c:order val="9"/>
          <c:tx>
            <c:strRef>
              <c:f>'MFP-rsum'!$AM$55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'[1]MFP-rsum'!$AJ$41</c:f>
              <c:numCache>
                <c:formatCode>General</c:formatCode>
                <c:ptCount val="1"/>
                <c:pt idx="0">
                  <c:v>3869588.2095969468</c:v>
                </c:pt>
              </c:numCache>
            </c:numRef>
          </c:xVal>
          <c:yVal>
            <c:numRef>
              <c:f>'MFP-rsum'!$BL$41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FEF-48C0-B980-D043CC6EA2F1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7FEF-48C0-B980-D043CC6E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'MFP-rsum'!$BC$1</c:f>
              <c:strCache>
                <c:ptCount val="1"/>
                <c:pt idx="0">
                  <c:v>SoS_Tm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'MFP-rsum'!$BC$2:$BC$41</c:f>
              <c:numCache>
                <c:formatCode>0.00E+00</c:formatCode>
                <c:ptCount val="40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  <c:pt idx="21">
                  <c:v>1968.0306331357569</c:v>
                </c:pt>
                <c:pt idx="22">
                  <c:v>2547.6863757231322</c:v>
                </c:pt>
                <c:pt idx="23">
                  <c:v>2012.468707779205</c:v>
                </c:pt>
                <c:pt idx="24">
                  <c:v>1781.433208193873</c:v>
                </c:pt>
                <c:pt idx="25">
                  <c:v>2319.1206460873409</c:v>
                </c:pt>
                <c:pt idx="26">
                  <c:v>2547.687552638462</c:v>
                </c:pt>
                <c:pt idx="27">
                  <c:v>2441.8705732183512</c:v>
                </c:pt>
                <c:pt idx="28">
                  <c:v>2348.7520215904742</c:v>
                </c:pt>
                <c:pt idx="29">
                  <c:v>2039.5014589190009</c:v>
                </c:pt>
                <c:pt idx="30">
                  <c:v>2024.776905844504</c:v>
                </c:pt>
                <c:pt idx="31">
                  <c:v>1885.1934295243609</c:v>
                </c:pt>
                <c:pt idx="32">
                  <c:v>2084.8843456983841</c:v>
                </c:pt>
                <c:pt idx="33">
                  <c:v>2298.228366828082</c:v>
                </c:pt>
                <c:pt idx="34">
                  <c:v>1451.7494609289899</c:v>
                </c:pt>
                <c:pt idx="35">
                  <c:v>1470.4555590061771</c:v>
                </c:pt>
                <c:pt idx="36" formatCode="General">
                  <c:v>1348.6175138087231</c:v>
                </c:pt>
                <c:pt idx="37" formatCode="General">
                  <c:v>1272.126022947567</c:v>
                </c:pt>
                <c:pt idx="38" formatCode="General">
                  <c:v>1215.1718333840431</c:v>
                </c:pt>
                <c:pt idx="39">
                  <c:v>1403</c:v>
                </c:pt>
              </c:numCache>
            </c:numRef>
          </c:xVal>
          <c:yVal>
            <c:numRef>
              <c:f>'MFP-rsum'!$K$2:$K$40</c:f>
              <c:numCache>
                <c:formatCode>#,##0.00</c:formatCode>
                <c:ptCount val="39"/>
                <c:pt idx="0">
                  <c:v>25.939</c:v>
                </c:pt>
                <c:pt idx="1">
                  <c:v>41.988</c:v>
                </c:pt>
                <c:pt idx="2">
                  <c:v>58.097000000000001</c:v>
                </c:pt>
                <c:pt idx="3">
                  <c:v>104.4662</c:v>
                </c:pt>
                <c:pt idx="4">
                  <c:v>58.44</c:v>
                </c:pt>
                <c:pt idx="5">
                  <c:v>42.393999999999998</c:v>
                </c:pt>
                <c:pt idx="6">
                  <c:v>58.44</c:v>
                </c:pt>
                <c:pt idx="7">
                  <c:v>74.551299999999998</c:v>
                </c:pt>
                <c:pt idx="8">
                  <c:v>47.01</c:v>
                </c:pt>
                <c:pt idx="9" formatCode="General">
                  <c:v>62.3018</c:v>
                </c:pt>
                <c:pt idx="10" formatCode="General">
                  <c:v>78.074799999999996</c:v>
                </c:pt>
                <c:pt idx="11" formatCode="General">
                  <c:v>125.6168</c:v>
                </c:pt>
                <c:pt idx="12" formatCode="General">
                  <c:v>95.210999999999999</c:v>
                </c:pt>
                <c:pt idx="13" formatCode="General">
                  <c:v>110.98399999999999</c:v>
                </c:pt>
                <c:pt idx="14" formatCode="General">
                  <c:v>158.52600000000001</c:v>
                </c:pt>
                <c:pt idx="15" formatCode="General">
                  <c:v>84.99</c:v>
                </c:pt>
                <c:pt idx="16" formatCode="General">
                  <c:v>101.1</c:v>
                </c:pt>
                <c:pt idx="17">
                  <c:v>167.21</c:v>
                </c:pt>
                <c:pt idx="18">
                  <c:v>308.0317</c:v>
                </c:pt>
                <c:pt idx="19">
                  <c:v>314.02249999999998</c:v>
                </c:pt>
                <c:pt idx="20">
                  <c:v>344.3879</c:v>
                </c:pt>
                <c:pt idx="21" formatCode="General">
                  <c:v>81.162404000000009</c:v>
                </c:pt>
                <c:pt idx="22" formatCode="General">
                  <c:v>33.103140000000003</c:v>
                </c:pt>
                <c:pt idx="23" formatCode="General">
                  <c:v>41.290994999999988</c:v>
                </c:pt>
                <c:pt idx="24" formatCode="General">
                  <c:v>66.133683500000004</c:v>
                </c:pt>
                <c:pt idx="25" formatCode="General">
                  <c:v>40.153548000000008</c:v>
                </c:pt>
                <c:pt idx="26" formatCode="General">
                  <c:v>31.62816999999999</c:v>
                </c:pt>
                <c:pt idx="27" formatCode="General">
                  <c:v>34.403649999999985</c:v>
                </c:pt>
                <c:pt idx="28" formatCode="General">
                  <c:v>37.179130000000008</c:v>
                </c:pt>
                <c:pt idx="29" formatCode="General">
                  <c:v>88.599896000000015</c:v>
                </c:pt>
                <c:pt idx="30" formatCode="General">
                  <c:v>70.265004930000003</c:v>
                </c:pt>
                <c:pt idx="31" formatCode="General">
                  <c:v>52.812707000000003</c:v>
                </c:pt>
                <c:pt idx="32" formatCode="General">
                  <c:v>55.835751400000007</c:v>
                </c:pt>
                <c:pt idx="33" formatCode="General">
                  <c:v>32.358600000000003</c:v>
                </c:pt>
                <c:pt idx="34" formatCode="General">
                  <c:v>164.240723</c:v>
                </c:pt>
                <c:pt idx="35" formatCode="General">
                  <c:v>156.23418179999999</c:v>
                </c:pt>
                <c:pt idx="36" formatCode="General">
                  <c:v>128.10887</c:v>
                </c:pt>
                <c:pt idx="37" formatCode="General">
                  <c:v>154.66795999999999</c:v>
                </c:pt>
                <c:pt idx="38" formatCode="General">
                  <c:v>181.22704999999999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7-4A78-862C-F3EFB1AE7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02991"/>
        <c:axId val="696064751"/>
      </c:scatterChart>
      <c:valAx>
        <c:axId val="958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M_i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64751"/>
        <c:crosses val="autoZero"/>
        <c:crossBetween val="midCat"/>
      </c:valAx>
      <c:valAx>
        <c:axId val="6960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'MFP-rsum'!$BR$1</c:f>
              <c:strCache>
                <c:ptCount val="1"/>
                <c:pt idx="0">
                  <c:v>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'MFP-rsum'!$BC$2:$BC$41</c:f>
              <c:numCache>
                <c:formatCode>0.00E+00</c:formatCode>
                <c:ptCount val="40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  <c:pt idx="21">
                  <c:v>1968.0306331357569</c:v>
                </c:pt>
                <c:pt idx="22">
                  <c:v>2547.6863757231322</c:v>
                </c:pt>
                <c:pt idx="23">
                  <c:v>2012.468707779205</c:v>
                </c:pt>
                <c:pt idx="24">
                  <c:v>1781.433208193873</c:v>
                </c:pt>
                <c:pt idx="25">
                  <c:v>2319.1206460873409</c:v>
                </c:pt>
                <c:pt idx="26">
                  <c:v>2547.687552638462</c:v>
                </c:pt>
                <c:pt idx="27">
                  <c:v>2441.8705732183512</c:v>
                </c:pt>
                <c:pt idx="28">
                  <c:v>2348.7520215904742</c:v>
                </c:pt>
                <c:pt idx="29">
                  <c:v>2039.5014589190009</c:v>
                </c:pt>
                <c:pt idx="30">
                  <c:v>2024.776905844504</c:v>
                </c:pt>
                <c:pt idx="31">
                  <c:v>1885.1934295243609</c:v>
                </c:pt>
                <c:pt idx="32">
                  <c:v>2084.8843456983841</c:v>
                </c:pt>
                <c:pt idx="33">
                  <c:v>2298.228366828082</c:v>
                </c:pt>
                <c:pt idx="34">
                  <c:v>1451.7494609289899</c:v>
                </c:pt>
                <c:pt idx="35">
                  <c:v>1470.4555590061771</c:v>
                </c:pt>
                <c:pt idx="36" formatCode="General">
                  <c:v>1348.6175138087231</c:v>
                </c:pt>
                <c:pt idx="37" formatCode="General">
                  <c:v>1272.126022947567</c:v>
                </c:pt>
                <c:pt idx="38" formatCode="General">
                  <c:v>1215.1718333840431</c:v>
                </c:pt>
                <c:pt idx="39">
                  <c:v>1403</c:v>
                </c:pt>
              </c:numCache>
            </c:numRef>
          </c:xVal>
          <c:yVal>
            <c:numRef>
              <c:f>'MFP-rsum'!$BR$2:$BR$41</c:f>
              <c:numCache>
                <c:formatCode>General</c:formatCode>
                <c:ptCount val="40"/>
                <c:pt idx="0">
                  <c:v>5.083691</c:v>
                </c:pt>
                <c:pt idx="1">
                  <c:v>10.402189</c:v>
                </c:pt>
                <c:pt idx="2">
                  <c:v>12.78567</c:v>
                </c:pt>
                <c:pt idx="3">
                  <c:v>15.543321000000001</c:v>
                </c:pt>
                <c:pt idx="4">
                  <c:v>16.622299000000002</c:v>
                </c:pt>
                <c:pt idx="5">
                  <c:v>5.8044969999999996</c:v>
                </c:pt>
                <c:pt idx="6">
                  <c:v>13.945766000000001</c:v>
                </c:pt>
                <c:pt idx="7">
                  <c:v>18.592438999999999</c:v>
                </c:pt>
                <c:pt idx="8">
                  <c:v>6.1125850000000002</c:v>
                </c:pt>
                <c:pt idx="9">
                  <c:v>10.663277000000001</c:v>
                </c:pt>
                <c:pt idx="10">
                  <c:v>12.888699000000001</c:v>
                </c:pt>
                <c:pt idx="11">
                  <c:v>15.613065000000001</c:v>
                </c:pt>
                <c:pt idx="12">
                  <c:v>14.419082</c:v>
                </c:pt>
                <c:pt idx="13">
                  <c:v>18.811104</c:v>
                </c:pt>
                <c:pt idx="14">
                  <c:v>25.238717999999999</c:v>
                </c:pt>
                <c:pt idx="15">
                  <c:v>16.771318999999998</c:v>
                </c:pt>
                <c:pt idx="16">
                  <c:v>23.978197999999999</c:v>
                </c:pt>
                <c:pt idx="17">
                  <c:v>15.723757000000001</c:v>
                </c:pt>
                <c:pt idx="18">
                  <c:v>17.560604999999999</c:v>
                </c:pt>
                <c:pt idx="19">
                  <c:v>17.594118999999999</c:v>
                </c:pt>
                <c:pt idx="20">
                  <c:v>30.854755000000001</c:v>
                </c:pt>
                <c:pt idx="21">
                  <c:v>17.256965000000001</c:v>
                </c:pt>
                <c:pt idx="22">
                  <c:v>5.4335149999999999</c:v>
                </c:pt>
                <c:pt idx="23">
                  <c:v>8.9301490000000001</c:v>
                </c:pt>
                <c:pt idx="24">
                  <c:v>6.8531060000000004</c:v>
                </c:pt>
                <c:pt idx="25">
                  <c:v>5.9524229999999996</c:v>
                </c:pt>
                <c:pt idx="26">
                  <c:v>5.3614920000000001</c:v>
                </c:pt>
                <c:pt idx="27">
                  <c:v>5.481452</c:v>
                </c:pt>
                <c:pt idx="28">
                  <c:v>5.6014119999999998</c:v>
                </c:pt>
                <c:pt idx="29">
                  <c:v>15.754555999999999</c:v>
                </c:pt>
                <c:pt idx="30">
                  <c:v>15.825305</c:v>
                </c:pt>
                <c:pt idx="31">
                  <c:v>11.825414</c:v>
                </c:pt>
                <c:pt idx="32">
                  <c:v>11.149857000000001</c:v>
                </c:pt>
                <c:pt idx="33">
                  <c:v>7.2110900000000004</c:v>
                </c:pt>
                <c:pt idx="34">
                  <c:v>20.202092</c:v>
                </c:pt>
                <c:pt idx="35">
                  <c:v>19.728639999999999</c:v>
                </c:pt>
                <c:pt idx="36">
                  <c:v>13.560829999999999</c:v>
                </c:pt>
                <c:pt idx="37">
                  <c:v>14.137014000000001</c:v>
                </c:pt>
                <c:pt idx="38">
                  <c:v>14.713198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D-4000-BFAE-21AC90808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550767"/>
        <c:axId val="702087663"/>
      </c:scatterChart>
      <c:valAx>
        <c:axId val="6955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87663"/>
        <c:crosses val="autoZero"/>
        <c:crossBetween val="midCat"/>
      </c:valAx>
      <c:valAx>
        <c:axId val="7020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'MFP-rsum'!$BU$1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'MFP-rsum'!$BK$2:$BK$40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'MFP-rsum'!$BU$2:$BU$40</c:f>
              <c:numCache>
                <c:formatCode>General</c:formatCode>
                <c:ptCount val="39"/>
                <c:pt idx="0">
                  <c:v>0.41394465624042837</c:v>
                </c:pt>
                <c:pt idx="1">
                  <c:v>0.29124726463980749</c:v>
                </c:pt>
                <c:pt idx="2">
                  <c:v>0.26238652387925293</c:v>
                </c:pt>
                <c:pt idx="5">
                  <c:v>0.39125353733723539</c:v>
                </c:pt>
                <c:pt idx="6">
                  <c:v>0.25275932578655919</c:v>
                </c:pt>
                <c:pt idx="7">
                  <c:v>0.21891087231062725</c:v>
                </c:pt>
                <c:pt idx="12">
                  <c:v>0.25540383259273031</c:v>
                </c:pt>
                <c:pt idx="13">
                  <c:v>0.22985990139579499</c:v>
                </c:pt>
                <c:pt idx="14">
                  <c:v>0.18969079162882779</c:v>
                </c:pt>
                <c:pt idx="22">
                  <c:v>0.41612814764513956</c:v>
                </c:pt>
                <c:pt idx="23">
                  <c:v>0.31403884367075796</c:v>
                </c:pt>
                <c:pt idx="24">
                  <c:v>0.37053036457699584</c:v>
                </c:pt>
                <c:pt idx="25">
                  <c:v>0.39757643517425006</c:v>
                </c:pt>
                <c:pt idx="26">
                  <c:v>0.41891382891358497</c:v>
                </c:pt>
                <c:pt idx="27">
                  <c:v>0.41430456700560619</c:v>
                </c:pt>
                <c:pt idx="28">
                  <c:v>0.40984417755887542</c:v>
                </c:pt>
                <c:pt idx="31">
                  <c:v>0.27085167873613741</c:v>
                </c:pt>
                <c:pt idx="33">
                  <c:v>0.34320422489180508</c:v>
                </c:pt>
                <c:pt idx="34">
                  <c:v>0.20516135221071996</c:v>
                </c:pt>
                <c:pt idx="35">
                  <c:v>0.20760850977434864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D-4FF3-8BA9-D5B1C42B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'MFP-rsum'!$BV$1</c:f>
              <c:strCache>
                <c:ptCount val="1"/>
                <c:pt idx="0">
                  <c:v>1/sqrt(mu)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'MFP-rsum'!$BK$2:$BK$40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'MFP-rsum'!$BV$2:$BV$40</c:f>
              <c:numCache>
                <c:formatCode>General</c:formatCode>
                <c:ptCount val="39"/>
                <c:pt idx="0">
                  <c:v>0.44351715976809863</c:v>
                </c:pt>
                <c:pt idx="1">
                  <c:v>0.31005420796575117</c:v>
                </c:pt>
                <c:pt idx="2">
                  <c:v>0.27966508792953987</c:v>
                </c:pt>
                <c:pt idx="3">
                  <c:v>0.25364604325163281</c:v>
                </c:pt>
                <c:pt idx="4">
                  <c:v>0.24527566110138047</c:v>
                </c:pt>
                <c:pt idx="5">
                  <c:v>0.4150665206068388</c:v>
                </c:pt>
                <c:pt idx="6">
                  <c:v>0.2677804167426549</c:v>
                </c:pt>
                <c:pt idx="7">
                  <c:v>0.23191659034190587</c:v>
                </c:pt>
                <c:pt idx="8">
                  <c:v>0.40447114487547259</c:v>
                </c:pt>
                <c:pt idx="9">
                  <c:v>0.30623487956556078</c:v>
                </c:pt>
                <c:pt idx="10">
                  <c:v>0.27854505914169592</c:v>
                </c:pt>
                <c:pt idx="11">
                  <c:v>0.25307888716651805</c:v>
                </c:pt>
                <c:pt idx="12">
                  <c:v>0.26334870930589072</c:v>
                </c:pt>
                <c:pt idx="13">
                  <c:v>0.23056472188097921</c:v>
                </c:pt>
                <c:pt idx="14">
                  <c:v>0.19905191239018427</c:v>
                </c:pt>
                <c:pt idx="15">
                  <c:v>0.24418354263617689</c:v>
                </c:pt>
                <c:pt idx="16">
                  <c:v>0.20421692333539934</c:v>
                </c:pt>
                <c:pt idx="17">
                  <c:v>0.25218650230768064</c:v>
                </c:pt>
                <c:pt idx="18">
                  <c:v>0.23863286914181275</c:v>
                </c:pt>
                <c:pt idx="19">
                  <c:v>0.23840548196432468</c:v>
                </c:pt>
                <c:pt idx="20">
                  <c:v>0.18002754073948021</c:v>
                </c:pt>
                <c:pt idx="21">
                  <c:v>0.24072311291726189</c:v>
                </c:pt>
                <c:pt idx="22">
                  <c:v>0.42900224494995404</c:v>
                </c:pt>
                <c:pt idx="23">
                  <c:v>0.33463444897360917</c:v>
                </c:pt>
                <c:pt idx="24">
                  <c:v>0.38199376592330547</c:v>
                </c:pt>
                <c:pt idx="25">
                  <c:v>0.40987658295684953</c:v>
                </c:pt>
                <c:pt idx="26">
                  <c:v>0.43187410912122187</c:v>
                </c:pt>
                <c:pt idx="27">
                  <c:v>0.42712224670269727</c:v>
                </c:pt>
                <c:pt idx="28">
                  <c:v>0.422523862534678</c:v>
                </c:pt>
                <c:pt idx="29">
                  <c:v>0.25193987866994549</c:v>
                </c:pt>
                <c:pt idx="30">
                  <c:v>0.25137608350806889</c:v>
                </c:pt>
                <c:pt idx="31">
                  <c:v>0.29079827298894118</c:v>
                </c:pt>
                <c:pt idx="32">
                  <c:v>0.29947829454524799</c:v>
                </c:pt>
                <c:pt idx="33">
                  <c:v>0.372391313567767</c:v>
                </c:pt>
                <c:pt idx="34">
                  <c:v>0.22248555925638236</c:v>
                </c:pt>
                <c:pt idx="35">
                  <c:v>0.22513935936671312</c:v>
                </c:pt>
                <c:pt idx="36">
                  <c:v>0.27155441257725826</c:v>
                </c:pt>
                <c:pt idx="37">
                  <c:v>0.26596295891484367</c:v>
                </c:pt>
                <c:pt idx="38">
                  <c:v>0.2607032590276197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9-4678-A5DE-EEB5A7977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821084864391945E-2"/>
                  <c:y val="-6.70290172061825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'MFP-rsum'!$AG$2:$AG$22</c:f>
              <c:numCache>
                <c:formatCode>0.000</c:formatCode>
                <c:ptCount val="21"/>
                <c:pt idx="0">
                  <c:v>5.1023950904962554</c:v>
                </c:pt>
                <c:pt idx="1">
                  <c:v>4.0364580955027831</c:v>
                </c:pt>
                <c:pt idx="2">
                  <c:v>4.5439151800414059</c:v>
                </c:pt>
                <c:pt idx="3">
                  <c:v>6.7209703769226667</c:v>
                </c:pt>
                <c:pt idx="4">
                  <c:v>3.5157591618343522</c:v>
                </c:pt>
                <c:pt idx="5">
                  <c:v>7.3036474995163232</c:v>
                </c:pt>
                <c:pt idx="6">
                  <c:v>4.1905191869704392</c:v>
                </c:pt>
                <c:pt idx="7">
                  <c:v>4.0097643993883754</c:v>
                </c:pt>
                <c:pt idx="8">
                  <c:v>7.6906905998035198</c:v>
                </c:pt>
                <c:pt idx="9">
                  <c:v>5.84265043475847</c:v>
                </c:pt>
                <c:pt idx="10">
                  <c:v>6.0576168316134931</c:v>
                </c:pt>
                <c:pt idx="11">
                  <c:v>8.0456207669666391</c:v>
                </c:pt>
                <c:pt idx="12">
                  <c:v>6.603124942350699</c:v>
                </c:pt>
                <c:pt idx="13">
                  <c:v>5.8999195368862987</c:v>
                </c:pt>
                <c:pt idx="14">
                  <c:v>6.2810638797105316</c:v>
                </c:pt>
                <c:pt idx="15">
                  <c:v>5.0675799559951127</c:v>
                </c:pt>
                <c:pt idx="16">
                  <c:v>4.2163301846118708</c:v>
                </c:pt>
                <c:pt idx="17">
                  <c:v>10.634226921721062</c:v>
                </c:pt>
                <c:pt idx="18">
                  <c:v>17.541064217320532</c:v>
                </c:pt>
                <c:pt idx="19">
                  <c:v>17.848151419232757</c:v>
                </c:pt>
                <c:pt idx="20">
                  <c:v>11.161582712291834</c:v>
                </c:pt>
              </c:numCache>
            </c:numRef>
          </c:xVal>
          <c:yVal>
            <c:numRef>
              <c:f>'MFP-rsum'!$BC$2:$BC$22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D-42FA-9451-51A3E895D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105888"/>
        <c:axId val="1557119328"/>
      </c:scatterChart>
      <c:valAx>
        <c:axId val="155710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19328"/>
        <c:crosses val="autoZero"/>
        <c:crossBetween val="midCat"/>
      </c:valAx>
      <c:valAx>
        <c:axId val="1557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0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GUI_plotter_results_BC!$Y$1</c:f>
              <c:strCache>
                <c:ptCount val="1"/>
                <c:pt idx="0">
                  <c:v>cp_BC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GUI_plotter_results_BC!$P$2:$P$28</c:f>
              <c:numCache>
                <c:formatCode>General</c:formatCode>
                <c:ptCount val="27"/>
                <c:pt idx="0">
                  <c:v>2303686.483</c:v>
                </c:pt>
                <c:pt idx="1">
                  <c:v>1508405.084</c:v>
                </c:pt>
                <c:pt idx="2">
                  <c:v>4476075.1840000004</c:v>
                </c:pt>
                <c:pt idx="3">
                  <c:v>3257796.2850000001</c:v>
                </c:pt>
                <c:pt idx="4">
                  <c:v>2198743.6889999998</c:v>
                </c:pt>
                <c:pt idx="5">
                  <c:v>1928974.585</c:v>
                </c:pt>
                <c:pt idx="6">
                  <c:v>1799756.6029999999</c:v>
                </c:pt>
                <c:pt idx="7">
                  <c:v>2129019.7030000002</c:v>
                </c:pt>
                <c:pt idx="8">
                  <c:v>4895548.2620000001</c:v>
                </c:pt>
                <c:pt idx="9">
                  <c:v>5313500.2589999996</c:v>
                </c:pt>
                <c:pt idx="10">
                  <c:v>4176953.7779999999</c:v>
                </c:pt>
                <c:pt idx="11">
                  <c:v>4129410.071</c:v>
                </c:pt>
                <c:pt idx="12">
                  <c:v>2774359.2609999999</c:v>
                </c:pt>
                <c:pt idx="13">
                  <c:v>1797748.3729999999</c:v>
                </c:pt>
                <c:pt idx="14">
                  <c:v>1823037.1529999999</c:v>
                </c:pt>
                <c:pt idx="15">
                  <c:v>4270154.1720000003</c:v>
                </c:pt>
                <c:pt idx="16">
                  <c:v>2238425.11</c:v>
                </c:pt>
                <c:pt idx="17">
                  <c:v>2051550.0090000001</c:v>
                </c:pt>
                <c:pt idx="18">
                  <c:v>1790703.442</c:v>
                </c:pt>
                <c:pt idx="19">
                  <c:v>1790703.442</c:v>
                </c:pt>
                <c:pt idx="20">
                  <c:v>1984667.638</c:v>
                </c:pt>
                <c:pt idx="21">
                  <c:v>1839447.4620000001</c:v>
                </c:pt>
                <c:pt idx="22">
                  <c:v>1735132.7339999999</c:v>
                </c:pt>
                <c:pt idx="23">
                  <c:v>1838632.3019999999</c:v>
                </c:pt>
                <c:pt idx="24">
                  <c:v>1853848.9790000001</c:v>
                </c:pt>
                <c:pt idx="25">
                  <c:v>1628871.879</c:v>
                </c:pt>
                <c:pt idx="26">
                  <c:v>1628871.879</c:v>
                </c:pt>
              </c:numCache>
            </c:numRef>
          </c:xVal>
          <c:yVal>
            <c:numRef>
              <c:f>GUI_plotter_results_BC!$Y$2:$Y$28</c:f>
              <c:numCache>
                <c:formatCode>General</c:formatCode>
                <c:ptCount val="27"/>
                <c:pt idx="0">
                  <c:v>2471260.7105808174</c:v>
                </c:pt>
                <c:pt idx="1">
                  <c:v>1275167.7281982664</c:v>
                </c:pt>
                <c:pt idx="2">
                  <c:v>4629678.3385366462</c:v>
                </c:pt>
                <c:pt idx="3">
                  <c:v>4397902.4652518425</c:v>
                </c:pt>
                <c:pt idx="4">
                  <c:v>2357513.2638697517</c:v>
                </c:pt>
                <c:pt idx="7">
                  <c:v>1707003.1479081465</c:v>
                </c:pt>
                <c:pt idx="10">
                  <c:v>4775757.4828470424</c:v>
                </c:pt>
                <c:pt idx="11">
                  <c:v>3936495.285895403</c:v>
                </c:pt>
                <c:pt idx="12">
                  <c:v>4747724.8731269538</c:v>
                </c:pt>
                <c:pt idx="13">
                  <c:v>2450541.3478537882</c:v>
                </c:pt>
                <c:pt idx="23">
                  <c:v>1474524.519762431</c:v>
                </c:pt>
                <c:pt idx="24">
                  <c:v>1927327.9026434557</c:v>
                </c:pt>
                <c:pt idx="25">
                  <c:v>4610371.1209252812</c:v>
                </c:pt>
                <c:pt idx="26">
                  <c:v>2533903.5637726975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0-4CBA-9F33-85842E623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615471"/>
        <c:axId val="1329611151"/>
      </c:scatterChart>
      <c:valAx>
        <c:axId val="13296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11151"/>
        <c:crosses val="autoZero"/>
        <c:crossBetween val="midCat"/>
      </c:valAx>
      <c:valAx>
        <c:axId val="13296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1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GUI_plotter_results_BC!$Z$1</c:f>
              <c:strCache>
                <c:ptCount val="1"/>
                <c:pt idx="0">
                  <c:v>v_BC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GUI_plotter_results_BC!$U$2:$U$28</c:f>
              <c:numCache>
                <c:formatCode>General</c:formatCode>
                <c:ptCount val="27"/>
                <c:pt idx="0">
                  <c:v>2079.4830000000002</c:v>
                </c:pt>
                <c:pt idx="1">
                  <c:v>1632.6594</c:v>
                </c:pt>
                <c:pt idx="2">
                  <c:v>2571.7112000000002</c:v>
                </c:pt>
                <c:pt idx="3">
                  <c:v>2078.7199999999998</c:v>
                </c:pt>
                <c:pt idx="4">
                  <c:v>1833.136</c:v>
                </c:pt>
                <c:pt idx="5">
                  <c:v>2065.0300000000002</c:v>
                </c:pt>
                <c:pt idx="6">
                  <c:v>1873.13</c:v>
                </c:pt>
                <c:pt idx="7">
                  <c:v>1453.8835349999999</c:v>
                </c:pt>
                <c:pt idx="8">
                  <c:v>3551.6475019999998</c:v>
                </c:pt>
                <c:pt idx="9">
                  <c:v>3464.595041</c:v>
                </c:pt>
                <c:pt idx="10">
                  <c:v>2404.86</c:v>
                </c:pt>
                <c:pt idx="11">
                  <c:v>2359.15</c:v>
                </c:pt>
                <c:pt idx="12">
                  <c:v>2066.835583</c:v>
                </c:pt>
                <c:pt idx="13">
                  <c:v>2041.501426</c:v>
                </c:pt>
                <c:pt idx="14">
                  <c:v>2008.041469</c:v>
                </c:pt>
                <c:pt idx="15">
                  <c:v>2018.702849</c:v>
                </c:pt>
                <c:pt idx="16">
                  <c:v>2112.201047</c:v>
                </c:pt>
                <c:pt idx="17">
                  <c:v>2052.6091350000002</c:v>
                </c:pt>
                <c:pt idx="18">
                  <c:v>1915.948813</c:v>
                </c:pt>
                <c:pt idx="19">
                  <c:v>1915.948813</c:v>
                </c:pt>
                <c:pt idx="20">
                  <c:v>2060.6051980000002</c:v>
                </c:pt>
                <c:pt idx="21">
                  <c:v>1953.049571</c:v>
                </c:pt>
                <c:pt idx="22">
                  <c:v>1799.5981159999999</c:v>
                </c:pt>
                <c:pt idx="23">
                  <c:v>1835.1641850000001</c:v>
                </c:pt>
                <c:pt idx="24">
                  <c:v>1773.623</c:v>
                </c:pt>
                <c:pt idx="25">
                  <c:v>2101</c:v>
                </c:pt>
                <c:pt idx="26">
                  <c:v>2101</c:v>
                </c:pt>
              </c:numCache>
            </c:numRef>
          </c:xVal>
          <c:yVal>
            <c:numRef>
              <c:f>GUI_plotter_results_BC!$Z$2:$Z$28</c:f>
              <c:numCache>
                <c:formatCode>General</c:formatCode>
                <c:ptCount val="27"/>
                <c:pt idx="0">
                  <c:v>2230.748269846375</c:v>
                </c:pt>
                <c:pt idx="1">
                  <c:v>1380.2092024900285</c:v>
                </c:pt>
                <c:pt idx="2">
                  <c:v>2659.9632817097208</c:v>
                </c:pt>
                <c:pt idx="3">
                  <c:v>2806.1938233097067</c:v>
                </c:pt>
                <c:pt idx="4">
                  <c:v>1965.5053274730021</c:v>
                </c:pt>
                <c:pt idx="7">
                  <c:v>1165.693190833201</c:v>
                </c:pt>
                <c:pt idx="10">
                  <c:v>2749.6182027895875</c:v>
                </c:pt>
                <c:pt idx="11">
                  <c:v>2248.9369411236999</c:v>
                </c:pt>
                <c:pt idx="12">
                  <c:v>3536.9488169805372</c:v>
                </c:pt>
                <c:pt idx="13">
                  <c:v>2782.805275338425</c:v>
                </c:pt>
                <c:pt idx="23" formatCode="0.00E+00">
                  <c:v>1471.7432004370053</c:v>
                </c:pt>
                <c:pt idx="24">
                  <c:v>1843.9220968873722</c:v>
                </c:pt>
                <c:pt idx="25">
                  <c:v>5946.6860776126232</c:v>
                </c:pt>
                <c:pt idx="26">
                  <c:v>3268.3549001747101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F-416C-B1B9-4C8B3F028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614991"/>
        <c:axId val="1329633711"/>
      </c:scatterChart>
      <c:valAx>
        <c:axId val="132961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33711"/>
        <c:crosses val="autoZero"/>
        <c:crossBetween val="midCat"/>
      </c:valAx>
      <c:valAx>
        <c:axId val="132963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1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GUI_plotter_results_BC!$AA$1</c:f>
              <c:strCache>
                <c:ptCount val="1"/>
                <c:pt idx="0">
                  <c:v>l_BC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GUI_plotter_results_BC!$V$2:$V$28</c:f>
              <c:numCache>
                <c:formatCode>General</c:formatCode>
                <c:ptCount val="27"/>
                <c:pt idx="0">
                  <c:v>4.149973617089572E-10</c:v>
                </c:pt>
                <c:pt idx="1">
                  <c:v>5.0107609601944331E-10</c:v>
                </c:pt>
                <c:pt idx="2">
                  <c:v>3.4514000011127359E-10</c:v>
                </c:pt>
                <c:pt idx="3">
                  <c:v>3.8694521056268988E-10</c:v>
                </c:pt>
                <c:pt idx="4">
                  <c:v>4.3231599960583983E-10</c:v>
                </c:pt>
                <c:pt idx="5">
                  <c:v>0</c:v>
                </c:pt>
                <c:pt idx="6">
                  <c:v>0</c:v>
                </c:pt>
                <c:pt idx="7">
                  <c:v>2.9226600056547161E-10</c:v>
                </c:pt>
                <c:pt idx="8">
                  <c:v>0</c:v>
                </c:pt>
                <c:pt idx="9">
                  <c:v>0</c:v>
                </c:pt>
                <c:pt idx="10">
                  <c:v>2.2650464101995692E-10</c:v>
                </c:pt>
                <c:pt idx="11">
                  <c:v>2.4519004760489892E-10</c:v>
                </c:pt>
                <c:pt idx="12">
                  <c:v>2.5372902113927941E-10</c:v>
                </c:pt>
                <c:pt idx="13">
                  <c:v>2.7484200007713947E-10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 formatCode="0.00E+00">
                  <c:v>5.6547000000000001E-10</c:v>
                </c:pt>
                <c:pt idx="24">
                  <c:v>4.6026200000596282E-10</c:v>
                </c:pt>
                <c:pt idx="25">
                  <c:v>2.4515000019620903E-10</c:v>
                </c:pt>
                <c:pt idx="26" formatCode="0.00E+00">
                  <c:v>4.4604399999999997E-10</c:v>
                </c:pt>
              </c:numCache>
            </c:numRef>
          </c:xVal>
          <c:yVal>
            <c:numRef>
              <c:f>GUI_plotter_results_BC!$AA$2:$AA$28</c:f>
              <c:numCache>
                <c:formatCode>General</c:formatCode>
                <c:ptCount val="27"/>
                <c:pt idx="0">
                  <c:v>4.4518500349513148E-10</c:v>
                </c:pt>
                <c:pt idx="1">
                  <c:v>4.2359713169434657E-10</c:v>
                </c:pt>
                <c:pt idx="2">
                  <c:v>3.5698399079386393E-10</c:v>
                </c:pt>
                <c:pt idx="3">
                  <c:v>5.2236148198905786E-10</c:v>
                </c:pt>
                <c:pt idx="4">
                  <c:v>4.6353320232491993E-10</c:v>
                </c:pt>
                <c:pt idx="7">
                  <c:v>2.3433272237395736E-10</c:v>
                </c:pt>
                <c:pt idx="10">
                  <c:v>2.5897610836589018E-10</c:v>
                </c:pt>
                <c:pt idx="11">
                  <c:v>2.337354367694024E-10</c:v>
                </c:pt>
                <c:pt idx="12">
                  <c:v>4.3420316958623021E-10</c:v>
                </c:pt>
                <c:pt idx="13">
                  <c:v>3.7464179939261406E-10</c:v>
                </c:pt>
                <c:pt idx="23">
                  <c:v>4.5348892178337343E-10</c:v>
                </c:pt>
                <c:pt idx="24">
                  <c:v>4.7850488642094223E-10</c:v>
                </c:pt>
                <c:pt idx="25">
                  <c:v>6.9387438985889014E-10</c:v>
                </c:pt>
                <c:pt idx="26">
                  <c:v>6.9387438985889014E-10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8-44E6-8CD8-A8DD5A168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614511"/>
        <c:axId val="1329635631"/>
      </c:scatterChart>
      <c:valAx>
        <c:axId val="132961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35631"/>
        <c:crosses val="autoZero"/>
        <c:crossBetween val="midCat"/>
      </c:valAx>
      <c:valAx>
        <c:axId val="13296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1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GUI_plotter_results_BC!$F$1</c:f>
              <c:strCache>
                <c:ptCount val="1"/>
                <c:pt idx="0">
                  <c:v>Present Model, Mix Data at Min Meas Temp (W/m-K)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GUI_plotter_results_BC!$E$2:$E$28</c:f>
              <c:numCache>
                <c:formatCode>General</c:formatCode>
                <c:ptCount val="27"/>
                <c:pt idx="0">
                  <c:v>0.66267842200000004</c:v>
                </c:pt>
                <c:pt idx="1">
                  <c:v>0.411335328</c:v>
                </c:pt>
                <c:pt idx="2">
                  <c:v>1.3243220469999999</c:v>
                </c:pt>
                <c:pt idx="3">
                  <c:v>0.87347029300000001</c:v>
                </c:pt>
                <c:pt idx="4">
                  <c:v>0.58083041000000002</c:v>
                </c:pt>
                <c:pt idx="7">
                  <c:v>0.30155486599999998</c:v>
                </c:pt>
                <c:pt idx="10">
                  <c:v>0.81674049299999996</c:v>
                </c:pt>
                <c:pt idx="11">
                  <c:v>0.66960861900000002</c:v>
                </c:pt>
                <c:pt idx="12">
                  <c:v>0.48497295200000001</c:v>
                </c:pt>
                <c:pt idx="13">
                  <c:v>0.33623307899999999</c:v>
                </c:pt>
                <c:pt idx="24">
                  <c:v>0.50445163000000004</c:v>
                </c:pt>
                <c:pt idx="25">
                  <c:v>0.279655665</c:v>
                </c:pt>
                <c:pt idx="26" formatCode="0.0000">
                  <c:v>0.50882615272047205</c:v>
                </c:pt>
              </c:numCache>
            </c:numRef>
          </c:xVal>
          <c:yVal>
            <c:numRef>
              <c:f>GUI_plotter_results_BC!$F$2:$F$28</c:f>
            </c:numRef>
          </c:yVal>
          <c:smooth val="0"/>
          <c:extLst>
            <c:ext xmlns:c16="http://schemas.microsoft.com/office/drawing/2014/chart" uri="{C3380CC4-5D6E-409C-BE32-E72D297353CC}">
              <c16:uniqueId val="{00000000-EB1D-4B93-88DA-9155F298C4E0}"/>
            </c:ext>
          </c:extLst>
        </c:ser>
        <c:ser>
          <c:idx val="1"/>
          <c:order val="1"/>
          <c:tx>
            <c:strRef>
              <c:f>GUI_plotter_results_BC!$G$1</c:f>
              <c:strCache>
                <c:ptCount val="1"/>
                <c:pt idx="0">
                  <c:v>Ideal at Min Meas Temp (W/m-K)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GUI_plotter_results_BC!$E$2:$E$28</c:f>
              <c:numCache>
                <c:formatCode>General</c:formatCode>
                <c:ptCount val="27"/>
                <c:pt idx="0">
                  <c:v>0.66267842200000004</c:v>
                </c:pt>
                <c:pt idx="1">
                  <c:v>0.411335328</c:v>
                </c:pt>
                <c:pt idx="2">
                  <c:v>1.3243220469999999</c:v>
                </c:pt>
                <c:pt idx="3">
                  <c:v>0.87347029300000001</c:v>
                </c:pt>
                <c:pt idx="4">
                  <c:v>0.58083041000000002</c:v>
                </c:pt>
                <c:pt idx="7">
                  <c:v>0.30155486599999998</c:v>
                </c:pt>
                <c:pt idx="10">
                  <c:v>0.81674049299999996</c:v>
                </c:pt>
                <c:pt idx="11">
                  <c:v>0.66960861900000002</c:v>
                </c:pt>
                <c:pt idx="12">
                  <c:v>0.48497295200000001</c:v>
                </c:pt>
                <c:pt idx="13">
                  <c:v>0.33623307899999999</c:v>
                </c:pt>
                <c:pt idx="24">
                  <c:v>0.50445163000000004</c:v>
                </c:pt>
                <c:pt idx="25">
                  <c:v>0.279655665</c:v>
                </c:pt>
                <c:pt idx="26" formatCode="0.0000">
                  <c:v>0.50882615272047205</c:v>
                </c:pt>
              </c:numCache>
            </c:numRef>
          </c:xVal>
          <c:yVal>
            <c:numRef>
              <c:f>GUI_plotter_results_BC!$G$2:$G$28</c:f>
            </c:numRef>
          </c:yVal>
          <c:smooth val="0"/>
          <c:extLst>
            <c:ext xmlns:c16="http://schemas.microsoft.com/office/drawing/2014/chart" uri="{C3380CC4-5D6E-409C-BE32-E72D297353CC}">
              <c16:uniqueId val="{00000001-EB1D-4B93-88DA-9155F298C4E0}"/>
            </c:ext>
          </c:extLst>
        </c:ser>
        <c:ser>
          <c:idx val="2"/>
          <c:order val="2"/>
          <c:tx>
            <c:strRef>
              <c:f>GUI_plotter_results_BC!$H$1</c:f>
              <c:strCache>
                <c:ptCount val="1"/>
                <c:pt idx="0">
                  <c:v>TC Experimental (W/m-K)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GUI_plotter_results_BC!$E$2:$E$28</c:f>
              <c:numCache>
                <c:formatCode>General</c:formatCode>
                <c:ptCount val="27"/>
                <c:pt idx="0">
                  <c:v>0.66267842200000004</c:v>
                </c:pt>
                <c:pt idx="1">
                  <c:v>0.411335328</c:v>
                </c:pt>
                <c:pt idx="2">
                  <c:v>1.3243220469999999</c:v>
                </c:pt>
                <c:pt idx="3">
                  <c:v>0.87347029300000001</c:v>
                </c:pt>
                <c:pt idx="4">
                  <c:v>0.58083041000000002</c:v>
                </c:pt>
                <c:pt idx="7">
                  <c:v>0.30155486599999998</c:v>
                </c:pt>
                <c:pt idx="10">
                  <c:v>0.81674049299999996</c:v>
                </c:pt>
                <c:pt idx="11">
                  <c:v>0.66960861900000002</c:v>
                </c:pt>
                <c:pt idx="12">
                  <c:v>0.48497295200000001</c:v>
                </c:pt>
                <c:pt idx="13">
                  <c:v>0.33623307899999999</c:v>
                </c:pt>
                <c:pt idx="24">
                  <c:v>0.50445163000000004</c:v>
                </c:pt>
                <c:pt idx="25">
                  <c:v>0.279655665</c:v>
                </c:pt>
                <c:pt idx="26" formatCode="0.0000">
                  <c:v>0.50882615272047205</c:v>
                </c:pt>
              </c:numCache>
            </c:numRef>
          </c:xVal>
          <c:yVal>
            <c:numRef>
              <c:f>GUI_plotter_results_BC!$H$2:$H$28</c:f>
              <c:numCache>
                <c:formatCode>General</c:formatCode>
                <c:ptCount val="27"/>
                <c:pt idx="0">
                  <c:v>0.71088282199999997</c:v>
                </c:pt>
                <c:pt idx="1">
                  <c:v>0.34773254300000001</c:v>
                </c:pt>
                <c:pt idx="2">
                  <c:v>1.3697681209999999</c:v>
                </c:pt>
                <c:pt idx="3">
                  <c:v>1.179152046</c:v>
                </c:pt>
                <c:pt idx="4">
                  <c:v>0.62277172300000005</c:v>
                </c:pt>
                <c:pt idx="7">
                  <c:v>0.24178033900000001</c:v>
                </c:pt>
                <c:pt idx="10">
                  <c:v>0.86713739199999995</c:v>
                </c:pt>
                <c:pt idx="11">
                  <c:v>0.75900891000000004</c:v>
                </c:pt>
                <c:pt idx="12">
                  <c:v>0.82992789700000003</c:v>
                </c:pt>
                <c:pt idx="13">
                  <c:v>0.45832502200000003</c:v>
                </c:pt>
                <c:pt idx="23">
                  <c:v>0.51005292000000002</c:v>
                </c:pt>
                <c:pt idx="24">
                  <c:v>0.52444601099999999</c:v>
                </c:pt>
                <c:pt idx="25">
                  <c:v>0.79153948100000004</c:v>
                </c:pt>
                <c:pt idx="26">
                  <c:v>0.79153948100000004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1D-4B93-88DA-9155F298C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366911"/>
        <c:axId val="1525358751"/>
      </c:scatterChart>
      <c:valAx>
        <c:axId val="152536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58751"/>
        <c:crosses val="autoZero"/>
        <c:crossBetween val="midCat"/>
      </c:valAx>
      <c:valAx>
        <c:axId val="15253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6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'GUI_plotter_results_Final_9-4-2'!$B$3</c:f>
              <c:strCache>
                <c:ptCount val="1"/>
                <c:pt idx="0">
                  <c:v>P - Alkali Unary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'GUI_plotter_results_Final_9-4-2'!$W$3:$W$9</c:f>
              <c:numCache>
                <c:formatCode>General</c:formatCode>
                <c:ptCount val="7"/>
                <c:pt idx="0">
                  <c:v>1.354220022</c:v>
                </c:pt>
                <c:pt idx="1">
                  <c:v>1.179152046</c:v>
                </c:pt>
                <c:pt idx="2">
                  <c:v>0.62277172300000005</c:v>
                </c:pt>
                <c:pt idx="3">
                  <c:v>0.65551426099999999</c:v>
                </c:pt>
                <c:pt idx="4">
                  <c:v>0.491042596</c:v>
                </c:pt>
                <c:pt idx="5">
                  <c:v>0.491042596</c:v>
                </c:pt>
                <c:pt idx="6">
                  <c:v>0.36749821500000002</c:v>
                </c:pt>
              </c:numCache>
            </c:numRef>
          </c:xVal>
          <c:yVal>
            <c:numRef>
              <c:f>'GUI_plotter_results_Final_9-4-2'!$S$3:$S$9</c:f>
              <c:numCache>
                <c:formatCode>General</c:formatCode>
                <c:ptCount val="7"/>
                <c:pt idx="0">
                  <c:v>1.3243220469999999</c:v>
                </c:pt>
                <c:pt idx="1">
                  <c:v>0.873665684</c:v>
                </c:pt>
                <c:pt idx="2">
                  <c:v>0.58083041000000002</c:v>
                </c:pt>
                <c:pt idx="3">
                  <c:v>0.63631758900000002</c:v>
                </c:pt>
                <c:pt idx="4">
                  <c:v>0.49883245300000001</c:v>
                </c:pt>
                <c:pt idx="5">
                  <c:v>0.49883245300000001</c:v>
                </c:pt>
                <c:pt idx="6">
                  <c:v>0.411335328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2-4EF1-8189-BC5CAD9D96B2}"/>
            </c:ext>
          </c:extLst>
        </c:ser>
        <c:ser>
          <c:idx val="4"/>
          <c:order val="1"/>
          <c:tx>
            <c:strRef>
              <c:f>'GUI_plotter_results_Final_9-4-2'!$B$10</c:f>
              <c:strCache>
                <c:ptCount val="1"/>
                <c:pt idx="0">
                  <c:v>P - Alkaline Earth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'GUI_plotter_results_Final_9-4-2'!$W$10:$W$15</c:f>
              <c:numCache>
                <c:formatCode>General</c:formatCode>
                <c:ptCount val="6"/>
                <c:pt idx="0">
                  <c:v>0.54390685781354797</c:v>
                </c:pt>
                <c:pt idx="1">
                  <c:v>0.54390685781354797</c:v>
                </c:pt>
                <c:pt idx="2">
                  <c:v>0.54390685781354797</c:v>
                </c:pt>
                <c:pt idx="3">
                  <c:v>1.0258529508908301</c:v>
                </c:pt>
                <c:pt idx="4">
                  <c:v>1.0258529508908301</c:v>
                </c:pt>
              </c:numCache>
            </c:numRef>
          </c:xVal>
          <c:yVal>
            <c:numRef>
              <c:f>'GUI_plotter_results_Final_9-4-2'!$S$10:$S$15</c:f>
              <c:numCache>
                <c:formatCode>General</c:formatCode>
                <c:ptCount val="6"/>
                <c:pt idx="0">
                  <c:v>0.50882615285345101</c:v>
                </c:pt>
                <c:pt idx="1">
                  <c:v>0.50882615285345101</c:v>
                </c:pt>
                <c:pt idx="2">
                  <c:v>0.50882615285345101</c:v>
                </c:pt>
                <c:pt idx="3">
                  <c:v>0.62106491862728797</c:v>
                </c:pt>
                <c:pt idx="4">
                  <c:v>0.62106491862728797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0-45A1-A59A-B768387273D9}"/>
            </c:ext>
          </c:extLst>
        </c:ser>
        <c:ser>
          <c:idx val="6"/>
          <c:order val="2"/>
          <c:tx>
            <c:strRef>
              <c:f>'GUI_plotter_results_Final_9-4-2'!$B$16</c:f>
              <c:strCache>
                <c:ptCount val="1"/>
                <c:pt idx="0">
                  <c:v>P - 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'GUI_plotter_results_Final_9-4-2'!$W$16:$W$22</c:f>
              <c:numCache>
                <c:formatCode>General</c:formatCode>
                <c:ptCount val="7"/>
                <c:pt idx="0">
                  <c:v>0.86868920999999999</c:v>
                </c:pt>
                <c:pt idx="1">
                  <c:v>1.23948167</c:v>
                </c:pt>
                <c:pt idx="2">
                  <c:v>1.1819500000000001</c:v>
                </c:pt>
                <c:pt idx="3">
                  <c:v>1.10003584410532</c:v>
                </c:pt>
                <c:pt idx="4">
                  <c:v>1.1867124999999901</c:v>
                </c:pt>
                <c:pt idx="5">
                  <c:v>0.79004699</c:v>
                </c:pt>
                <c:pt idx="6">
                  <c:v>0.76602038500000003</c:v>
                </c:pt>
              </c:numCache>
            </c:numRef>
          </c:xVal>
          <c:yVal>
            <c:numRef>
              <c:f>'GUI_plotter_results_Final_9-4-2'!$S$16:$S$22</c:f>
              <c:numCache>
                <c:formatCode>General</c:formatCode>
                <c:ptCount val="7"/>
                <c:pt idx="0">
                  <c:v>0.75868945499999996</c:v>
                </c:pt>
                <c:pt idx="1">
                  <c:v>1.107728343</c:v>
                </c:pt>
                <c:pt idx="2">
                  <c:v>1.223896251</c:v>
                </c:pt>
                <c:pt idx="3">
                  <c:v>1.28254880691883</c:v>
                </c:pt>
                <c:pt idx="4">
                  <c:v>1.28900834684299</c:v>
                </c:pt>
                <c:pt idx="5">
                  <c:v>0.81339900399999998</c:v>
                </c:pt>
                <c:pt idx="6">
                  <c:v>0.48446212999999999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530-45A1-A59A-B768387273D9}"/>
            </c:ext>
          </c:extLst>
        </c:ser>
        <c:ser>
          <c:idx val="5"/>
          <c:order val="3"/>
          <c:tx>
            <c:strRef>
              <c:f>'GUI_plotter_results_Final_9-4-2'!$B$24</c:f>
              <c:strCache>
                <c:ptCount val="1"/>
                <c:pt idx="0">
                  <c:v>P - 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'GUI_plotter_results_Final_9-4-2'!$W$24:$W$33</c:f>
              <c:numCache>
                <c:formatCode>General</c:formatCode>
                <c:ptCount val="10"/>
                <c:pt idx="2">
                  <c:v>0.58073622386404899</c:v>
                </c:pt>
                <c:pt idx="3">
                  <c:v>0.61309196768942897</c:v>
                </c:pt>
                <c:pt idx="6">
                  <c:v>0.48206143203948898</c:v>
                </c:pt>
                <c:pt idx="7">
                  <c:v>0.481544580427339</c:v>
                </c:pt>
                <c:pt idx="9">
                  <c:v>0.53550323241367803</c:v>
                </c:pt>
              </c:numCache>
            </c:numRef>
          </c:xVal>
          <c:yVal>
            <c:numRef>
              <c:f>'GUI_plotter_results_Final_9-4-2'!$S$24:$S$33</c:f>
              <c:numCache>
                <c:formatCode>General</c:formatCode>
                <c:ptCount val="10"/>
                <c:pt idx="2">
                  <c:v>0.38242283100248098</c:v>
                </c:pt>
                <c:pt idx="3">
                  <c:v>0.387060692006792</c:v>
                </c:pt>
                <c:pt idx="6">
                  <c:v>0.247253218913526</c:v>
                </c:pt>
                <c:pt idx="7">
                  <c:v>0.24891714425459099</c:v>
                </c:pt>
                <c:pt idx="9">
                  <c:v>0.31764385614330798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0-45A1-A59A-B768387273D9}"/>
            </c:ext>
          </c:extLst>
        </c:ser>
        <c:ser>
          <c:idx val="7"/>
          <c:order val="4"/>
          <c:tx>
            <c:strRef>
              <c:f>'GUI_plotter_results_Final_9-4-2'!$B$34</c:f>
              <c:strCache>
                <c:ptCount val="1"/>
                <c:pt idx="0">
                  <c:v>P - Actinide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'GUI_plotter_results_Final_9-4-2'!$W$34:$W$35</c:f>
              <c:numCache>
                <c:formatCode>General</c:formatCode>
                <c:ptCount val="2"/>
                <c:pt idx="0">
                  <c:v>0.23702504099999999</c:v>
                </c:pt>
              </c:numCache>
            </c:numRef>
          </c:xVal>
          <c:yVal>
            <c:numRef>
              <c:f>'GUI_plotter_results_Final_9-4-2'!$S$34:$S$35</c:f>
              <c:numCache>
                <c:formatCode>General</c:formatCode>
                <c:ptCount val="2"/>
                <c:pt idx="0">
                  <c:v>0.30812473400000001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30-45A1-A59A-B768387273D9}"/>
            </c:ext>
          </c:extLst>
        </c:ser>
        <c:ser>
          <c:idx val="2"/>
          <c:order val="5"/>
          <c:tx>
            <c:strRef>
              <c:f>'GUI_plotter_results_Final_9-4-2'!$A$3</c:f>
              <c:strCache>
                <c:ptCount val="1"/>
                <c:pt idx="0">
                  <c:v>G - Alkali Unary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'GUI_plotter_results_Final_9-4-2'!$W$3:$W$9</c:f>
              <c:numCache>
                <c:formatCode>General</c:formatCode>
                <c:ptCount val="7"/>
                <c:pt idx="0">
                  <c:v>1.354220022</c:v>
                </c:pt>
                <c:pt idx="1">
                  <c:v>1.179152046</c:v>
                </c:pt>
                <c:pt idx="2">
                  <c:v>0.62277172300000005</c:v>
                </c:pt>
                <c:pt idx="3">
                  <c:v>0.65551426099999999</c:v>
                </c:pt>
                <c:pt idx="4">
                  <c:v>0.491042596</c:v>
                </c:pt>
                <c:pt idx="5">
                  <c:v>0.491042596</c:v>
                </c:pt>
                <c:pt idx="6">
                  <c:v>0.36749821500000002</c:v>
                </c:pt>
              </c:numCache>
            </c:numRef>
          </c:xVal>
          <c:yVal>
            <c:numRef>
              <c:f>'GUI_plotter_results_Final_9-4-2'!$O$3:$O$9</c:f>
              <c:numCache>
                <c:formatCode>General</c:formatCode>
                <c:ptCount val="7"/>
                <c:pt idx="0">
                  <c:v>1.3498414940000001</c:v>
                </c:pt>
                <c:pt idx="1">
                  <c:v>0.84016734199999998</c:v>
                </c:pt>
                <c:pt idx="2">
                  <c:v>0.58268227900000003</c:v>
                </c:pt>
                <c:pt idx="3">
                  <c:v>0.66799848799999995</c:v>
                </c:pt>
                <c:pt idx="4">
                  <c:v>0.484113611</c:v>
                </c:pt>
                <c:pt idx="5">
                  <c:v>0.484113611</c:v>
                </c:pt>
                <c:pt idx="6">
                  <c:v>0.37219191699999998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02-4EF1-8189-BC5CAD9D96B2}"/>
            </c:ext>
          </c:extLst>
        </c:ser>
        <c:ser>
          <c:idx val="9"/>
          <c:order val="6"/>
          <c:tx>
            <c:strRef>
              <c:f>'GUI_plotter_results_Final_9-4-2'!$A$10</c:f>
              <c:strCache>
                <c:ptCount val="1"/>
                <c:pt idx="0">
                  <c:v>G - Alkaline Earth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'GUI_plotter_results_Final_9-4-2'!$W$10:$W$15</c:f>
              <c:numCache>
                <c:formatCode>General</c:formatCode>
                <c:ptCount val="6"/>
                <c:pt idx="0">
                  <c:v>0.54390685781354797</c:v>
                </c:pt>
                <c:pt idx="1">
                  <c:v>0.54390685781354797</c:v>
                </c:pt>
                <c:pt idx="2">
                  <c:v>0.54390685781354797</c:v>
                </c:pt>
                <c:pt idx="3">
                  <c:v>1.0258529508908301</c:v>
                </c:pt>
                <c:pt idx="4">
                  <c:v>1.0258529508908301</c:v>
                </c:pt>
              </c:numCache>
            </c:numRef>
          </c:xVal>
          <c:yVal>
            <c:numRef>
              <c:f>'GUI_plotter_results_Final_9-4-2'!$O$10:$O$15</c:f>
              <c:numCache>
                <c:formatCode>General</c:formatCode>
                <c:ptCount val="6"/>
                <c:pt idx="0">
                  <c:v>0.43829220310135403</c:v>
                </c:pt>
                <c:pt idx="1">
                  <c:v>0.43829220310135403</c:v>
                </c:pt>
                <c:pt idx="2">
                  <c:v>0.43829220310135403</c:v>
                </c:pt>
                <c:pt idx="3">
                  <c:v>0.44251165203382697</c:v>
                </c:pt>
                <c:pt idx="4">
                  <c:v>0.44251165203382697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30-45A1-A59A-B768387273D9}"/>
            </c:ext>
          </c:extLst>
        </c:ser>
        <c:ser>
          <c:idx val="10"/>
          <c:order val="7"/>
          <c:tx>
            <c:strRef>
              <c:f>'GUI_plotter_results_Final_9-4-2'!$A$16</c:f>
              <c:strCache>
                <c:ptCount val="1"/>
                <c:pt idx="0">
                  <c:v>G - 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'GUI_plotter_results_Final_9-4-2'!$W$16:$W$22</c:f>
              <c:numCache>
                <c:formatCode>General</c:formatCode>
                <c:ptCount val="7"/>
                <c:pt idx="0">
                  <c:v>0.86868920999999999</c:v>
                </c:pt>
                <c:pt idx="1">
                  <c:v>1.23948167</c:v>
                </c:pt>
                <c:pt idx="2">
                  <c:v>1.1819500000000001</c:v>
                </c:pt>
                <c:pt idx="3">
                  <c:v>1.10003584410532</c:v>
                </c:pt>
                <c:pt idx="4">
                  <c:v>1.1867124999999901</c:v>
                </c:pt>
                <c:pt idx="5">
                  <c:v>0.79004699</c:v>
                </c:pt>
                <c:pt idx="6">
                  <c:v>0.76602038500000003</c:v>
                </c:pt>
              </c:numCache>
            </c:numRef>
          </c:xVal>
          <c:yVal>
            <c:numRef>
              <c:f>'GUI_plotter_results_Final_9-4-2'!$O$16:$O$22</c:f>
              <c:numCache>
                <c:formatCode>General</c:formatCode>
                <c:ptCount val="7"/>
                <c:pt idx="0">
                  <c:v>1.065558754</c:v>
                </c:pt>
                <c:pt idx="1">
                  <c:v>1.520883459</c:v>
                </c:pt>
                <c:pt idx="2">
                  <c:v>1.51903579</c:v>
                </c:pt>
                <c:pt idx="3">
                  <c:v>1.5247355271605501</c:v>
                </c:pt>
                <c:pt idx="4">
                  <c:v>1.5272069694145101</c:v>
                </c:pt>
                <c:pt idx="5">
                  <c:v>0.90175870999999996</c:v>
                </c:pt>
                <c:pt idx="6">
                  <c:v>0.58988275099999998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530-45A1-A59A-B768387273D9}"/>
            </c:ext>
          </c:extLst>
        </c:ser>
        <c:ser>
          <c:idx val="11"/>
          <c:order val="8"/>
          <c:tx>
            <c:strRef>
              <c:f>'GUI_plotter_results_Final_9-4-2'!$A$24</c:f>
              <c:strCache>
                <c:ptCount val="1"/>
                <c:pt idx="0">
                  <c:v>G - 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'GUI_plotter_results_Final_9-4-2'!$W$24:$W$33</c:f>
              <c:numCache>
                <c:formatCode>General</c:formatCode>
                <c:ptCount val="10"/>
                <c:pt idx="2">
                  <c:v>0.58073622386404899</c:v>
                </c:pt>
                <c:pt idx="3">
                  <c:v>0.61309196768942897</c:v>
                </c:pt>
                <c:pt idx="6">
                  <c:v>0.48206143203948898</c:v>
                </c:pt>
                <c:pt idx="7">
                  <c:v>0.481544580427339</c:v>
                </c:pt>
                <c:pt idx="9">
                  <c:v>0.53550323241367803</c:v>
                </c:pt>
              </c:numCache>
            </c:numRef>
          </c:xVal>
          <c:yVal>
            <c:numRef>
              <c:f>'GUI_plotter_results_Final_9-4-2'!$O$24:$O$33</c:f>
              <c:numCache>
                <c:formatCode>General</c:formatCode>
                <c:ptCount val="10"/>
                <c:pt idx="2">
                  <c:v>0.39998305221610098</c:v>
                </c:pt>
                <c:pt idx="3">
                  <c:v>0.40380877376209401</c:v>
                </c:pt>
                <c:pt idx="6">
                  <c:v>0.40015577375356698</c:v>
                </c:pt>
                <c:pt idx="7">
                  <c:v>0.38163468391340599</c:v>
                </c:pt>
                <c:pt idx="9">
                  <c:v>0.39371521148919802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530-45A1-A59A-B768387273D9}"/>
            </c:ext>
          </c:extLst>
        </c:ser>
        <c:ser>
          <c:idx val="12"/>
          <c:order val="9"/>
          <c:tx>
            <c:strRef>
              <c:f>'GUI_plotter_results_Final_9-4-2'!$A$34</c:f>
              <c:strCache>
                <c:ptCount val="1"/>
                <c:pt idx="0">
                  <c:v>G - Actinide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'GUI_plotter_results_Final_9-4-2'!$W$34:$W$35</c:f>
              <c:numCache>
                <c:formatCode>General</c:formatCode>
                <c:ptCount val="2"/>
                <c:pt idx="0">
                  <c:v>0.23702504099999999</c:v>
                </c:pt>
              </c:numCache>
            </c:numRef>
          </c:xVal>
          <c:yVal>
            <c:numRef>
              <c:f>'GUI_plotter_results_Final_9-4-2'!$O$34:$O$35</c:f>
              <c:numCache>
                <c:formatCode>General</c:formatCode>
                <c:ptCount val="2"/>
                <c:pt idx="0">
                  <c:v>0.113273346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30-45A1-A59A-B768387273D9}"/>
            </c:ext>
          </c:extLst>
        </c:ser>
        <c:ser>
          <c:idx val="1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102-4EF1-8189-BC5CAD9D9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09375"/>
        <c:axId val="397862239"/>
      </c:scatterChart>
      <c:valAx>
        <c:axId val="394209375"/>
        <c:scaling>
          <c:orientation val="minMax"/>
          <c:max val="1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kExperimental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62239"/>
        <c:crosses val="autoZero"/>
        <c:crossBetween val="midCat"/>
        <c:majorUnit val="0.4"/>
      </c:valAx>
      <c:valAx>
        <c:axId val="397862239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09375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1350311852918939"/>
          <c:y val="5.36258468104387E-2"/>
          <c:w val="0.25434716416964881"/>
          <c:h val="0.4059065888493187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'0.64NaCl_0.36UCl3_plot_data'!$B$1</c:f>
              <c:strCache>
                <c:ptCount val="1"/>
                <c:pt idx="0">
                  <c:v>U-Cl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9.6443673467693503E-3</c:v>
                </c:pt>
                <c:pt idx="35">
                  <c:v>4.3550193574662097E-2</c:v>
                </c:pt>
                <c:pt idx="36">
                  <c:v>0.142056080776155</c:v>
                </c:pt>
                <c:pt idx="37">
                  <c:v>0.32530735403419703</c:v>
                </c:pt>
                <c:pt idx="38">
                  <c:v>0.53563180168398505</c:v>
                </c:pt>
                <c:pt idx="39">
                  <c:v>0.66756402188536401</c:v>
                </c:pt>
                <c:pt idx="40">
                  <c:v>0.68987244661969305</c:v>
                </c:pt>
                <c:pt idx="41">
                  <c:v>0.64010797388757801</c:v>
                </c:pt>
                <c:pt idx="42">
                  <c:v>0.53629563778408795</c:v>
                </c:pt>
                <c:pt idx="43">
                  <c:v>0.41602699026757101</c:v>
                </c:pt>
                <c:pt idx="44">
                  <c:v>0.31428519142339001</c:v>
                </c:pt>
                <c:pt idx="45">
                  <c:v>0.23282633447970399</c:v>
                </c:pt>
                <c:pt idx="46">
                  <c:v>0.17268073309005499</c:v>
                </c:pt>
                <c:pt idx="47">
                  <c:v>0.12745855270899201</c:v>
                </c:pt>
                <c:pt idx="48">
                  <c:v>9.7782837380878604E-2</c:v>
                </c:pt>
                <c:pt idx="49">
                  <c:v>7.7530997813011995E-2</c:v>
                </c:pt>
                <c:pt idx="50">
                  <c:v>6.2727106099798799E-2</c:v>
                </c:pt>
                <c:pt idx="51">
                  <c:v>5.2028704336295098E-2</c:v>
                </c:pt>
                <c:pt idx="52">
                  <c:v>4.51756091151366E-2</c:v>
                </c:pt>
                <c:pt idx="53">
                  <c:v>3.9346826476685998E-2</c:v>
                </c:pt>
                <c:pt idx="54">
                  <c:v>3.55825655197788E-2</c:v>
                </c:pt>
                <c:pt idx="55">
                  <c:v>3.2410108395683097E-2</c:v>
                </c:pt>
                <c:pt idx="56">
                  <c:v>3.2397211327215202E-2</c:v>
                </c:pt>
                <c:pt idx="57">
                  <c:v>3.2199154980353202E-2</c:v>
                </c:pt>
                <c:pt idx="58">
                  <c:v>3.0208912481635701E-2</c:v>
                </c:pt>
                <c:pt idx="59">
                  <c:v>2.9892714257190901E-2</c:v>
                </c:pt>
                <c:pt idx="60">
                  <c:v>3.07133837323708E-2</c:v>
                </c:pt>
                <c:pt idx="61">
                  <c:v>3.2437292683270003E-2</c:v>
                </c:pt>
                <c:pt idx="62">
                  <c:v>3.4638950318917401E-2</c:v>
                </c:pt>
                <c:pt idx="63">
                  <c:v>3.7615467223946701E-2</c:v>
                </c:pt>
                <c:pt idx="64">
                  <c:v>4.0654486958999397E-2</c:v>
                </c:pt>
                <c:pt idx="65">
                  <c:v>4.3746957651341199E-2</c:v>
                </c:pt>
                <c:pt idx="66">
                  <c:v>4.6534665819548598E-2</c:v>
                </c:pt>
                <c:pt idx="67">
                  <c:v>4.9518455308044197E-2</c:v>
                </c:pt>
                <c:pt idx="68">
                  <c:v>5.3913418868992501E-2</c:v>
                </c:pt>
                <c:pt idx="69">
                  <c:v>5.83699269509977E-2</c:v>
                </c:pt>
                <c:pt idx="70">
                  <c:v>6.2991828579569101E-2</c:v>
                </c:pt>
                <c:pt idx="71">
                  <c:v>6.7523085152360093E-2</c:v>
                </c:pt>
                <c:pt idx="72">
                  <c:v>7.2025447011194593E-2</c:v>
                </c:pt>
                <c:pt idx="73">
                  <c:v>7.7196334331313898E-2</c:v>
                </c:pt>
                <c:pt idx="74">
                  <c:v>8.2664021387359302E-2</c:v>
                </c:pt>
                <c:pt idx="75">
                  <c:v>8.9006875665791504E-2</c:v>
                </c:pt>
                <c:pt idx="76">
                  <c:v>9.7083973357367098E-2</c:v>
                </c:pt>
                <c:pt idx="77">
                  <c:v>0.105440489077678</c:v>
                </c:pt>
                <c:pt idx="78">
                  <c:v>0.11379700479799</c:v>
                </c:pt>
                <c:pt idx="79">
                  <c:v>0.120840387167313</c:v>
                </c:pt>
                <c:pt idx="80">
                  <c:v>0.12651827237250099</c:v>
                </c:pt>
                <c:pt idx="81">
                  <c:v>0.13219615757768899</c:v>
                </c:pt>
                <c:pt idx="82">
                  <c:v>0.13755504879813599</c:v>
                </c:pt>
                <c:pt idx="83">
                  <c:v>0.14163568216618</c:v>
                </c:pt>
                <c:pt idx="84">
                  <c:v>0.14547633701471099</c:v>
                </c:pt>
                <c:pt idx="85">
                  <c:v>0.14888707984834701</c:v>
                </c:pt>
                <c:pt idx="86">
                  <c:v>0.15184267931203899</c:v>
                </c:pt>
                <c:pt idx="87">
                  <c:v>0.15460124742928899</c:v>
                </c:pt>
                <c:pt idx="88">
                  <c:v>0.155384239248224</c:v>
                </c:pt>
                <c:pt idx="89">
                  <c:v>0.15555726082132901</c:v>
                </c:pt>
                <c:pt idx="90">
                  <c:v>0.15362320503692001</c:v>
                </c:pt>
                <c:pt idx="91">
                  <c:v>0.15020638890294299</c:v>
                </c:pt>
                <c:pt idx="92">
                  <c:v>0.146256902349684</c:v>
                </c:pt>
                <c:pt idx="93">
                  <c:v>0.141666473292448</c:v>
                </c:pt>
                <c:pt idx="94">
                  <c:v>0.13706042019207301</c:v>
                </c:pt>
                <c:pt idx="95">
                  <c:v>0.13297060159809401</c:v>
                </c:pt>
                <c:pt idx="96">
                  <c:v>0.12904042082129499</c:v>
                </c:pt>
                <c:pt idx="97">
                  <c:v>0.12513063244947201</c:v>
                </c:pt>
                <c:pt idx="98">
                  <c:v>0.121539711305303</c:v>
                </c:pt>
                <c:pt idx="99">
                  <c:v>0.11827172579735599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54-4FC6-B061-ACD936A04274}"/>
            </c:ext>
          </c:extLst>
        </c:ser>
        <c:ser>
          <c:idx val="5"/>
          <c:order val="1"/>
          <c:tx>
            <c:strRef>
              <c:f>'0.64NaCl_0.36UCl3_plot_data'!$F$1</c:f>
              <c:strCache>
                <c:ptCount val="1"/>
                <c:pt idx="0">
                  <c:v>Na-U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'0.64NaCl_0.36UCl3_plot_data'!$F$2:$F$101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7.6637300451885999E-4</c:v>
                </c:pt>
                <c:pt idx="46">
                  <c:v>1.3333316665492599E-3</c:v>
                </c:pt>
                <c:pt idx="47">
                  <c:v>2.7424327802620702E-3</c:v>
                </c:pt>
                <c:pt idx="48">
                  <c:v>4.62393489770136E-3</c:v>
                </c:pt>
                <c:pt idx="49">
                  <c:v>7.0523216926783898E-3</c:v>
                </c:pt>
                <c:pt idx="50">
                  <c:v>1.0388681181201599E-2</c:v>
                </c:pt>
                <c:pt idx="51">
                  <c:v>1.48549543416745E-2</c:v>
                </c:pt>
                <c:pt idx="52">
                  <c:v>2.0760044382929398E-2</c:v>
                </c:pt>
                <c:pt idx="53">
                  <c:v>2.7263019885111602E-2</c:v>
                </c:pt>
                <c:pt idx="54">
                  <c:v>3.3765995387293898E-2</c:v>
                </c:pt>
                <c:pt idx="55">
                  <c:v>4.0268970889476202E-2</c:v>
                </c:pt>
                <c:pt idx="56">
                  <c:v>4.7574145381229602E-2</c:v>
                </c:pt>
                <c:pt idx="57">
                  <c:v>5.6448882804703997E-2</c:v>
                </c:pt>
                <c:pt idx="58">
                  <c:v>6.4306716440254999E-2</c:v>
                </c:pt>
                <c:pt idx="59">
                  <c:v>7.0183167539347502E-2</c:v>
                </c:pt>
                <c:pt idx="60">
                  <c:v>7.5855051628586301E-2</c:v>
                </c:pt>
                <c:pt idx="61">
                  <c:v>8.1125336251966204E-2</c:v>
                </c:pt>
                <c:pt idx="62">
                  <c:v>8.4147784043029195E-2</c:v>
                </c:pt>
                <c:pt idx="63">
                  <c:v>8.6174456732082502E-2</c:v>
                </c:pt>
                <c:pt idx="64">
                  <c:v>8.7122447763479799E-2</c:v>
                </c:pt>
                <c:pt idx="65">
                  <c:v>8.7378663410404706E-2</c:v>
                </c:pt>
                <c:pt idx="66">
                  <c:v>8.6311255998700695E-2</c:v>
                </c:pt>
                <c:pt idx="67">
                  <c:v>8.4357969561108595E-2</c:v>
                </c:pt>
                <c:pt idx="68">
                  <c:v>8.2054056691712798E-2</c:v>
                </c:pt>
                <c:pt idx="69">
                  <c:v>7.9750143822317196E-2</c:v>
                </c:pt>
                <c:pt idx="70">
                  <c:v>7.7482301396553002E-2</c:v>
                </c:pt>
                <c:pt idx="71">
                  <c:v>7.5252801838866998E-2</c:v>
                </c:pt>
                <c:pt idx="72">
                  <c:v>7.2690490828657306E-2</c:v>
                </c:pt>
                <c:pt idx="73">
                  <c:v>6.9350893875898503E-2</c:v>
                </c:pt>
                <c:pt idx="74">
                  <c:v>6.6640275353112205E-2</c:v>
                </c:pt>
                <c:pt idx="75">
                  <c:v>6.39202717964341E-2</c:v>
                </c:pt>
                <c:pt idx="76">
                  <c:v>6.0779346436909798E-2</c:v>
                </c:pt>
                <c:pt idx="77">
                  <c:v>5.7549298735507799E-2</c:v>
                </c:pt>
                <c:pt idx="78">
                  <c:v>5.4003801594729402E-2</c:v>
                </c:pt>
                <c:pt idx="79">
                  <c:v>5.0561945510328998E-2</c:v>
                </c:pt>
                <c:pt idx="80">
                  <c:v>4.7653796577698498E-2</c:v>
                </c:pt>
                <c:pt idx="81">
                  <c:v>4.4896312683724703E-2</c:v>
                </c:pt>
                <c:pt idx="82">
                  <c:v>4.2237830519388099E-2</c:v>
                </c:pt>
                <c:pt idx="83">
                  <c:v>4.0071060182292603E-2</c:v>
                </c:pt>
                <c:pt idx="84">
                  <c:v>3.8015819799385703E-2</c:v>
                </c:pt>
                <c:pt idx="85">
                  <c:v>3.58591384071026E-2</c:v>
                </c:pt>
                <c:pt idx="86">
                  <c:v>3.4057981463326503E-2</c:v>
                </c:pt>
                <c:pt idx="87">
                  <c:v>3.3177386045036297E-2</c:v>
                </c:pt>
                <c:pt idx="88">
                  <c:v>3.2247703676680603E-2</c:v>
                </c:pt>
                <c:pt idx="89">
                  <c:v>3.1346892510338301E-2</c:v>
                </c:pt>
                <c:pt idx="90">
                  <c:v>3.0861507127611799E-2</c:v>
                </c:pt>
                <c:pt idx="91">
                  <c:v>3.0712906761647799E-2</c:v>
                </c:pt>
                <c:pt idx="92">
                  <c:v>3.0708988964078199E-2</c:v>
                </c:pt>
                <c:pt idx="93">
                  <c:v>3.0339596562580302E-2</c:v>
                </c:pt>
                <c:pt idx="94">
                  <c:v>3.0364455908196499E-2</c:v>
                </c:pt>
                <c:pt idx="95">
                  <c:v>3.0591870347273301E-2</c:v>
                </c:pt>
                <c:pt idx="96">
                  <c:v>3.11306382182636E-2</c:v>
                </c:pt>
                <c:pt idx="97">
                  <c:v>3.1588157308474397E-2</c:v>
                </c:pt>
                <c:pt idx="98">
                  <c:v>3.18232411503893E-2</c:v>
                </c:pt>
                <c:pt idx="99">
                  <c:v>3.2267877444667997E-2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254-4FC6-B061-ACD936A04274}"/>
            </c:ext>
          </c:extLst>
        </c:ser>
        <c:ser>
          <c:idx val="0"/>
          <c:order val="2"/>
          <c:tx>
            <c:strRef>
              <c:f>'0.64NaCl_0.36UCl3_plot_data'!$C$1</c:f>
              <c:strCache>
                <c:ptCount val="1"/>
                <c:pt idx="0">
                  <c:v>Na-Cl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4.1439282718959197E-3</c:v>
                </c:pt>
                <c:pt idx="30">
                  <c:v>5.8661238233255102E-3</c:v>
                </c:pt>
                <c:pt idx="31">
                  <c:v>1.5659685761339599E-2</c:v>
                </c:pt>
                <c:pt idx="32">
                  <c:v>3.9459244021211003E-2</c:v>
                </c:pt>
                <c:pt idx="33">
                  <c:v>0.113159072768186</c:v>
                </c:pt>
                <c:pt idx="34">
                  <c:v>0.22626875969598401</c:v>
                </c:pt>
                <c:pt idx="35">
                  <c:v>0.36311303277593499</c:v>
                </c:pt>
                <c:pt idx="36">
                  <c:v>0.48935575348365101</c:v>
                </c:pt>
                <c:pt idx="37">
                  <c:v>0.57160057753108195</c:v>
                </c:pt>
                <c:pt idx="38">
                  <c:v>0.60263653759454305</c:v>
                </c:pt>
                <c:pt idx="39">
                  <c:v>0.58857638907787502</c:v>
                </c:pt>
                <c:pt idx="40">
                  <c:v>0.55088091667602801</c:v>
                </c:pt>
                <c:pt idx="41">
                  <c:v>0.497288016016041</c:v>
                </c:pt>
                <c:pt idx="42">
                  <c:v>0.44116381270969801</c:v>
                </c:pt>
                <c:pt idx="43">
                  <c:v>0.38805760791176902</c:v>
                </c:pt>
                <c:pt idx="44">
                  <c:v>0.34048227087744198</c:v>
                </c:pt>
                <c:pt idx="45">
                  <c:v>0.29876551393373302</c:v>
                </c:pt>
                <c:pt idx="46">
                  <c:v>0.26525328428621803</c:v>
                </c:pt>
                <c:pt idx="47">
                  <c:v>0.23339396261131101</c:v>
                </c:pt>
                <c:pt idx="48">
                  <c:v>0.212019619871545</c:v>
                </c:pt>
                <c:pt idx="49">
                  <c:v>0.192423699621767</c:v>
                </c:pt>
                <c:pt idx="50">
                  <c:v>0.17762473247525901</c:v>
                </c:pt>
                <c:pt idx="51">
                  <c:v>0.16572541033219901</c:v>
                </c:pt>
                <c:pt idx="52">
                  <c:v>0.15573541128479099</c:v>
                </c:pt>
                <c:pt idx="53">
                  <c:v>0.148119613503571</c:v>
                </c:pt>
                <c:pt idx="54">
                  <c:v>0.140797894726055</c:v>
                </c:pt>
                <c:pt idx="55">
                  <c:v>0.13658386541091999</c:v>
                </c:pt>
                <c:pt idx="56">
                  <c:v>0.13307815342129301</c:v>
                </c:pt>
                <c:pt idx="57">
                  <c:v>0.13096457529123301</c:v>
                </c:pt>
                <c:pt idx="58">
                  <c:v>0.129042985482932</c:v>
                </c:pt>
                <c:pt idx="59">
                  <c:v>0.127324361146126</c:v>
                </c:pt>
                <c:pt idx="60">
                  <c:v>0.12764613380173401</c:v>
                </c:pt>
                <c:pt idx="61">
                  <c:v>0.12828771595017799</c:v>
                </c:pt>
                <c:pt idx="62">
                  <c:v>0.12857582912097901</c:v>
                </c:pt>
                <c:pt idx="63">
                  <c:v>0.12980844640137401</c:v>
                </c:pt>
                <c:pt idx="64">
                  <c:v>0.131428990170288</c:v>
                </c:pt>
                <c:pt idx="65">
                  <c:v>0.133904323072119</c:v>
                </c:pt>
                <c:pt idx="66">
                  <c:v>0.136392792702137</c:v>
                </c:pt>
                <c:pt idx="67">
                  <c:v>0.14141285544010199</c:v>
                </c:pt>
                <c:pt idx="68">
                  <c:v>0.14593648893415101</c:v>
                </c:pt>
                <c:pt idx="69">
                  <c:v>0.149868084890738</c:v>
                </c:pt>
                <c:pt idx="70">
                  <c:v>0.15540144326890801</c:v>
                </c:pt>
                <c:pt idx="71">
                  <c:v>0.161336116391498</c:v>
                </c:pt>
                <c:pt idx="72">
                  <c:v>0.167796572805163</c:v>
                </c:pt>
                <c:pt idx="73">
                  <c:v>0.17493466164975799</c:v>
                </c:pt>
                <c:pt idx="74">
                  <c:v>0.18250534999717499</c:v>
                </c:pt>
                <c:pt idx="75">
                  <c:v>0.1891416875212</c:v>
                </c:pt>
                <c:pt idx="76">
                  <c:v>0.19587979529463401</c:v>
                </c:pt>
                <c:pt idx="77">
                  <c:v>0.20276531553867799</c:v>
                </c:pt>
                <c:pt idx="78">
                  <c:v>0.20965083578272301</c:v>
                </c:pt>
                <c:pt idx="79">
                  <c:v>0.21653635602676699</c:v>
                </c:pt>
                <c:pt idx="80">
                  <c:v>0.2235888867443</c:v>
                </c:pt>
                <c:pt idx="81">
                  <c:v>0.23110477605735499</c:v>
                </c:pt>
                <c:pt idx="82">
                  <c:v>0.23831414881333801</c:v>
                </c:pt>
                <c:pt idx="83">
                  <c:v>0.24480850725994799</c:v>
                </c:pt>
                <c:pt idx="84">
                  <c:v>0.25079431233261401</c:v>
                </c:pt>
                <c:pt idx="85">
                  <c:v>0.25420837983917399</c:v>
                </c:pt>
                <c:pt idx="86">
                  <c:v>0.25526994702602002</c:v>
                </c:pt>
                <c:pt idx="87">
                  <c:v>0.25428884965075599</c:v>
                </c:pt>
                <c:pt idx="88">
                  <c:v>0.25302637789963001</c:v>
                </c:pt>
                <c:pt idx="89">
                  <c:v>0.25087144668935901</c:v>
                </c:pt>
                <c:pt idx="90">
                  <c:v>0.248421023105419</c:v>
                </c:pt>
                <c:pt idx="91">
                  <c:v>0.24578141289563399</c:v>
                </c:pt>
                <c:pt idx="92">
                  <c:v>0.24395478284102701</c:v>
                </c:pt>
                <c:pt idx="93">
                  <c:v>0.24120267727202399</c:v>
                </c:pt>
                <c:pt idx="94">
                  <c:v>0.236858208799683</c:v>
                </c:pt>
                <c:pt idx="95">
                  <c:v>0.233033510249683</c:v>
                </c:pt>
                <c:pt idx="96">
                  <c:v>0.22922953284344399</c:v>
                </c:pt>
                <c:pt idx="97">
                  <c:v>0.22527993722836701</c:v>
                </c:pt>
                <c:pt idx="98">
                  <c:v>0.22041056147822899</c:v>
                </c:pt>
                <c:pt idx="99">
                  <c:v>0.21401226977999599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254-4FC6-B061-ACD936A04274}"/>
            </c:ext>
          </c:extLst>
        </c:ser>
        <c:ser>
          <c:idx val="8"/>
          <c:order val="3"/>
          <c:tx>
            <c:strRef>
              <c:f>'0.64NaCl_0.36UCl3_plot_data'!$H$1</c:f>
              <c:strCache>
                <c:ptCount val="1"/>
                <c:pt idx="0">
                  <c:v>S(r): U-Cl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'0.64NaCl_0.36UCl3_plot_data'!$H$2:$H$101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0.95216866430352098</c:v>
                </c:pt>
                <c:pt idx="40">
                  <c:v>1.7418993761566401E-2</c:v>
                </c:pt>
                <c:pt idx="41">
                  <c:v>1.7418993761566401E-2</c:v>
                </c:pt>
                <c:pt idx="42">
                  <c:v>1.7418993761566401E-2</c:v>
                </c:pt>
                <c:pt idx="43">
                  <c:v>1.7418993761566401E-2</c:v>
                </c:pt>
                <c:pt idx="44">
                  <c:v>1.7418993761566401E-2</c:v>
                </c:pt>
                <c:pt idx="45">
                  <c:v>1.7418993761566401E-2</c:v>
                </c:pt>
                <c:pt idx="46">
                  <c:v>1.7418993761566401E-2</c:v>
                </c:pt>
                <c:pt idx="47">
                  <c:v>1.7418993761566401E-2</c:v>
                </c:pt>
                <c:pt idx="48">
                  <c:v>1.7418993761566401E-2</c:v>
                </c:pt>
                <c:pt idx="49">
                  <c:v>1.7418993761566401E-2</c:v>
                </c:pt>
                <c:pt idx="50">
                  <c:v>1.7418993761566401E-2</c:v>
                </c:pt>
                <c:pt idx="51">
                  <c:v>1.7418993761566401E-2</c:v>
                </c:pt>
                <c:pt idx="52">
                  <c:v>1.7418993761566401E-2</c:v>
                </c:pt>
                <c:pt idx="53">
                  <c:v>1.7418993761566401E-2</c:v>
                </c:pt>
                <c:pt idx="54">
                  <c:v>1.7418993761566401E-2</c:v>
                </c:pt>
                <c:pt idx="55">
                  <c:v>1.7418993761566401E-2</c:v>
                </c:pt>
                <c:pt idx="56">
                  <c:v>1.7418993761566401E-2</c:v>
                </c:pt>
                <c:pt idx="57">
                  <c:v>1.7418993761566401E-2</c:v>
                </c:pt>
                <c:pt idx="58">
                  <c:v>1.7418993761566401E-2</c:v>
                </c:pt>
                <c:pt idx="59">
                  <c:v>1.7418993761566401E-2</c:v>
                </c:pt>
                <c:pt idx="60">
                  <c:v>1.7418993761566401E-2</c:v>
                </c:pt>
                <c:pt idx="61">
                  <c:v>1.7418993761566401E-2</c:v>
                </c:pt>
                <c:pt idx="62">
                  <c:v>1.7418993761566401E-2</c:v>
                </c:pt>
                <c:pt idx="63">
                  <c:v>1.7418993761566401E-2</c:v>
                </c:pt>
                <c:pt idx="64">
                  <c:v>1.7418993761566401E-2</c:v>
                </c:pt>
                <c:pt idx="65">
                  <c:v>1.7418993761566401E-2</c:v>
                </c:pt>
                <c:pt idx="66">
                  <c:v>1.7418993761566401E-2</c:v>
                </c:pt>
                <c:pt idx="67">
                  <c:v>1.7418993761566401E-2</c:v>
                </c:pt>
                <c:pt idx="68">
                  <c:v>1.7418993761566401E-2</c:v>
                </c:pt>
                <c:pt idx="69">
                  <c:v>1.7418993761566401E-2</c:v>
                </c:pt>
                <c:pt idx="70">
                  <c:v>1.7418993761566401E-2</c:v>
                </c:pt>
                <c:pt idx="71">
                  <c:v>1.7418993761566401E-2</c:v>
                </c:pt>
                <c:pt idx="72">
                  <c:v>1.7418993761566401E-2</c:v>
                </c:pt>
                <c:pt idx="73">
                  <c:v>1.7418993761566401E-2</c:v>
                </c:pt>
                <c:pt idx="74">
                  <c:v>1.7418993761566401E-2</c:v>
                </c:pt>
                <c:pt idx="75">
                  <c:v>1.7418993761566401E-2</c:v>
                </c:pt>
                <c:pt idx="76">
                  <c:v>1.29687604359951E-2</c:v>
                </c:pt>
                <c:pt idx="77">
                  <c:v>7.8015139081118699E-3</c:v>
                </c:pt>
                <c:pt idx="78">
                  <c:v>2.63426738022856E-3</c:v>
                </c:pt>
                <c:pt idx="79" formatCode="0.00E+00">
                  <c:v>1.37573830099005E-7</c:v>
                </c:pt>
                <c:pt idx="80" formatCode="0.00E+00">
                  <c:v>1.37573830099005E-7</c:v>
                </c:pt>
                <c:pt idx="81" formatCode="0.00E+00">
                  <c:v>1.37573830099005E-7</c:v>
                </c:pt>
                <c:pt idx="82" formatCode="0.00E+00">
                  <c:v>1.37573830099005E-7</c:v>
                </c:pt>
                <c:pt idx="83" formatCode="0.00E+00">
                  <c:v>1.37573830099005E-7</c:v>
                </c:pt>
                <c:pt idx="84" formatCode="0.00E+00">
                  <c:v>1.37573830099005E-7</c:v>
                </c:pt>
                <c:pt idx="85" formatCode="0.00E+00">
                  <c:v>1.37573830099005E-7</c:v>
                </c:pt>
                <c:pt idx="86" formatCode="0.00E+00">
                  <c:v>1.37573830099005E-7</c:v>
                </c:pt>
                <c:pt idx="87" formatCode="0.00E+00">
                  <c:v>1.37573830099005E-7</c:v>
                </c:pt>
                <c:pt idx="88" formatCode="0.00E+00">
                  <c:v>1.37573830099005E-7</c:v>
                </c:pt>
                <c:pt idx="89" formatCode="0.00E+00">
                  <c:v>1.37573830099005E-7</c:v>
                </c:pt>
                <c:pt idx="90" formatCode="0.00E+00">
                  <c:v>1.37573830099005E-7</c:v>
                </c:pt>
                <c:pt idx="91" formatCode="0.00E+00">
                  <c:v>1.37573830099005E-7</c:v>
                </c:pt>
                <c:pt idx="92" formatCode="0.00E+00">
                  <c:v>1.37573830099005E-7</c:v>
                </c:pt>
                <c:pt idx="93" formatCode="0.00E+00">
                  <c:v>1.37573830099005E-7</c:v>
                </c:pt>
                <c:pt idx="94" formatCode="0.00E+00">
                  <c:v>1.37573830099005E-7</c:v>
                </c:pt>
                <c:pt idx="95" formatCode="0.00E+00">
                  <c:v>1.37573830099005E-7</c:v>
                </c:pt>
                <c:pt idx="96" formatCode="0.00E+00">
                  <c:v>1.37573830099005E-7</c:v>
                </c:pt>
                <c:pt idx="97" formatCode="0.00E+00">
                  <c:v>1.37573830099005E-7</c:v>
                </c:pt>
                <c:pt idx="98" formatCode="0.00E+00">
                  <c:v>9.1910093725506894E-8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254-4FC6-B061-ACD936A04274}"/>
            </c:ext>
          </c:extLst>
        </c:ser>
        <c:ser>
          <c:idx val="4"/>
          <c:order val="4"/>
          <c:tx>
            <c:strRef>
              <c:f>'0.64NaCl_0.36UCl3_plot_data'!$D$1</c:f>
              <c:strCache>
                <c:ptCount val="1"/>
                <c:pt idx="0">
                  <c:v>Cl-Cl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6.9276496907171902E-3</c:v>
                </c:pt>
                <c:pt idx="34">
                  <c:v>6.8072718830255096E-3</c:v>
                </c:pt>
                <c:pt idx="35">
                  <c:v>6.6868940753338204E-3</c:v>
                </c:pt>
                <c:pt idx="36">
                  <c:v>6.5665162676421304E-3</c:v>
                </c:pt>
                <c:pt idx="37">
                  <c:v>6.5550340731277499E-3</c:v>
                </c:pt>
                <c:pt idx="38">
                  <c:v>7.8988767311985505E-3</c:v>
                </c:pt>
                <c:pt idx="39">
                  <c:v>1.34004403391999E-2</c:v>
                </c:pt>
                <c:pt idx="40">
                  <c:v>2.90281346391714E-2</c:v>
                </c:pt>
                <c:pt idx="41">
                  <c:v>5.1871463343989697E-2</c:v>
                </c:pt>
                <c:pt idx="42">
                  <c:v>0.120992417014597</c:v>
                </c:pt>
                <c:pt idx="43">
                  <c:v>0.21182684230943799</c:v>
                </c:pt>
                <c:pt idx="44">
                  <c:v>0.32564294106250302</c:v>
                </c:pt>
                <c:pt idx="45">
                  <c:v>0.45922878716322302</c:v>
                </c:pt>
                <c:pt idx="46">
                  <c:v>0.56018456629660296</c:v>
                </c:pt>
                <c:pt idx="47">
                  <c:v>0.72993345455345804</c:v>
                </c:pt>
                <c:pt idx="48">
                  <c:v>0.83175583619066396</c:v>
                </c:pt>
                <c:pt idx="49">
                  <c:v>0.91248056896789898</c:v>
                </c:pt>
                <c:pt idx="50">
                  <c:v>0.96520502062705305</c:v>
                </c:pt>
                <c:pt idx="51">
                  <c:v>1.00039911134319</c:v>
                </c:pt>
                <c:pt idx="52">
                  <c:v>0.99633174432568505</c:v>
                </c:pt>
                <c:pt idx="53">
                  <c:v>0.98408539950348095</c:v>
                </c:pt>
                <c:pt idx="54">
                  <c:v>0.95650794051771904</c:v>
                </c:pt>
                <c:pt idx="55">
                  <c:v>0.91955963002253505</c:v>
                </c:pt>
                <c:pt idx="56">
                  <c:v>0.87735776092597095</c:v>
                </c:pt>
                <c:pt idx="57">
                  <c:v>0.82962550645376798</c:v>
                </c:pt>
                <c:pt idx="58">
                  <c:v>0.78198339927468397</c:v>
                </c:pt>
                <c:pt idx="59">
                  <c:v>0.734767446213758</c:v>
                </c:pt>
                <c:pt idx="60">
                  <c:v>0.69425697945672005</c:v>
                </c:pt>
                <c:pt idx="61">
                  <c:v>0.65681138619098101</c:v>
                </c:pt>
                <c:pt idx="62">
                  <c:v>0.61316820832193197</c:v>
                </c:pt>
                <c:pt idx="63">
                  <c:v>0.58609206256491997</c:v>
                </c:pt>
                <c:pt idx="64">
                  <c:v>0.56454886934428705</c:v>
                </c:pt>
                <c:pt idx="65">
                  <c:v>0.542403333959395</c:v>
                </c:pt>
                <c:pt idx="66">
                  <c:v>0.524785627930759</c:v>
                </c:pt>
                <c:pt idx="67">
                  <c:v>0.51225041952783901</c:v>
                </c:pt>
                <c:pt idx="68">
                  <c:v>0.50208668251192701</c:v>
                </c:pt>
                <c:pt idx="69">
                  <c:v>0.49304210420953898</c:v>
                </c:pt>
                <c:pt idx="70">
                  <c:v>0.48719234033178299</c:v>
                </c:pt>
                <c:pt idx="71">
                  <c:v>0.48707643005232598</c:v>
                </c:pt>
                <c:pt idx="72">
                  <c:v>0.49292619398050103</c:v>
                </c:pt>
                <c:pt idx="73">
                  <c:v>0.504323158720415</c:v>
                </c:pt>
                <c:pt idx="74">
                  <c:v>0.51537200219812096</c:v>
                </c:pt>
                <c:pt idx="75">
                  <c:v>0.51913256481682102</c:v>
                </c:pt>
                <c:pt idx="76">
                  <c:v>0.52784044351714798</c:v>
                </c:pt>
                <c:pt idx="77">
                  <c:v>0.54131985510207703</c:v>
                </c:pt>
                <c:pt idx="78">
                  <c:v>0.54964312957943395</c:v>
                </c:pt>
                <c:pt idx="79">
                  <c:v>0.55314209052397501</c:v>
                </c:pt>
                <c:pt idx="80">
                  <c:v>0.53014305729771605</c:v>
                </c:pt>
                <c:pt idx="81">
                  <c:v>0.50375016520615301</c:v>
                </c:pt>
                <c:pt idx="82">
                  <c:v>0.47735727311458998</c:v>
                </c:pt>
                <c:pt idx="83">
                  <c:v>0.45895054678427499</c:v>
                </c:pt>
                <c:pt idx="84">
                  <c:v>0.453228450912675</c:v>
                </c:pt>
                <c:pt idx="85">
                  <c:v>0.454377511813715</c:v>
                </c:pt>
                <c:pt idx="86">
                  <c:v>0.44936486163456402</c:v>
                </c:pt>
                <c:pt idx="87">
                  <c:v>0.44591082412809102</c:v>
                </c:pt>
                <c:pt idx="88">
                  <c:v>0.445492983800785</c:v>
                </c:pt>
                <c:pt idx="89">
                  <c:v>0.44833817557658401</c:v>
                </c:pt>
                <c:pt idx="90">
                  <c:v>0.45280371038433198</c:v>
                </c:pt>
                <c:pt idx="91">
                  <c:v>0.461369436439997</c:v>
                </c:pt>
                <c:pt idx="92">
                  <c:v>0.47038438456211001</c:v>
                </c:pt>
                <c:pt idx="93">
                  <c:v>0.48020363118800502</c:v>
                </c:pt>
                <c:pt idx="94">
                  <c:v>0.492356160240004</c:v>
                </c:pt>
                <c:pt idx="95">
                  <c:v>0.50566417563469501</c:v>
                </c:pt>
                <c:pt idx="96">
                  <c:v>0.52270325733337897</c:v>
                </c:pt>
                <c:pt idx="97">
                  <c:v>0.537168705379932</c:v>
                </c:pt>
                <c:pt idx="98">
                  <c:v>0.54717038957597697</c:v>
                </c:pt>
                <c:pt idx="99">
                  <c:v>0.55374986955981598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254-4FC6-B061-ACD936A04274}"/>
            </c:ext>
          </c:extLst>
        </c:ser>
        <c:ser>
          <c:idx val="9"/>
          <c:order val="5"/>
          <c:tx>
            <c:strRef>
              <c:f>'0.64NaCl_0.36UCl3_plot_data'!$I$1</c:f>
              <c:strCache>
                <c:ptCount val="1"/>
                <c:pt idx="0">
                  <c:v>S(r): Na-Cl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'0.64NaCl_0.36UCl3_plot_data'!$I$2:$I$101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0.94286527625412597</c:v>
                </c:pt>
                <c:pt idx="38">
                  <c:v>0.17534293796327899</c:v>
                </c:pt>
                <c:pt idx="39">
                  <c:v>0.14399350407956199</c:v>
                </c:pt>
                <c:pt idx="40">
                  <c:v>0.14399350407956199</c:v>
                </c:pt>
                <c:pt idx="41">
                  <c:v>0.14399350407956199</c:v>
                </c:pt>
                <c:pt idx="42">
                  <c:v>0.14399350407956199</c:v>
                </c:pt>
                <c:pt idx="43">
                  <c:v>0.14399350407956199</c:v>
                </c:pt>
                <c:pt idx="44">
                  <c:v>0.14399350407956199</c:v>
                </c:pt>
                <c:pt idx="45">
                  <c:v>0.14399350407956199</c:v>
                </c:pt>
                <c:pt idx="46">
                  <c:v>0.14399350407956199</c:v>
                </c:pt>
                <c:pt idx="47">
                  <c:v>0.14399350407956199</c:v>
                </c:pt>
                <c:pt idx="48">
                  <c:v>0.14399350407956199</c:v>
                </c:pt>
                <c:pt idx="49">
                  <c:v>0.14399350407956199</c:v>
                </c:pt>
                <c:pt idx="50">
                  <c:v>0.14399350407956199</c:v>
                </c:pt>
                <c:pt idx="51">
                  <c:v>0.14399350407956199</c:v>
                </c:pt>
                <c:pt idx="52">
                  <c:v>0.14399350407956199</c:v>
                </c:pt>
                <c:pt idx="53">
                  <c:v>0.14399350407956199</c:v>
                </c:pt>
                <c:pt idx="54">
                  <c:v>0.14399350407956199</c:v>
                </c:pt>
                <c:pt idx="55">
                  <c:v>0.14399350407956199</c:v>
                </c:pt>
                <c:pt idx="56">
                  <c:v>0.14399350407956199</c:v>
                </c:pt>
                <c:pt idx="57">
                  <c:v>0.14399350407956199</c:v>
                </c:pt>
                <c:pt idx="58">
                  <c:v>0.14399350407956199</c:v>
                </c:pt>
                <c:pt idx="59">
                  <c:v>0.14399350407956199</c:v>
                </c:pt>
                <c:pt idx="60">
                  <c:v>0.14399350407956199</c:v>
                </c:pt>
                <c:pt idx="61">
                  <c:v>0.14399350407956199</c:v>
                </c:pt>
                <c:pt idx="62">
                  <c:v>0.14399350407956199</c:v>
                </c:pt>
                <c:pt idx="63">
                  <c:v>0.14399350407956199</c:v>
                </c:pt>
                <c:pt idx="64">
                  <c:v>0.14399350407956199</c:v>
                </c:pt>
                <c:pt idx="65">
                  <c:v>0.14399350407956199</c:v>
                </c:pt>
                <c:pt idx="66">
                  <c:v>0.14399350407956199</c:v>
                </c:pt>
                <c:pt idx="67">
                  <c:v>0.14399350407956199</c:v>
                </c:pt>
                <c:pt idx="68">
                  <c:v>0.14399350407956199</c:v>
                </c:pt>
                <c:pt idx="69">
                  <c:v>0.14399350407956199</c:v>
                </c:pt>
                <c:pt idx="70">
                  <c:v>0.14399350407956199</c:v>
                </c:pt>
                <c:pt idx="71">
                  <c:v>0.14399350407956199</c:v>
                </c:pt>
                <c:pt idx="72">
                  <c:v>0.14399350407956199</c:v>
                </c:pt>
                <c:pt idx="73">
                  <c:v>0.14399350407956199</c:v>
                </c:pt>
                <c:pt idx="74">
                  <c:v>0.13933464099617701</c:v>
                </c:pt>
                <c:pt idx="75">
                  <c:v>5.1901415757068699E-2</c:v>
                </c:pt>
                <c:pt idx="76">
                  <c:v>1.7733254242263799E-4</c:v>
                </c:pt>
                <c:pt idx="77">
                  <c:v>1.7733254242263799E-4</c:v>
                </c:pt>
                <c:pt idx="78">
                  <c:v>1.7733254242263799E-4</c:v>
                </c:pt>
                <c:pt idx="79">
                  <c:v>1.7733254242263799E-4</c:v>
                </c:pt>
                <c:pt idx="80">
                  <c:v>1.7733254242263799E-4</c:v>
                </c:pt>
                <c:pt idx="81">
                  <c:v>1.7733254242263799E-4</c:v>
                </c:pt>
                <c:pt idx="82">
                  <c:v>1.7733254242263799E-4</c:v>
                </c:pt>
                <c:pt idx="83">
                  <c:v>1.7733254242263799E-4</c:v>
                </c:pt>
                <c:pt idx="84">
                  <c:v>1.7733254242263799E-4</c:v>
                </c:pt>
                <c:pt idx="85">
                  <c:v>1.7733254242263799E-4</c:v>
                </c:pt>
                <c:pt idx="86">
                  <c:v>1.7733254242263799E-4</c:v>
                </c:pt>
                <c:pt idx="87">
                  <c:v>1.7733254242263799E-4</c:v>
                </c:pt>
                <c:pt idx="88">
                  <c:v>1.7733254242263799E-4</c:v>
                </c:pt>
                <c:pt idx="89">
                  <c:v>1.7733254242263799E-4</c:v>
                </c:pt>
                <c:pt idx="90">
                  <c:v>1.7733254242263799E-4</c:v>
                </c:pt>
                <c:pt idx="91">
                  <c:v>1.7733254242263799E-4</c:v>
                </c:pt>
                <c:pt idx="92">
                  <c:v>1.7733254242263799E-4</c:v>
                </c:pt>
                <c:pt idx="93">
                  <c:v>1.7733254242263799E-4</c:v>
                </c:pt>
                <c:pt idx="94">
                  <c:v>1.7733254242263799E-4</c:v>
                </c:pt>
                <c:pt idx="95">
                  <c:v>1.7733254242263799E-4</c:v>
                </c:pt>
                <c:pt idx="96">
                  <c:v>1.7733254242263799E-4</c:v>
                </c:pt>
                <c:pt idx="97">
                  <c:v>1.7733254242263799E-4</c:v>
                </c:pt>
                <c:pt idx="98">
                  <c:v>1.41899961034924E-4</c:v>
                </c:pt>
                <c:pt idx="99" formatCode="0.00E+00">
                  <c:v>4.75691313586119E-5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A254-4FC6-B061-ACD936A04274}"/>
            </c:ext>
          </c:extLst>
        </c:ser>
        <c:ser>
          <c:idx val="3"/>
          <c:order val="6"/>
          <c:tx>
            <c:strRef>
              <c:f>'0.64NaCl_0.36UCl3_plot_data'!$G$1</c:f>
              <c:strCache>
                <c:ptCount val="1"/>
                <c:pt idx="0">
                  <c:v>U-U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'0.64NaCl_0.36UCl3_plot_data'!$G$2:$G$101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2.9492768398931999E-4</c:v>
                </c:pt>
                <c:pt idx="53">
                  <c:v>3.24877703878893E-4</c:v>
                </c:pt>
                <c:pt idx="54">
                  <c:v>9.7859634762841692E-4</c:v>
                </c:pt>
                <c:pt idx="55">
                  <c:v>2.1560263236586798E-3</c:v>
                </c:pt>
                <c:pt idx="56">
                  <c:v>4.3525446434807798E-3</c:v>
                </c:pt>
                <c:pt idx="57">
                  <c:v>6.7450402267326603E-3</c:v>
                </c:pt>
                <c:pt idx="58">
                  <c:v>9.8977166821703193E-3</c:v>
                </c:pt>
                <c:pt idx="59">
                  <c:v>1.46116729167822E-2</c:v>
                </c:pt>
                <c:pt idx="60">
                  <c:v>1.8854513201768199E-2</c:v>
                </c:pt>
                <c:pt idx="61">
                  <c:v>2.2946501311167398E-2</c:v>
                </c:pt>
                <c:pt idx="62">
                  <c:v>2.6776566251295899E-2</c:v>
                </c:pt>
                <c:pt idx="63">
                  <c:v>3.0620278128278399E-2</c:v>
                </c:pt>
                <c:pt idx="64">
                  <c:v>3.4447117236870099E-2</c:v>
                </c:pt>
                <c:pt idx="65">
                  <c:v>3.6390549958886402E-2</c:v>
                </c:pt>
                <c:pt idx="66">
                  <c:v>3.6920651275839898E-2</c:v>
                </c:pt>
                <c:pt idx="67">
                  <c:v>3.7197121161033603E-2</c:v>
                </c:pt>
                <c:pt idx="68">
                  <c:v>3.7268640453989699E-2</c:v>
                </c:pt>
                <c:pt idx="69">
                  <c:v>3.7284237964934401E-2</c:v>
                </c:pt>
                <c:pt idx="70">
                  <c:v>3.5515143042679699E-2</c:v>
                </c:pt>
                <c:pt idx="71">
                  <c:v>3.3745158232892501E-2</c:v>
                </c:pt>
                <c:pt idx="72">
                  <c:v>3.1973485742842103E-2</c:v>
                </c:pt>
                <c:pt idx="73">
                  <c:v>3.0173446592449801E-2</c:v>
                </c:pt>
                <c:pt idx="74">
                  <c:v>2.9027941072915401E-2</c:v>
                </c:pt>
                <c:pt idx="75">
                  <c:v>2.8333481361631201E-2</c:v>
                </c:pt>
                <c:pt idx="76">
                  <c:v>2.6839826158965598E-2</c:v>
                </c:pt>
                <c:pt idx="77">
                  <c:v>2.5454751083937101E-2</c:v>
                </c:pt>
                <c:pt idx="78">
                  <c:v>2.5356522632317899E-2</c:v>
                </c:pt>
                <c:pt idx="79">
                  <c:v>2.5197437954928799E-2</c:v>
                </c:pt>
                <c:pt idx="80">
                  <c:v>2.44210167731818E-2</c:v>
                </c:pt>
                <c:pt idx="81">
                  <c:v>2.1641400571682099E-2</c:v>
                </c:pt>
                <c:pt idx="82">
                  <c:v>1.9073148004835699E-2</c:v>
                </c:pt>
                <c:pt idx="83">
                  <c:v>1.67357895168069E-2</c:v>
                </c:pt>
                <c:pt idx="84">
                  <c:v>1.5260321273875801E-2</c:v>
                </c:pt>
                <c:pt idx="85">
                  <c:v>1.5184110783951399E-2</c:v>
                </c:pt>
                <c:pt idx="86">
                  <c:v>1.4616894441442801E-2</c:v>
                </c:pt>
                <c:pt idx="87">
                  <c:v>1.3134759161555201E-2</c:v>
                </c:pt>
                <c:pt idx="88">
                  <c:v>1.25894746947075E-2</c:v>
                </c:pt>
                <c:pt idx="89">
                  <c:v>1.2665964216994299E-2</c:v>
                </c:pt>
                <c:pt idx="90">
                  <c:v>1.30606474708885E-2</c:v>
                </c:pt>
                <c:pt idx="91">
                  <c:v>1.3575365518521201E-2</c:v>
                </c:pt>
                <c:pt idx="92">
                  <c:v>1.3132326344248499E-2</c:v>
                </c:pt>
                <c:pt idx="93">
                  <c:v>1.27711822348702E-2</c:v>
                </c:pt>
                <c:pt idx="94">
                  <c:v>1.32456712894411E-2</c:v>
                </c:pt>
                <c:pt idx="95">
                  <c:v>1.36314459401064E-2</c:v>
                </c:pt>
                <c:pt idx="96">
                  <c:v>1.3874108899783201E-2</c:v>
                </c:pt>
                <c:pt idx="97">
                  <c:v>1.4288850354861901E-2</c:v>
                </c:pt>
                <c:pt idx="98">
                  <c:v>1.49339112724119E-2</c:v>
                </c:pt>
                <c:pt idx="99">
                  <c:v>1.5876605106019199E-2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254-4FC6-B061-ACD936A04274}"/>
            </c:ext>
          </c:extLst>
        </c:ser>
        <c:ser>
          <c:idx val="6"/>
          <c:order val="7"/>
          <c:tx>
            <c:strRef>
              <c:f>'0.64NaCl_0.36UCl3_plot_data'!$J$1</c:f>
              <c:strCache>
                <c:ptCount val="1"/>
                <c:pt idx="0">
                  <c:v>l_scl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('0.64NaCl_0.36UCl3_plot_data'!$J$2,'0.64NaCl_0.36UCl3_plot_data'!$J$3)</c:f>
              <c:numCache>
                <c:formatCode>General</c:formatCode>
                <c:ptCount val="2"/>
                <c:pt idx="0">
                  <c:v>2.92266</c:v>
                </c:pt>
                <c:pt idx="1">
                  <c:v>2.92266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2-A254-4FC6-B061-ACD936A04274}"/>
            </c:ext>
          </c:extLst>
        </c:ser>
        <c:ser>
          <c:idx val="1"/>
          <c:order val="8"/>
          <c:tx>
            <c:strRef>
              <c:f>'0.64NaCl_0.36UCl3_plot_data'!$E$1</c:f>
              <c:strCache>
                <c:ptCount val="1"/>
                <c:pt idx="0">
                  <c:v>Na-Na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'0.64NaCl_0.36UCl3_plot_data'!$A$2:$A$101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6.9877140464646395E-2</c:v>
                </c:pt>
                <c:pt idx="2">
                  <c:v>0.13975428092929201</c:v>
                </c:pt>
                <c:pt idx="3">
                  <c:v>0.209631421393939</c:v>
                </c:pt>
                <c:pt idx="4">
                  <c:v>0.27950856185858503</c:v>
                </c:pt>
                <c:pt idx="5">
                  <c:v>0.34938570232323202</c:v>
                </c:pt>
                <c:pt idx="6">
                  <c:v>0.41926284278787801</c:v>
                </c:pt>
                <c:pt idx="7">
                  <c:v>0.489139983252525</c:v>
                </c:pt>
                <c:pt idx="8">
                  <c:v>0.55901712371717105</c:v>
                </c:pt>
                <c:pt idx="9">
                  <c:v>0.62889426418181804</c:v>
                </c:pt>
                <c:pt idx="10">
                  <c:v>0.69877140464646403</c:v>
                </c:pt>
                <c:pt idx="11">
                  <c:v>0.76864854511111103</c:v>
                </c:pt>
                <c:pt idx="12">
                  <c:v>0.83852568557575702</c:v>
                </c:pt>
                <c:pt idx="13">
                  <c:v>0.90840282604040401</c:v>
                </c:pt>
                <c:pt idx="14">
                  <c:v>0.97827996650505</c:v>
                </c:pt>
                <c:pt idx="15">
                  <c:v>1.04815710696969</c:v>
                </c:pt>
                <c:pt idx="16">
                  <c:v>1.1180342474343401</c:v>
                </c:pt>
                <c:pt idx="17">
                  <c:v>1.18791138789899</c:v>
                </c:pt>
                <c:pt idx="18">
                  <c:v>1.2577885283636301</c:v>
                </c:pt>
                <c:pt idx="19">
                  <c:v>1.32766566882828</c:v>
                </c:pt>
                <c:pt idx="20">
                  <c:v>1.3975428092929201</c:v>
                </c:pt>
                <c:pt idx="21">
                  <c:v>1.46741994975757</c:v>
                </c:pt>
                <c:pt idx="22">
                  <c:v>1.5372970902222201</c:v>
                </c:pt>
                <c:pt idx="23">
                  <c:v>1.6071742306868599</c:v>
                </c:pt>
                <c:pt idx="24">
                  <c:v>1.67705137115151</c:v>
                </c:pt>
                <c:pt idx="25">
                  <c:v>1.7469285116161599</c:v>
                </c:pt>
                <c:pt idx="26">
                  <c:v>1.8168056520808</c:v>
                </c:pt>
                <c:pt idx="27">
                  <c:v>1.8866827925454499</c:v>
                </c:pt>
                <c:pt idx="28">
                  <c:v>1.9565599330101</c:v>
                </c:pt>
                <c:pt idx="29">
                  <c:v>2.0264370734747401</c:v>
                </c:pt>
                <c:pt idx="30">
                  <c:v>2.0963142139393902</c:v>
                </c:pt>
                <c:pt idx="31">
                  <c:v>2.1661913544040399</c:v>
                </c:pt>
                <c:pt idx="32">
                  <c:v>2.2360684948686802</c:v>
                </c:pt>
                <c:pt idx="33">
                  <c:v>2.3059456353333299</c:v>
                </c:pt>
                <c:pt idx="34">
                  <c:v>2.37582277579798</c:v>
                </c:pt>
                <c:pt idx="35">
                  <c:v>2.4456999162626198</c:v>
                </c:pt>
                <c:pt idx="36">
                  <c:v>2.5155770567272699</c:v>
                </c:pt>
                <c:pt idx="37">
                  <c:v>2.5854541971919098</c:v>
                </c:pt>
                <c:pt idx="38">
                  <c:v>2.6553313376565599</c:v>
                </c:pt>
                <c:pt idx="39">
                  <c:v>2.72520847812121</c:v>
                </c:pt>
                <c:pt idx="40">
                  <c:v>2.7950856185858499</c:v>
                </c:pt>
                <c:pt idx="41">
                  <c:v>2.8649627590505</c:v>
                </c:pt>
                <c:pt idx="42">
                  <c:v>2.9348398995151501</c:v>
                </c:pt>
                <c:pt idx="43">
                  <c:v>3.00471703997979</c:v>
                </c:pt>
                <c:pt idx="44">
                  <c:v>3.0745941804444401</c:v>
                </c:pt>
                <c:pt idx="45">
                  <c:v>3.1444713209090902</c:v>
                </c:pt>
                <c:pt idx="46">
                  <c:v>3.2143484613737301</c:v>
                </c:pt>
                <c:pt idx="47">
                  <c:v>3.2842256018383802</c:v>
                </c:pt>
                <c:pt idx="48">
                  <c:v>3.3541027423030298</c:v>
                </c:pt>
                <c:pt idx="49">
                  <c:v>3.4239798827676702</c:v>
                </c:pt>
                <c:pt idx="50">
                  <c:v>3.4938570232323198</c:v>
                </c:pt>
                <c:pt idx="51">
                  <c:v>3.5637341636969602</c:v>
                </c:pt>
                <c:pt idx="52">
                  <c:v>3.6336113041616098</c:v>
                </c:pt>
                <c:pt idx="53">
                  <c:v>3.7034884446262599</c:v>
                </c:pt>
                <c:pt idx="54">
                  <c:v>3.7733655850908998</c:v>
                </c:pt>
                <c:pt idx="55">
                  <c:v>3.8432427255555499</c:v>
                </c:pt>
                <c:pt idx="56">
                  <c:v>3.9131198660202</c:v>
                </c:pt>
                <c:pt idx="57">
                  <c:v>3.9829970064848399</c:v>
                </c:pt>
                <c:pt idx="58">
                  <c:v>4.05287414694949</c:v>
                </c:pt>
                <c:pt idx="59">
                  <c:v>4.1227512874141397</c:v>
                </c:pt>
                <c:pt idx="60">
                  <c:v>4.1926284278787804</c:v>
                </c:pt>
                <c:pt idx="61">
                  <c:v>4.2625055683434301</c:v>
                </c:pt>
                <c:pt idx="62">
                  <c:v>4.3323827088080797</c:v>
                </c:pt>
                <c:pt idx="63">
                  <c:v>4.4022598492727196</c:v>
                </c:pt>
                <c:pt idx="64">
                  <c:v>4.4721369897373702</c:v>
                </c:pt>
                <c:pt idx="65">
                  <c:v>4.5420141302020198</c:v>
                </c:pt>
                <c:pt idx="66">
                  <c:v>4.6118912706666597</c:v>
                </c:pt>
                <c:pt idx="67">
                  <c:v>4.6817684111313103</c:v>
                </c:pt>
                <c:pt idx="68">
                  <c:v>4.7516455515959599</c:v>
                </c:pt>
                <c:pt idx="69">
                  <c:v>4.8215226920605998</c:v>
                </c:pt>
                <c:pt idx="70">
                  <c:v>4.8913998325252503</c:v>
                </c:pt>
                <c:pt idx="71">
                  <c:v>4.9612769729898902</c:v>
                </c:pt>
                <c:pt idx="72">
                  <c:v>5.0311541134545399</c:v>
                </c:pt>
                <c:pt idx="73">
                  <c:v>5.1010312539191904</c:v>
                </c:pt>
                <c:pt idx="74">
                  <c:v>5.1709083943838303</c:v>
                </c:pt>
                <c:pt idx="75">
                  <c:v>5.24078553484848</c:v>
                </c:pt>
                <c:pt idx="76">
                  <c:v>5.3106626753131296</c:v>
                </c:pt>
                <c:pt idx="77">
                  <c:v>5.3805398157777704</c:v>
                </c:pt>
                <c:pt idx="78">
                  <c:v>5.4504169562424201</c:v>
                </c:pt>
                <c:pt idx="79">
                  <c:v>5.5202940967070697</c:v>
                </c:pt>
                <c:pt idx="80">
                  <c:v>5.5901712371717096</c:v>
                </c:pt>
                <c:pt idx="81">
                  <c:v>5.6600483776363602</c:v>
                </c:pt>
                <c:pt idx="82">
                  <c:v>5.7299255181010098</c:v>
                </c:pt>
                <c:pt idx="83">
                  <c:v>5.7998026585656497</c:v>
                </c:pt>
                <c:pt idx="84">
                  <c:v>5.8696797990303002</c:v>
                </c:pt>
                <c:pt idx="85">
                  <c:v>5.9395569394949499</c:v>
                </c:pt>
                <c:pt idx="86">
                  <c:v>6.0094340799595898</c:v>
                </c:pt>
                <c:pt idx="87">
                  <c:v>6.0793112204242403</c:v>
                </c:pt>
                <c:pt idx="88">
                  <c:v>6.1491883608888802</c:v>
                </c:pt>
                <c:pt idx="89">
                  <c:v>6.2190655013535299</c:v>
                </c:pt>
                <c:pt idx="90">
                  <c:v>6.2889426418181804</c:v>
                </c:pt>
                <c:pt idx="91">
                  <c:v>6.3588197822828203</c:v>
                </c:pt>
                <c:pt idx="92">
                  <c:v>6.42869692274747</c:v>
                </c:pt>
                <c:pt idx="93">
                  <c:v>6.4985740632121196</c:v>
                </c:pt>
                <c:pt idx="94">
                  <c:v>6.5684512036767604</c:v>
                </c:pt>
                <c:pt idx="95">
                  <c:v>6.63832834414141</c:v>
                </c:pt>
                <c:pt idx="96">
                  <c:v>6.7082054846060597</c:v>
                </c:pt>
                <c:pt idx="97">
                  <c:v>6.7780826250706996</c:v>
                </c:pt>
                <c:pt idx="98">
                  <c:v>6.8479597655353501</c:v>
                </c:pt>
                <c:pt idx="99">
                  <c:v>6.9178369059999998</c:v>
                </c:pt>
              </c:numCache>
            </c:numRef>
          </c:xVal>
          <c:yVal>
            <c:numRef>
              <c:f>'0.64NaCl_0.36UCl3_plot_data'!$E$2:$E$101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1.5836782393491701E-3</c:v>
                </c:pt>
                <c:pt idx="40">
                  <c:v>3.5292360257694298E-3</c:v>
                </c:pt>
                <c:pt idx="41">
                  <c:v>5.8697478695506101E-3</c:v>
                </c:pt>
                <c:pt idx="42">
                  <c:v>8.5407524961394997E-3</c:v>
                </c:pt>
                <c:pt idx="43">
                  <c:v>1.19624144817575E-2</c:v>
                </c:pt>
                <c:pt idx="44">
                  <c:v>1.6830224527728501E-2</c:v>
                </c:pt>
                <c:pt idx="45">
                  <c:v>2.30465595107094E-2</c:v>
                </c:pt>
                <c:pt idx="46">
                  <c:v>2.9126327946626701E-2</c:v>
                </c:pt>
                <c:pt idx="47">
                  <c:v>3.5190998748081799E-2</c:v>
                </c:pt>
                <c:pt idx="48">
                  <c:v>4.1903033473378801E-2</c:v>
                </c:pt>
                <c:pt idx="49">
                  <c:v>4.8661504481700799E-2</c:v>
                </c:pt>
                <c:pt idx="50">
                  <c:v>5.5511941846625598E-2</c:v>
                </c:pt>
                <c:pt idx="51">
                  <c:v>6.2820469898041104E-2</c:v>
                </c:pt>
                <c:pt idx="52">
                  <c:v>7.0556207725794198E-2</c:v>
                </c:pt>
                <c:pt idx="53">
                  <c:v>7.8542177874519101E-2</c:v>
                </c:pt>
                <c:pt idx="54">
                  <c:v>8.5662284023683199E-2</c:v>
                </c:pt>
                <c:pt idx="55">
                  <c:v>9.1098916874444699E-2</c:v>
                </c:pt>
                <c:pt idx="56">
                  <c:v>9.4981668502610694E-2</c:v>
                </c:pt>
                <c:pt idx="57">
                  <c:v>9.8674460613090598E-2</c:v>
                </c:pt>
                <c:pt idx="58">
                  <c:v>0.102169520933755</c:v>
                </c:pt>
                <c:pt idx="59">
                  <c:v>0.10428613860402999</c:v>
                </c:pt>
                <c:pt idx="60">
                  <c:v>0.105622114770568</c:v>
                </c:pt>
                <c:pt idx="61">
                  <c:v>0.106204385251622</c:v>
                </c:pt>
                <c:pt idx="62">
                  <c:v>0.10641306156878499</c:v>
                </c:pt>
                <c:pt idx="63">
                  <c:v>0.106369256430224</c:v>
                </c:pt>
                <c:pt idx="64">
                  <c:v>0.105060075193892</c:v>
                </c:pt>
                <c:pt idx="65">
                  <c:v>0.103750893957559</c:v>
                </c:pt>
                <c:pt idx="66">
                  <c:v>0.102330893097136</c:v>
                </c:pt>
                <c:pt idx="67">
                  <c:v>0.100886285765526</c:v>
                </c:pt>
                <c:pt idx="68">
                  <c:v>0.10013770097812701</c:v>
                </c:pt>
                <c:pt idx="69">
                  <c:v>9.88545480627738E-2</c:v>
                </c:pt>
                <c:pt idx="70">
                  <c:v>9.6509884129447193E-2</c:v>
                </c:pt>
                <c:pt idx="71">
                  <c:v>9.3319291085900494E-2</c:v>
                </c:pt>
                <c:pt idx="72">
                  <c:v>8.9582131082348707E-2</c:v>
                </c:pt>
                <c:pt idx="73">
                  <c:v>8.5834442757245305E-2</c:v>
                </c:pt>
                <c:pt idx="74">
                  <c:v>8.2348726753162793E-2</c:v>
                </c:pt>
                <c:pt idx="75">
                  <c:v>7.9588988669760094E-2</c:v>
                </c:pt>
                <c:pt idx="76">
                  <c:v>7.6933099081498396E-2</c:v>
                </c:pt>
                <c:pt idx="77">
                  <c:v>7.3906271232484805E-2</c:v>
                </c:pt>
                <c:pt idx="78">
                  <c:v>7.1218619772401806E-2</c:v>
                </c:pt>
                <c:pt idx="79">
                  <c:v>6.8637000911963494E-2</c:v>
                </c:pt>
                <c:pt idx="80">
                  <c:v>6.6771532819639295E-2</c:v>
                </c:pt>
                <c:pt idx="81">
                  <c:v>6.5345248342984399E-2</c:v>
                </c:pt>
                <c:pt idx="82">
                  <c:v>6.22403250471723E-2</c:v>
                </c:pt>
                <c:pt idx="83">
                  <c:v>5.9663961400133303E-2</c:v>
                </c:pt>
                <c:pt idx="84">
                  <c:v>5.8128613977214097E-2</c:v>
                </c:pt>
                <c:pt idx="85">
                  <c:v>5.6947082648920302E-2</c:v>
                </c:pt>
                <c:pt idx="86">
                  <c:v>5.5665861580896397E-2</c:v>
                </c:pt>
                <c:pt idx="87">
                  <c:v>5.4834418625015598E-2</c:v>
                </c:pt>
                <c:pt idx="88">
                  <c:v>5.4215576294194101E-2</c:v>
                </c:pt>
                <c:pt idx="89">
                  <c:v>5.34684484776154E-2</c:v>
                </c:pt>
                <c:pt idx="90">
                  <c:v>5.27514067102791E-2</c:v>
                </c:pt>
                <c:pt idx="91">
                  <c:v>5.2908863173239902E-2</c:v>
                </c:pt>
                <c:pt idx="92">
                  <c:v>5.3165372010173698E-2</c:v>
                </c:pt>
                <c:pt idx="93">
                  <c:v>5.3517312237661298E-2</c:v>
                </c:pt>
                <c:pt idx="94">
                  <c:v>5.4123414688124698E-2</c:v>
                </c:pt>
                <c:pt idx="95">
                  <c:v>5.4986990640577403E-2</c:v>
                </c:pt>
                <c:pt idx="96">
                  <c:v>5.6394695796913703E-2</c:v>
                </c:pt>
                <c:pt idx="97">
                  <c:v>5.7978102732771201E-2</c:v>
                </c:pt>
                <c:pt idx="98">
                  <c:v>5.9683384120539897E-2</c:v>
                </c:pt>
                <c:pt idx="99">
                  <c:v>6.1112738968525399E-2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254-4FC6-B061-ACD936A04274}"/>
            </c:ext>
          </c:extLst>
        </c:ser>
        <c:ser>
          <c:idx val="7"/>
          <c:order val="9"/>
          <c:tx>
            <c:strRef>
              <c:f>'0.64NaCl_0.36UCl3_plot_data'!$K$1</c:f>
              <c:strCache>
                <c:ptCount val="1"/>
                <c:pt idx="0">
                  <c:v>l_BC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('0.64NaCl_0.36UCl3_plot_data'!$K$2,'0.64NaCl_0.36UCl3_plot_data'!$K$3)</c:f>
              <c:numCache>
                <c:formatCode>General</c:formatCode>
                <c:ptCount val="2"/>
                <c:pt idx="0">
                  <c:v>2.7178740000000001</c:v>
                </c:pt>
                <c:pt idx="1">
                  <c:v>2.7178740000000001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3-A254-4FC6-B061-ACD936A0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6.9"/>
          <c:min val="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329085034777877"/>
          <c:y val="4.8818218148761347E-2"/>
          <c:w val="0.43923663532428547"/>
          <c:h val="0.2129408625997444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6.2612273277871305E-2</c:v>
                </c:pt>
                <c:pt idx="16">
                  <c:v>0.46095787187769799</c:v>
                </c:pt>
                <c:pt idx="17">
                  <c:v>0.99994769007349404</c:v>
                </c:pt>
                <c:pt idx="18">
                  <c:v>1.2384516980767999</c:v>
                </c:pt>
                <c:pt idx="19">
                  <c:v>1.09040523702456</c:v>
                </c:pt>
                <c:pt idx="20">
                  <c:v>0.80723907259291905</c:v>
                </c:pt>
                <c:pt idx="21">
                  <c:v>0.57451006708282804</c:v>
                </c:pt>
                <c:pt idx="22">
                  <c:v>0.410442110461535</c:v>
                </c:pt>
                <c:pt idx="23">
                  <c:v>0.30796192165585701</c:v>
                </c:pt>
                <c:pt idx="24">
                  <c:v>0.242001179322541</c:v>
                </c:pt>
                <c:pt idx="25">
                  <c:v>0.19822381311765599</c:v>
                </c:pt>
                <c:pt idx="26">
                  <c:v>0.17418548388294899</c:v>
                </c:pt>
                <c:pt idx="27">
                  <c:v>0.160117594333333</c:v>
                </c:pt>
                <c:pt idx="28">
                  <c:v>0.160117594333333</c:v>
                </c:pt>
                <c:pt idx="29">
                  <c:v>0.160117594333333</c:v>
                </c:pt>
                <c:pt idx="30">
                  <c:v>0.16913947962922399</c:v>
                </c:pt>
                <c:pt idx="31">
                  <c:v>0.18851110810043201</c:v>
                </c:pt>
                <c:pt idx="32">
                  <c:v>0.20788273657164</c:v>
                </c:pt>
                <c:pt idx="33">
                  <c:v>0.22725436504284799</c:v>
                </c:pt>
                <c:pt idx="34">
                  <c:v>0.25078696494321601</c:v>
                </c:pt>
                <c:pt idx="35">
                  <c:v>0.28392075119763099</c:v>
                </c:pt>
                <c:pt idx="36">
                  <c:v>0.320784108936295</c:v>
                </c:pt>
                <c:pt idx="37">
                  <c:v>0.35770950052761202</c:v>
                </c:pt>
                <c:pt idx="38">
                  <c:v>0.39463489211892799</c:v>
                </c:pt>
                <c:pt idx="39">
                  <c:v>0.42435374864766201</c:v>
                </c:pt>
                <c:pt idx="40">
                  <c:v>0.43216488924385799</c:v>
                </c:pt>
                <c:pt idx="41">
                  <c:v>0.43997602984005402</c:v>
                </c:pt>
                <c:pt idx="42">
                  <c:v>0.44778717043624899</c:v>
                </c:pt>
                <c:pt idx="43">
                  <c:v>0.44092687880625803</c:v>
                </c:pt>
                <c:pt idx="44">
                  <c:v>0.42160356239496899</c:v>
                </c:pt>
                <c:pt idx="45">
                  <c:v>0.39792498186194297</c:v>
                </c:pt>
                <c:pt idx="46">
                  <c:v>0.37292933227418501</c:v>
                </c:pt>
                <c:pt idx="47">
                  <c:v>0.35059375023566303</c:v>
                </c:pt>
                <c:pt idx="48">
                  <c:v>0.33080552747790498</c:v>
                </c:pt>
                <c:pt idx="49">
                  <c:v>0.31125594584628302</c:v>
                </c:pt>
                <c:pt idx="50">
                  <c:v>0.29719589286457598</c:v>
                </c:pt>
                <c:pt idx="51">
                  <c:v>0.28584529164772399</c:v>
                </c:pt>
                <c:pt idx="52">
                  <c:v>0.28098256099999902</c:v>
                </c:pt>
                <c:pt idx="53">
                  <c:v>0.28098256099999902</c:v>
                </c:pt>
                <c:pt idx="54">
                  <c:v>0.28098256099999902</c:v>
                </c:pt>
                <c:pt idx="55">
                  <c:v>0.28098256099999902</c:v>
                </c:pt>
                <c:pt idx="56">
                  <c:v>0.28453529354192197</c:v>
                </c:pt>
                <c:pt idx="57">
                  <c:v>0.29401110328650898</c:v>
                </c:pt>
                <c:pt idx="58">
                  <c:v>0.30348691303109498</c:v>
                </c:pt>
                <c:pt idx="59">
                  <c:v>0.31296272277568099</c:v>
                </c:pt>
                <c:pt idx="60">
                  <c:v>0.322438532520267</c:v>
                </c:pt>
                <c:pt idx="61">
                  <c:v>0.331914342264854</c:v>
                </c:pt>
                <c:pt idx="62">
                  <c:v>0.34139015200944001</c:v>
                </c:pt>
                <c:pt idx="63">
                  <c:v>0.35086596175402601</c:v>
                </c:pt>
                <c:pt idx="64">
                  <c:v>0.36034177149861202</c:v>
                </c:pt>
                <c:pt idx="65">
                  <c:v>0.36981758124319902</c:v>
                </c:pt>
                <c:pt idx="66">
                  <c:v>0.37613157720721002</c:v>
                </c:pt>
                <c:pt idx="67">
                  <c:v>0.37114488004287199</c:v>
                </c:pt>
                <c:pt idx="68">
                  <c:v>0.365737167381954</c:v>
                </c:pt>
                <c:pt idx="69">
                  <c:v>0.360329454721037</c:v>
                </c:pt>
                <c:pt idx="70">
                  <c:v>0.35492174206011901</c:v>
                </c:pt>
                <c:pt idx="71">
                  <c:v>0.34751431226493301</c:v>
                </c:pt>
                <c:pt idx="72">
                  <c:v>0.33899306833076998</c:v>
                </c:pt>
                <c:pt idx="73">
                  <c:v>0.33106230970989903</c:v>
                </c:pt>
                <c:pt idx="74">
                  <c:v>0.32375822288471201</c:v>
                </c:pt>
                <c:pt idx="75">
                  <c:v>0.31910550452310699</c:v>
                </c:pt>
                <c:pt idx="76">
                  <c:v>0.31519993419439002</c:v>
                </c:pt>
                <c:pt idx="77">
                  <c:v>0.311841701333333</c:v>
                </c:pt>
                <c:pt idx="78">
                  <c:v>0.311841701333333</c:v>
                </c:pt>
                <c:pt idx="79">
                  <c:v>0.311841701333333</c:v>
                </c:pt>
                <c:pt idx="80">
                  <c:v>0.311841701333333</c:v>
                </c:pt>
                <c:pt idx="81">
                  <c:v>0.31498140085106002</c:v>
                </c:pt>
                <c:pt idx="82">
                  <c:v>0.31957618944429</c:v>
                </c:pt>
                <c:pt idx="83">
                  <c:v>0.32417097803751999</c:v>
                </c:pt>
                <c:pt idx="84">
                  <c:v>0.32876576663074902</c:v>
                </c:pt>
                <c:pt idx="85">
                  <c:v>0.333360555223979</c:v>
                </c:pt>
                <c:pt idx="86">
                  <c:v>0.33796329745164</c:v>
                </c:pt>
                <c:pt idx="87">
                  <c:v>0.34264997948389903</c:v>
                </c:pt>
                <c:pt idx="88">
                  <c:v>0.34527243357860299</c:v>
                </c:pt>
                <c:pt idx="89">
                  <c:v>0.34527243413547298</c:v>
                </c:pt>
                <c:pt idx="90">
                  <c:v>0.34527243469234198</c:v>
                </c:pt>
                <c:pt idx="91">
                  <c:v>0.34527243524921097</c:v>
                </c:pt>
                <c:pt idx="92">
                  <c:v>0.34527243580608102</c:v>
                </c:pt>
                <c:pt idx="93">
                  <c:v>0.34527243636295002</c:v>
                </c:pt>
                <c:pt idx="94">
                  <c:v>0.34527243691981901</c:v>
                </c:pt>
                <c:pt idx="95">
                  <c:v>0.34279012048947599</c:v>
                </c:pt>
                <c:pt idx="96">
                  <c:v>0.33871474482999903</c:v>
                </c:pt>
                <c:pt idx="97">
                  <c:v>0.33579860469838002</c:v>
                </c:pt>
                <c:pt idx="98">
                  <c:v>0.33204925704078703</c:v>
                </c:pt>
                <c:pt idx="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4-4976-A6AF-AD573E81FCBF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2.9059459344315001E-3</c:v>
                </c:pt>
                <c:pt idx="19">
                  <c:v>8.8186713781525494E-3</c:v>
                </c:pt>
                <c:pt idx="20">
                  <c:v>2.6986059689671198E-2</c:v>
                </c:pt>
                <c:pt idx="21">
                  <c:v>7.2339609514790307E-2</c:v>
                </c:pt>
                <c:pt idx="22">
                  <c:v>0.152769257567239</c:v>
                </c:pt>
                <c:pt idx="23">
                  <c:v>0.27244849344319</c:v>
                </c:pt>
                <c:pt idx="24">
                  <c:v>0.382126164694091</c:v>
                </c:pt>
                <c:pt idx="25">
                  <c:v>0.50095558025064402</c:v>
                </c:pt>
                <c:pt idx="26">
                  <c:v>0.56513102911643998</c:v>
                </c:pt>
                <c:pt idx="27">
                  <c:v>0.59350780014153204</c:v>
                </c:pt>
                <c:pt idx="28">
                  <c:v>0.58132620668212498</c:v>
                </c:pt>
                <c:pt idx="29">
                  <c:v>0.55409605327533995</c:v>
                </c:pt>
                <c:pt idx="30">
                  <c:v>0.51352072912200797</c:v>
                </c:pt>
                <c:pt idx="31">
                  <c:v>0.46063540649053297</c:v>
                </c:pt>
                <c:pt idx="32">
                  <c:v>0.42003229319381902</c:v>
                </c:pt>
                <c:pt idx="33">
                  <c:v>0.38982806339022402</c:v>
                </c:pt>
                <c:pt idx="34">
                  <c:v>0.362453009526992</c:v>
                </c:pt>
                <c:pt idx="35">
                  <c:v>0.340247052791876</c:v>
                </c:pt>
                <c:pt idx="36">
                  <c:v>0.31925501416454899</c:v>
                </c:pt>
                <c:pt idx="37">
                  <c:v>0.29761245677589698</c:v>
                </c:pt>
                <c:pt idx="38">
                  <c:v>0.27796354530275602</c:v>
                </c:pt>
                <c:pt idx="39">
                  <c:v>0.26372992958457497</c:v>
                </c:pt>
                <c:pt idx="40">
                  <c:v>0.25123353741260901</c:v>
                </c:pt>
                <c:pt idx="41">
                  <c:v>0.241292085866224</c:v>
                </c:pt>
                <c:pt idx="42">
                  <c:v>0.23442381779361299</c:v>
                </c:pt>
                <c:pt idx="43">
                  <c:v>0.239891616158462</c:v>
                </c:pt>
                <c:pt idx="44">
                  <c:v>0.246867881714364</c:v>
                </c:pt>
                <c:pt idx="45">
                  <c:v>0.26008673484080003</c:v>
                </c:pt>
                <c:pt idx="46">
                  <c:v>0.28725617881599502</c:v>
                </c:pt>
                <c:pt idx="47">
                  <c:v>0.30912737233865101</c:v>
                </c:pt>
                <c:pt idx="48">
                  <c:v>0.33129008502345703</c:v>
                </c:pt>
                <c:pt idx="49">
                  <c:v>0.35433294966331402</c:v>
                </c:pt>
                <c:pt idx="50">
                  <c:v>0.37246149353465502</c:v>
                </c:pt>
                <c:pt idx="51">
                  <c:v>0.386834887569101</c:v>
                </c:pt>
                <c:pt idx="52">
                  <c:v>0.39767052299671002</c:v>
                </c:pt>
                <c:pt idx="53">
                  <c:v>0.39754661933787799</c:v>
                </c:pt>
                <c:pt idx="54">
                  <c:v>0.39738270510876</c:v>
                </c:pt>
                <c:pt idx="55">
                  <c:v>0.39443682366772898</c:v>
                </c:pt>
                <c:pt idx="56">
                  <c:v>0.384347433852265</c:v>
                </c:pt>
                <c:pt idx="57">
                  <c:v>0.37425804403680202</c:v>
                </c:pt>
                <c:pt idx="58">
                  <c:v>0.36231404750173002</c:v>
                </c:pt>
                <c:pt idx="59">
                  <c:v>0.34935603148380701</c:v>
                </c:pt>
                <c:pt idx="60">
                  <c:v>0.33673564210905199</c:v>
                </c:pt>
                <c:pt idx="61">
                  <c:v>0.324162627728939</c:v>
                </c:pt>
                <c:pt idx="62">
                  <c:v>0.31544537943253897</c:v>
                </c:pt>
                <c:pt idx="63">
                  <c:v>0.307353379716584</c:v>
                </c:pt>
                <c:pt idx="64">
                  <c:v>0.30174994246403197</c:v>
                </c:pt>
                <c:pt idx="65">
                  <c:v>0.29628214409918302</c:v>
                </c:pt>
                <c:pt idx="66">
                  <c:v>0.29684018097495402</c:v>
                </c:pt>
                <c:pt idx="67">
                  <c:v>0.29775913866884002</c:v>
                </c:pt>
                <c:pt idx="68">
                  <c:v>0.29867809636272702</c:v>
                </c:pt>
                <c:pt idx="69">
                  <c:v>0.30327699549425802</c:v>
                </c:pt>
                <c:pt idx="70">
                  <c:v>0.31107062390881601</c:v>
                </c:pt>
                <c:pt idx="71">
                  <c:v>0.31901863935385</c:v>
                </c:pt>
                <c:pt idx="72">
                  <c:v>0.32730544611234402</c:v>
                </c:pt>
                <c:pt idx="73">
                  <c:v>0.33559225287083699</c:v>
                </c:pt>
                <c:pt idx="74">
                  <c:v>0.34380916134415901</c:v>
                </c:pt>
                <c:pt idx="75">
                  <c:v>0.34874039343070101</c:v>
                </c:pt>
                <c:pt idx="76">
                  <c:v>0.35367162551724202</c:v>
                </c:pt>
                <c:pt idx="77">
                  <c:v>0.35719195244476398</c:v>
                </c:pt>
                <c:pt idx="78">
                  <c:v>0.35765143124280502</c:v>
                </c:pt>
                <c:pt idx="79">
                  <c:v>0.358110910040847</c:v>
                </c:pt>
                <c:pt idx="80">
                  <c:v>0.35857038883888798</c:v>
                </c:pt>
                <c:pt idx="81">
                  <c:v>0.35421404223808201</c:v>
                </c:pt>
                <c:pt idx="82">
                  <c:v>0.34936574814909999</c:v>
                </c:pt>
                <c:pt idx="83">
                  <c:v>0.34451733838554299</c:v>
                </c:pt>
                <c:pt idx="84">
                  <c:v>0.339309911354713</c:v>
                </c:pt>
                <c:pt idx="85">
                  <c:v>0.33410248432388301</c:v>
                </c:pt>
                <c:pt idx="86">
                  <c:v>0.329672055574668</c:v>
                </c:pt>
                <c:pt idx="87">
                  <c:v>0.32544300321172298</c:v>
                </c:pt>
                <c:pt idx="88">
                  <c:v>0.32231854705074198</c:v>
                </c:pt>
                <c:pt idx="89">
                  <c:v>0.31919409088976203</c:v>
                </c:pt>
                <c:pt idx="90">
                  <c:v>0.31642914443132603</c:v>
                </c:pt>
                <c:pt idx="91">
                  <c:v>0.317600815447311</c:v>
                </c:pt>
                <c:pt idx="92">
                  <c:v>0.31877248646329598</c:v>
                </c:pt>
                <c:pt idx="93">
                  <c:v>0.31994415747928101</c:v>
                </c:pt>
                <c:pt idx="94">
                  <c:v>0.321270043315728</c:v>
                </c:pt>
                <c:pt idx="95">
                  <c:v>0.32452468521675298</c:v>
                </c:pt>
                <c:pt idx="96">
                  <c:v>0.32777932711777702</c:v>
                </c:pt>
                <c:pt idx="97">
                  <c:v>0.33131542783129603</c:v>
                </c:pt>
                <c:pt idx="98">
                  <c:v>0.33499125874622099</c:v>
                </c:pt>
                <c:pt idx="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14-4976-A6AF-AD573E81FCBF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4.2448366339591898E-2</c:v>
                </c:pt>
                <c:pt idx="21">
                  <c:v>9.2969698970699205E-2</c:v>
                </c:pt>
                <c:pt idx="22">
                  <c:v>0.17765003407763799</c:v>
                </c:pt>
                <c:pt idx="23">
                  <c:v>0.27724748683112299</c:v>
                </c:pt>
                <c:pt idx="24">
                  <c:v>0.38172424062328097</c:v>
                </c:pt>
                <c:pt idx="25">
                  <c:v>0.47448019990086898</c:v>
                </c:pt>
                <c:pt idx="26">
                  <c:v>0.52909769874756696</c:v>
                </c:pt>
                <c:pt idx="27">
                  <c:v>0.56168131363878704</c:v>
                </c:pt>
                <c:pt idx="28">
                  <c:v>0.55589858614231702</c:v>
                </c:pt>
                <c:pt idx="29">
                  <c:v>0.53681912381144803</c:v>
                </c:pt>
                <c:pt idx="30">
                  <c:v>0.50216995376917895</c:v>
                </c:pt>
                <c:pt idx="31">
                  <c:v>0.46613554155885401</c:v>
                </c:pt>
                <c:pt idx="32">
                  <c:v>0.43475352841493797</c:v>
                </c:pt>
                <c:pt idx="33">
                  <c:v>0.40634750237658102</c:v>
                </c:pt>
                <c:pt idx="34">
                  <c:v>0.38166095940305</c:v>
                </c:pt>
                <c:pt idx="35">
                  <c:v>0.35802198143080899</c:v>
                </c:pt>
                <c:pt idx="36">
                  <c:v>0.33324540719996998</c:v>
                </c:pt>
                <c:pt idx="37">
                  <c:v>0.30937818948521101</c:v>
                </c:pt>
                <c:pt idx="38">
                  <c:v>0.28696081475839802</c:v>
                </c:pt>
                <c:pt idx="39">
                  <c:v>0.26525915465604399</c:v>
                </c:pt>
                <c:pt idx="40">
                  <c:v>0.25138999755413799</c:v>
                </c:pt>
                <c:pt idx="41">
                  <c:v>0.24057679150962899</c:v>
                </c:pt>
                <c:pt idx="42">
                  <c:v>0.23494550413373599</c:v>
                </c:pt>
                <c:pt idx="43">
                  <c:v>0.24051173717132401</c:v>
                </c:pt>
                <c:pt idx="44">
                  <c:v>0.24672874469651701</c:v>
                </c:pt>
                <c:pt idx="45">
                  <c:v>0.26265734513716499</c:v>
                </c:pt>
                <c:pt idx="46">
                  <c:v>0.28014986236948902</c:v>
                </c:pt>
                <c:pt idx="47">
                  <c:v>0.30076259432052599</c:v>
                </c:pt>
                <c:pt idx="48">
                  <c:v>0.32264775383619898</c:v>
                </c:pt>
                <c:pt idx="49">
                  <c:v>0.34464065512680803</c:v>
                </c:pt>
                <c:pt idx="50">
                  <c:v>0.366079070767031</c:v>
                </c:pt>
                <c:pt idx="51">
                  <c:v>0.37993535477092399</c:v>
                </c:pt>
                <c:pt idx="52">
                  <c:v>0.39185894929708298</c:v>
                </c:pt>
                <c:pt idx="53">
                  <c:v>0.39370895620937002</c:v>
                </c:pt>
                <c:pt idx="54">
                  <c:v>0.395558963121658</c:v>
                </c:pt>
                <c:pt idx="55">
                  <c:v>0.39702762560562199</c:v>
                </c:pt>
                <c:pt idx="56">
                  <c:v>0.38744967953019399</c:v>
                </c:pt>
                <c:pt idx="57">
                  <c:v>0.37787173345476699</c:v>
                </c:pt>
                <c:pt idx="58">
                  <c:v>0.36589782178782299</c:v>
                </c:pt>
                <c:pt idx="59">
                  <c:v>0.35313797490153898</c:v>
                </c:pt>
                <c:pt idx="60">
                  <c:v>0.340592809997247</c:v>
                </c:pt>
                <c:pt idx="61">
                  <c:v>0.32896355857459297</c:v>
                </c:pt>
                <c:pt idx="62">
                  <c:v>0.31818020829723298</c:v>
                </c:pt>
                <c:pt idx="63">
                  <c:v>0.30948606917817101</c:v>
                </c:pt>
                <c:pt idx="64">
                  <c:v>0.30288857712756201</c:v>
                </c:pt>
                <c:pt idx="65">
                  <c:v>0.29763333881278897</c:v>
                </c:pt>
                <c:pt idx="66">
                  <c:v>0.296765434432744</c:v>
                </c:pt>
                <c:pt idx="67">
                  <c:v>0.29695700327378</c:v>
                </c:pt>
                <c:pt idx="68">
                  <c:v>0.29865368053973801</c:v>
                </c:pt>
                <c:pt idx="69">
                  <c:v>0.303587032605248</c:v>
                </c:pt>
                <c:pt idx="70">
                  <c:v>0.30989903253589701</c:v>
                </c:pt>
                <c:pt idx="71">
                  <c:v>0.31702095476011</c:v>
                </c:pt>
                <c:pt idx="72">
                  <c:v>0.32506770162764098</c:v>
                </c:pt>
                <c:pt idx="73">
                  <c:v>0.333239764233075</c:v>
                </c:pt>
                <c:pt idx="74">
                  <c:v>0.34021993240005</c:v>
                </c:pt>
                <c:pt idx="75">
                  <c:v>0.34720010056702499</c:v>
                </c:pt>
                <c:pt idx="76">
                  <c:v>0.350832737225657</c:v>
                </c:pt>
                <c:pt idx="77">
                  <c:v>0.35160611746339998</c:v>
                </c:pt>
                <c:pt idx="78">
                  <c:v>0.35237949770114202</c:v>
                </c:pt>
                <c:pt idx="79">
                  <c:v>0.353152877938884</c:v>
                </c:pt>
                <c:pt idx="80">
                  <c:v>0.35392625817662698</c:v>
                </c:pt>
                <c:pt idx="81">
                  <c:v>0.35469963841436902</c:v>
                </c:pt>
                <c:pt idx="82">
                  <c:v>0.35033461032695401</c:v>
                </c:pt>
                <c:pt idx="83">
                  <c:v>0.34595639148885199</c:v>
                </c:pt>
                <c:pt idx="84">
                  <c:v>0.34096300005217001</c:v>
                </c:pt>
                <c:pt idx="85">
                  <c:v>0.33585571582914497</c:v>
                </c:pt>
                <c:pt idx="86">
                  <c:v>0.33101114778198998</c:v>
                </c:pt>
                <c:pt idx="87">
                  <c:v>0.32658504399340998</c:v>
                </c:pt>
                <c:pt idx="88">
                  <c:v>0.32274146700321599</c:v>
                </c:pt>
                <c:pt idx="89">
                  <c:v>0.320467127527092</c:v>
                </c:pt>
                <c:pt idx="90">
                  <c:v>0.31955648666666597</c:v>
                </c:pt>
                <c:pt idx="91">
                  <c:v>0.31955648666666597</c:v>
                </c:pt>
                <c:pt idx="92">
                  <c:v>0.31955648666666597</c:v>
                </c:pt>
                <c:pt idx="93">
                  <c:v>0.32026960647643998</c:v>
                </c:pt>
                <c:pt idx="94">
                  <c:v>0.32168981382787498</c:v>
                </c:pt>
                <c:pt idx="95">
                  <c:v>0.32441297935425401</c:v>
                </c:pt>
                <c:pt idx="96">
                  <c:v>0.32771769257884997</c:v>
                </c:pt>
                <c:pt idx="97">
                  <c:v>0.33100637270653799</c:v>
                </c:pt>
                <c:pt idx="98">
                  <c:v>0.33428201235326899</c:v>
                </c:pt>
                <c:pt idx="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14-4976-A6AF-AD573E81FCBF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'1.0LiF_plot_data'!$E$2:$E$101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0.81933469577646101</c:v>
                </c:pt>
                <c:pt idx="19">
                  <c:v>0.76597785570501298</c:v>
                </c:pt>
                <c:pt idx="20">
                  <c:v>0.76597785570501298</c:v>
                </c:pt>
                <c:pt idx="21">
                  <c:v>0.76597785570501298</c:v>
                </c:pt>
                <c:pt idx="22">
                  <c:v>0.76597785570501298</c:v>
                </c:pt>
                <c:pt idx="23">
                  <c:v>0.76597785570501298</c:v>
                </c:pt>
                <c:pt idx="24">
                  <c:v>0.76597785570501298</c:v>
                </c:pt>
                <c:pt idx="25">
                  <c:v>0.76597785570501298</c:v>
                </c:pt>
                <c:pt idx="26">
                  <c:v>0.76597785570501298</c:v>
                </c:pt>
                <c:pt idx="27">
                  <c:v>0.76597785570501298</c:v>
                </c:pt>
                <c:pt idx="28">
                  <c:v>0.76597785570501298</c:v>
                </c:pt>
                <c:pt idx="29">
                  <c:v>0.76597785570501298</c:v>
                </c:pt>
                <c:pt idx="30">
                  <c:v>0.76597785570501298</c:v>
                </c:pt>
                <c:pt idx="31">
                  <c:v>0.76597785570501298</c:v>
                </c:pt>
                <c:pt idx="32">
                  <c:v>0.76597785570501298</c:v>
                </c:pt>
                <c:pt idx="33">
                  <c:v>0.76597785570501298</c:v>
                </c:pt>
                <c:pt idx="34">
                  <c:v>0.76597785570501298</c:v>
                </c:pt>
                <c:pt idx="35">
                  <c:v>0.30374862307016998</c:v>
                </c:pt>
                <c:pt idx="36">
                  <c:v>0.13679561687706901</c:v>
                </c:pt>
                <c:pt idx="37">
                  <c:v>0.13679561687706901</c:v>
                </c:pt>
                <c:pt idx="38">
                  <c:v>0.13679561687706901</c:v>
                </c:pt>
                <c:pt idx="39">
                  <c:v>0.13679561687706901</c:v>
                </c:pt>
                <c:pt idx="40">
                  <c:v>0.13679561687706901</c:v>
                </c:pt>
                <c:pt idx="41">
                  <c:v>0.13679561687706901</c:v>
                </c:pt>
                <c:pt idx="42">
                  <c:v>0.13679561687706901</c:v>
                </c:pt>
                <c:pt idx="43">
                  <c:v>0.13679561687706901</c:v>
                </c:pt>
                <c:pt idx="44">
                  <c:v>0.13679561687706901</c:v>
                </c:pt>
                <c:pt idx="45">
                  <c:v>0.13679561687706901</c:v>
                </c:pt>
                <c:pt idx="46">
                  <c:v>0.13679561687706901</c:v>
                </c:pt>
                <c:pt idx="47">
                  <c:v>0.13679561687706901</c:v>
                </c:pt>
                <c:pt idx="48">
                  <c:v>0.13679561687706901</c:v>
                </c:pt>
                <c:pt idx="49">
                  <c:v>0.13679561687706901</c:v>
                </c:pt>
                <c:pt idx="50">
                  <c:v>0.13679561687706901</c:v>
                </c:pt>
                <c:pt idx="51">
                  <c:v>8.8764665794569E-2</c:v>
                </c:pt>
                <c:pt idx="52">
                  <c:v>6.8722650828349904E-3</c:v>
                </c:pt>
                <c:pt idx="53">
                  <c:v>6.8722650828349904E-3</c:v>
                </c:pt>
                <c:pt idx="54">
                  <c:v>6.8722650828349904E-3</c:v>
                </c:pt>
                <c:pt idx="55">
                  <c:v>6.8722650828349904E-3</c:v>
                </c:pt>
                <c:pt idx="56">
                  <c:v>6.8722650828349904E-3</c:v>
                </c:pt>
                <c:pt idx="57">
                  <c:v>6.8722650828349904E-3</c:v>
                </c:pt>
                <c:pt idx="58">
                  <c:v>6.8722650828349904E-3</c:v>
                </c:pt>
                <c:pt idx="59">
                  <c:v>6.8722650828349904E-3</c:v>
                </c:pt>
                <c:pt idx="60">
                  <c:v>6.8722650828349904E-3</c:v>
                </c:pt>
                <c:pt idx="61">
                  <c:v>6.8722650828349904E-3</c:v>
                </c:pt>
                <c:pt idx="62">
                  <c:v>6.8722650828349904E-3</c:v>
                </c:pt>
                <c:pt idx="63">
                  <c:v>6.8722650828349904E-3</c:v>
                </c:pt>
                <c:pt idx="64">
                  <c:v>6.8722650828349904E-3</c:v>
                </c:pt>
                <c:pt idx="65">
                  <c:v>6.8722650828349904E-3</c:v>
                </c:pt>
                <c:pt idx="66">
                  <c:v>6.8722650828349904E-3</c:v>
                </c:pt>
                <c:pt idx="67">
                  <c:v>5.5449778313355997E-3</c:v>
                </c:pt>
                <c:pt idx="68">
                  <c:v>4.1056307732461996E-3</c:v>
                </c:pt>
                <c:pt idx="69">
                  <c:v>2.6662837151567799E-3</c:v>
                </c:pt>
                <c:pt idx="70">
                  <c:v>1.22693665706737E-3</c:v>
                </c:pt>
                <c:pt idx="71">
                  <c:v>7.1203397418789403E-4</c:v>
                </c:pt>
                <c:pt idx="72">
                  <c:v>7.1203397418789403E-4</c:v>
                </c:pt>
                <c:pt idx="73">
                  <c:v>7.1203397418789403E-4</c:v>
                </c:pt>
                <c:pt idx="74">
                  <c:v>7.1203397418789403E-4</c:v>
                </c:pt>
                <c:pt idx="75">
                  <c:v>7.1203397418789403E-4</c:v>
                </c:pt>
                <c:pt idx="76">
                  <c:v>7.1203397418789403E-4</c:v>
                </c:pt>
                <c:pt idx="77">
                  <c:v>7.1203397418789403E-4</c:v>
                </c:pt>
                <c:pt idx="78">
                  <c:v>7.1203397418789403E-4</c:v>
                </c:pt>
                <c:pt idx="79">
                  <c:v>7.1203397418789403E-4</c:v>
                </c:pt>
                <c:pt idx="80">
                  <c:v>7.1203397418789403E-4</c:v>
                </c:pt>
                <c:pt idx="81">
                  <c:v>7.1203397418789403E-4</c:v>
                </c:pt>
                <c:pt idx="82">
                  <c:v>7.1203397418789403E-4</c:v>
                </c:pt>
                <c:pt idx="83">
                  <c:v>7.1203397418789403E-4</c:v>
                </c:pt>
                <c:pt idx="84">
                  <c:v>7.1203397418789403E-4</c:v>
                </c:pt>
                <c:pt idx="85">
                  <c:v>7.1203397418789403E-4</c:v>
                </c:pt>
                <c:pt idx="86">
                  <c:v>6.8053607299571497E-4</c:v>
                </c:pt>
                <c:pt idx="87">
                  <c:v>3.1662062177019901E-4</c:v>
                </c:pt>
                <c:pt idx="88">
                  <c:v>1.12990106756371E-4</c:v>
                </c:pt>
                <c:pt idx="89">
                  <c:v>1.12990106756371E-4</c:v>
                </c:pt>
                <c:pt idx="90">
                  <c:v>1.12990106756371E-4</c:v>
                </c:pt>
                <c:pt idx="91">
                  <c:v>1.12990106756371E-4</c:v>
                </c:pt>
                <c:pt idx="92">
                  <c:v>1.12990106756371E-4</c:v>
                </c:pt>
                <c:pt idx="93">
                  <c:v>1.12990106756371E-4</c:v>
                </c:pt>
                <c:pt idx="94">
                  <c:v>1.12990106756371E-4</c:v>
                </c:pt>
                <c:pt idx="95">
                  <c:v>1.12990106756371E-4</c:v>
                </c:pt>
                <c:pt idx="96">
                  <c:v>1.12990106756371E-4</c:v>
                </c:pt>
                <c:pt idx="97">
                  <c:v>1.12990106756371E-4</c:v>
                </c:pt>
                <c:pt idx="98">
                  <c:v>1.12990106756371E-4</c:v>
                </c:pt>
                <c:pt idx="99">
                  <c:v>1.12990106756371E-4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14-4976-A6AF-AD573E81FCBF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3.3052280000000001</c:v>
                </c:pt>
                <c:pt idx="1">
                  <c:v>3.3052280000000001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5514-4976-A6AF-AD573E81FCBF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3.4514</c:v>
                </c:pt>
                <c:pt idx="1">
                  <c:v>3.4514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5514-4976-A6AF-AD573E81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40634369170467"/>
          <c:y val="0.33921524191449198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'1.0LiF_plot_data'!$B$1</c:f>
              <c:strCache>
                <c:ptCount val="1"/>
                <c:pt idx="0">
                  <c:v>Li-F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6.2612273277871305E-2</c:v>
                </c:pt>
                <c:pt idx="16">
                  <c:v>0.46095787187769799</c:v>
                </c:pt>
                <c:pt idx="17">
                  <c:v>0.99994769007349404</c:v>
                </c:pt>
                <c:pt idx="18">
                  <c:v>1.2384516980767999</c:v>
                </c:pt>
                <c:pt idx="19">
                  <c:v>1.09040523702456</c:v>
                </c:pt>
                <c:pt idx="20">
                  <c:v>0.80723907259291905</c:v>
                </c:pt>
                <c:pt idx="21">
                  <c:v>0.57451006708282804</c:v>
                </c:pt>
                <c:pt idx="22">
                  <c:v>0.410442110461535</c:v>
                </c:pt>
                <c:pt idx="23">
                  <c:v>0.30796192165585701</c:v>
                </c:pt>
                <c:pt idx="24">
                  <c:v>0.242001179322541</c:v>
                </c:pt>
                <c:pt idx="25">
                  <c:v>0.19822381311765599</c:v>
                </c:pt>
                <c:pt idx="26">
                  <c:v>0.17418548388294899</c:v>
                </c:pt>
                <c:pt idx="27">
                  <c:v>0.160117594333333</c:v>
                </c:pt>
                <c:pt idx="28">
                  <c:v>0.160117594333333</c:v>
                </c:pt>
                <c:pt idx="29">
                  <c:v>0.160117594333333</c:v>
                </c:pt>
                <c:pt idx="30">
                  <c:v>0.16913947962922399</c:v>
                </c:pt>
                <c:pt idx="31">
                  <c:v>0.18851110810043201</c:v>
                </c:pt>
                <c:pt idx="32">
                  <c:v>0.20788273657164</c:v>
                </c:pt>
                <c:pt idx="33">
                  <c:v>0.22725436504284799</c:v>
                </c:pt>
                <c:pt idx="34">
                  <c:v>0.25078696494321601</c:v>
                </c:pt>
                <c:pt idx="35">
                  <c:v>0.28392075119763099</c:v>
                </c:pt>
                <c:pt idx="36">
                  <c:v>0.320784108936295</c:v>
                </c:pt>
                <c:pt idx="37">
                  <c:v>0.35770950052761202</c:v>
                </c:pt>
                <c:pt idx="38">
                  <c:v>0.39463489211892799</c:v>
                </c:pt>
                <c:pt idx="39">
                  <c:v>0.42435374864766201</c:v>
                </c:pt>
                <c:pt idx="40">
                  <c:v>0.43216488924385799</c:v>
                </c:pt>
                <c:pt idx="41">
                  <c:v>0.43997602984005402</c:v>
                </c:pt>
                <c:pt idx="42">
                  <c:v>0.44778717043624899</c:v>
                </c:pt>
                <c:pt idx="43">
                  <c:v>0.44092687880625803</c:v>
                </c:pt>
                <c:pt idx="44">
                  <c:v>0.42160356239496899</c:v>
                </c:pt>
                <c:pt idx="45">
                  <c:v>0.39792498186194297</c:v>
                </c:pt>
                <c:pt idx="46">
                  <c:v>0.37292933227418501</c:v>
                </c:pt>
                <c:pt idx="47">
                  <c:v>0.35059375023566303</c:v>
                </c:pt>
                <c:pt idx="48">
                  <c:v>0.33080552747790498</c:v>
                </c:pt>
                <c:pt idx="49">
                  <c:v>0.31125594584628302</c:v>
                </c:pt>
                <c:pt idx="50">
                  <c:v>0.29719589286457598</c:v>
                </c:pt>
                <c:pt idx="51">
                  <c:v>0.28584529164772399</c:v>
                </c:pt>
                <c:pt idx="52">
                  <c:v>0.28098256099999902</c:v>
                </c:pt>
                <c:pt idx="53">
                  <c:v>0.28098256099999902</c:v>
                </c:pt>
                <c:pt idx="54">
                  <c:v>0.28098256099999902</c:v>
                </c:pt>
                <c:pt idx="55">
                  <c:v>0.28098256099999902</c:v>
                </c:pt>
                <c:pt idx="56">
                  <c:v>0.28453529354192197</c:v>
                </c:pt>
                <c:pt idx="57">
                  <c:v>0.29401110328650898</c:v>
                </c:pt>
                <c:pt idx="58">
                  <c:v>0.30348691303109498</c:v>
                </c:pt>
                <c:pt idx="59">
                  <c:v>0.31296272277568099</c:v>
                </c:pt>
                <c:pt idx="60">
                  <c:v>0.322438532520267</c:v>
                </c:pt>
                <c:pt idx="61">
                  <c:v>0.331914342264854</c:v>
                </c:pt>
                <c:pt idx="62">
                  <c:v>0.34139015200944001</c:v>
                </c:pt>
                <c:pt idx="63">
                  <c:v>0.35086596175402601</c:v>
                </c:pt>
                <c:pt idx="64">
                  <c:v>0.36034177149861202</c:v>
                </c:pt>
                <c:pt idx="65">
                  <c:v>0.36981758124319902</c:v>
                </c:pt>
                <c:pt idx="66">
                  <c:v>0.37613157720721002</c:v>
                </c:pt>
                <c:pt idx="67">
                  <c:v>0.37114488004287199</c:v>
                </c:pt>
                <c:pt idx="68">
                  <c:v>0.365737167381954</c:v>
                </c:pt>
                <c:pt idx="69">
                  <c:v>0.360329454721037</c:v>
                </c:pt>
                <c:pt idx="70">
                  <c:v>0.35492174206011901</c:v>
                </c:pt>
                <c:pt idx="71">
                  <c:v>0.34751431226493301</c:v>
                </c:pt>
                <c:pt idx="72">
                  <c:v>0.33899306833076998</c:v>
                </c:pt>
                <c:pt idx="73">
                  <c:v>0.33106230970989903</c:v>
                </c:pt>
                <c:pt idx="74">
                  <c:v>0.32375822288471201</c:v>
                </c:pt>
                <c:pt idx="75">
                  <c:v>0.31910550452310699</c:v>
                </c:pt>
                <c:pt idx="76">
                  <c:v>0.31519993419439002</c:v>
                </c:pt>
                <c:pt idx="77">
                  <c:v>0.311841701333333</c:v>
                </c:pt>
                <c:pt idx="78">
                  <c:v>0.311841701333333</c:v>
                </c:pt>
                <c:pt idx="79">
                  <c:v>0.311841701333333</c:v>
                </c:pt>
                <c:pt idx="80">
                  <c:v>0.311841701333333</c:v>
                </c:pt>
                <c:pt idx="81">
                  <c:v>0.31498140085106002</c:v>
                </c:pt>
                <c:pt idx="82">
                  <c:v>0.31957618944429</c:v>
                </c:pt>
                <c:pt idx="83">
                  <c:v>0.32417097803751999</c:v>
                </c:pt>
                <c:pt idx="84">
                  <c:v>0.32876576663074902</c:v>
                </c:pt>
                <c:pt idx="85">
                  <c:v>0.333360555223979</c:v>
                </c:pt>
                <c:pt idx="86">
                  <c:v>0.33796329745164</c:v>
                </c:pt>
                <c:pt idx="87">
                  <c:v>0.34264997948389903</c:v>
                </c:pt>
                <c:pt idx="88">
                  <c:v>0.34527243357860299</c:v>
                </c:pt>
                <c:pt idx="89">
                  <c:v>0.34527243413547298</c:v>
                </c:pt>
                <c:pt idx="90">
                  <c:v>0.34527243469234198</c:v>
                </c:pt>
                <c:pt idx="91">
                  <c:v>0.34527243524921097</c:v>
                </c:pt>
                <c:pt idx="92">
                  <c:v>0.34527243580608102</c:v>
                </c:pt>
                <c:pt idx="93">
                  <c:v>0.34527243636295002</c:v>
                </c:pt>
                <c:pt idx="94">
                  <c:v>0.34527243691981901</c:v>
                </c:pt>
                <c:pt idx="95">
                  <c:v>0.34279012048947599</c:v>
                </c:pt>
                <c:pt idx="96">
                  <c:v>0.33871474482999903</c:v>
                </c:pt>
                <c:pt idx="97">
                  <c:v>0.33579860469838002</c:v>
                </c:pt>
                <c:pt idx="98">
                  <c:v>0.33204925704078703</c:v>
                </c:pt>
                <c:pt idx="99">
                  <c:v>0.32949998736902097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A-4CD2-A610-861DED5C33B1}"/>
            </c:ext>
          </c:extLst>
        </c:ser>
        <c:ser>
          <c:idx val="0"/>
          <c:order val="1"/>
          <c:tx>
            <c:strRef>
              <c:f>'1.0LiF_plot_data'!$C$1</c:f>
              <c:strCache>
                <c:ptCount val="1"/>
                <c:pt idx="0">
                  <c:v>Li-Li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2.9059459344315001E-3</c:v>
                </c:pt>
                <c:pt idx="19">
                  <c:v>8.8186713781525494E-3</c:v>
                </c:pt>
                <c:pt idx="20">
                  <c:v>2.6986059689671198E-2</c:v>
                </c:pt>
                <c:pt idx="21">
                  <c:v>7.2339609514790307E-2</c:v>
                </c:pt>
                <c:pt idx="22">
                  <c:v>0.152769257567239</c:v>
                </c:pt>
                <c:pt idx="23">
                  <c:v>0.27244849344319</c:v>
                </c:pt>
                <c:pt idx="24">
                  <c:v>0.382126164694091</c:v>
                </c:pt>
                <c:pt idx="25">
                  <c:v>0.50095558025064402</c:v>
                </c:pt>
                <c:pt idx="26">
                  <c:v>0.56513102911643998</c:v>
                </c:pt>
                <c:pt idx="27">
                  <c:v>0.59350780014153204</c:v>
                </c:pt>
                <c:pt idx="28">
                  <c:v>0.58132620668212498</c:v>
                </c:pt>
                <c:pt idx="29">
                  <c:v>0.55409605327533995</c:v>
                </c:pt>
                <c:pt idx="30">
                  <c:v>0.51352072912200797</c:v>
                </c:pt>
                <c:pt idx="31">
                  <c:v>0.46063540649053297</c:v>
                </c:pt>
                <c:pt idx="32">
                  <c:v>0.42003229319381902</c:v>
                </c:pt>
                <c:pt idx="33">
                  <c:v>0.38982806339022402</c:v>
                </c:pt>
                <c:pt idx="34">
                  <c:v>0.362453009526992</c:v>
                </c:pt>
                <c:pt idx="35">
                  <c:v>0.340247052791876</c:v>
                </c:pt>
                <c:pt idx="36">
                  <c:v>0.31925501416454899</c:v>
                </c:pt>
                <c:pt idx="37">
                  <c:v>0.29761245677589698</c:v>
                </c:pt>
                <c:pt idx="38">
                  <c:v>0.27796354530275602</c:v>
                </c:pt>
                <c:pt idx="39">
                  <c:v>0.26372992958457497</c:v>
                </c:pt>
                <c:pt idx="40">
                  <c:v>0.25123353741260901</c:v>
                </c:pt>
                <c:pt idx="41">
                  <c:v>0.241292085866224</c:v>
                </c:pt>
                <c:pt idx="42">
                  <c:v>0.23442381779361299</c:v>
                </c:pt>
                <c:pt idx="43">
                  <c:v>0.239891616158462</c:v>
                </c:pt>
                <c:pt idx="44">
                  <c:v>0.246867881714364</c:v>
                </c:pt>
                <c:pt idx="45">
                  <c:v>0.26008673484080003</c:v>
                </c:pt>
                <c:pt idx="46">
                  <c:v>0.28725617881599502</c:v>
                </c:pt>
                <c:pt idx="47">
                  <c:v>0.30912737233865101</c:v>
                </c:pt>
                <c:pt idx="48">
                  <c:v>0.33129008502345703</c:v>
                </c:pt>
                <c:pt idx="49">
                  <c:v>0.35433294966331402</c:v>
                </c:pt>
                <c:pt idx="50">
                  <c:v>0.37246149353465502</c:v>
                </c:pt>
                <c:pt idx="51">
                  <c:v>0.386834887569101</c:v>
                </c:pt>
                <c:pt idx="52">
                  <c:v>0.39767052299671002</c:v>
                </c:pt>
                <c:pt idx="53">
                  <c:v>0.39754661933787799</c:v>
                </c:pt>
                <c:pt idx="54">
                  <c:v>0.39738270510876</c:v>
                </c:pt>
                <c:pt idx="55">
                  <c:v>0.39443682366772898</c:v>
                </c:pt>
                <c:pt idx="56">
                  <c:v>0.384347433852265</c:v>
                </c:pt>
                <c:pt idx="57">
                  <c:v>0.37425804403680202</c:v>
                </c:pt>
                <c:pt idx="58">
                  <c:v>0.36231404750173002</c:v>
                </c:pt>
                <c:pt idx="59">
                  <c:v>0.34935603148380701</c:v>
                </c:pt>
                <c:pt idx="60">
                  <c:v>0.33673564210905199</c:v>
                </c:pt>
                <c:pt idx="61">
                  <c:v>0.324162627728939</c:v>
                </c:pt>
                <c:pt idx="62">
                  <c:v>0.31544537943253897</c:v>
                </c:pt>
                <c:pt idx="63">
                  <c:v>0.307353379716584</c:v>
                </c:pt>
                <c:pt idx="64">
                  <c:v>0.30174994246403197</c:v>
                </c:pt>
                <c:pt idx="65">
                  <c:v>0.29628214409918302</c:v>
                </c:pt>
                <c:pt idx="66">
                  <c:v>0.29684018097495402</c:v>
                </c:pt>
                <c:pt idx="67">
                  <c:v>0.29775913866884002</c:v>
                </c:pt>
                <c:pt idx="68">
                  <c:v>0.29867809636272702</c:v>
                </c:pt>
                <c:pt idx="69">
                  <c:v>0.30327699549425802</c:v>
                </c:pt>
                <c:pt idx="70">
                  <c:v>0.31107062390881601</c:v>
                </c:pt>
                <c:pt idx="71">
                  <c:v>0.31901863935385</c:v>
                </c:pt>
                <c:pt idx="72">
                  <c:v>0.32730544611234402</c:v>
                </c:pt>
                <c:pt idx="73">
                  <c:v>0.33559225287083699</c:v>
                </c:pt>
                <c:pt idx="74">
                  <c:v>0.34380916134415901</c:v>
                </c:pt>
                <c:pt idx="75">
                  <c:v>0.34874039343070101</c:v>
                </c:pt>
                <c:pt idx="76">
                  <c:v>0.35367162551724202</c:v>
                </c:pt>
                <c:pt idx="77">
                  <c:v>0.35719195244476398</c:v>
                </c:pt>
                <c:pt idx="78">
                  <c:v>0.35765143124280502</c:v>
                </c:pt>
                <c:pt idx="79">
                  <c:v>0.358110910040847</c:v>
                </c:pt>
                <c:pt idx="80">
                  <c:v>0.35857038883888798</c:v>
                </c:pt>
                <c:pt idx="81">
                  <c:v>0.35421404223808201</c:v>
                </c:pt>
                <c:pt idx="82">
                  <c:v>0.34936574814909999</c:v>
                </c:pt>
                <c:pt idx="83">
                  <c:v>0.34451733838554299</c:v>
                </c:pt>
                <c:pt idx="84">
                  <c:v>0.339309911354713</c:v>
                </c:pt>
                <c:pt idx="85">
                  <c:v>0.33410248432388301</c:v>
                </c:pt>
                <c:pt idx="86">
                  <c:v>0.329672055574668</c:v>
                </c:pt>
                <c:pt idx="87">
                  <c:v>0.32544300321172298</c:v>
                </c:pt>
                <c:pt idx="88">
                  <c:v>0.32231854705074198</c:v>
                </c:pt>
                <c:pt idx="89">
                  <c:v>0.31919409088976203</c:v>
                </c:pt>
                <c:pt idx="90">
                  <c:v>0.31642914443132603</c:v>
                </c:pt>
                <c:pt idx="91">
                  <c:v>0.317600815447311</c:v>
                </c:pt>
                <c:pt idx="92">
                  <c:v>0.31877248646329598</c:v>
                </c:pt>
                <c:pt idx="93">
                  <c:v>0.31994415747928101</c:v>
                </c:pt>
                <c:pt idx="94">
                  <c:v>0.321270043315728</c:v>
                </c:pt>
                <c:pt idx="95">
                  <c:v>0.32452468521675298</c:v>
                </c:pt>
                <c:pt idx="96">
                  <c:v>0.32777932711777702</c:v>
                </c:pt>
                <c:pt idx="97">
                  <c:v>0.33131542783129603</c:v>
                </c:pt>
                <c:pt idx="98">
                  <c:v>0.33499125874622099</c:v>
                </c:pt>
                <c:pt idx="99">
                  <c:v>0.338667089661147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6A-4CD2-A610-861DED5C33B1}"/>
            </c:ext>
          </c:extLst>
        </c:ser>
        <c:ser>
          <c:idx val="4"/>
          <c:order val="2"/>
          <c:tx>
            <c:strRef>
              <c:f>'1.0LiF_plot_data'!$D$1</c:f>
              <c:strCache>
                <c:ptCount val="1"/>
                <c:pt idx="0">
                  <c:v>F-F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4.2448366339591898E-2</c:v>
                </c:pt>
                <c:pt idx="21">
                  <c:v>9.2969698970699205E-2</c:v>
                </c:pt>
                <c:pt idx="22">
                  <c:v>0.17765003407763799</c:v>
                </c:pt>
                <c:pt idx="23">
                  <c:v>0.27724748683112299</c:v>
                </c:pt>
                <c:pt idx="24">
                  <c:v>0.38172424062328097</c:v>
                </c:pt>
                <c:pt idx="25">
                  <c:v>0.47448019990086898</c:v>
                </c:pt>
                <c:pt idx="26">
                  <c:v>0.52909769874756696</c:v>
                </c:pt>
                <c:pt idx="27">
                  <c:v>0.56168131363878704</c:v>
                </c:pt>
                <c:pt idx="28">
                  <c:v>0.55589858614231702</c:v>
                </c:pt>
                <c:pt idx="29">
                  <c:v>0.53681912381144803</c:v>
                </c:pt>
                <c:pt idx="30">
                  <c:v>0.50216995376917895</c:v>
                </c:pt>
                <c:pt idx="31">
                  <c:v>0.46613554155885401</c:v>
                </c:pt>
                <c:pt idx="32">
                  <c:v>0.43475352841493797</c:v>
                </c:pt>
                <c:pt idx="33">
                  <c:v>0.40634750237658102</c:v>
                </c:pt>
                <c:pt idx="34">
                  <c:v>0.38166095940305</c:v>
                </c:pt>
                <c:pt idx="35">
                  <c:v>0.35802198143080899</c:v>
                </c:pt>
                <c:pt idx="36">
                  <c:v>0.33324540719996998</c:v>
                </c:pt>
                <c:pt idx="37">
                  <c:v>0.30937818948521101</c:v>
                </c:pt>
                <c:pt idx="38">
                  <c:v>0.28696081475839802</c:v>
                </c:pt>
                <c:pt idx="39">
                  <c:v>0.26525915465604399</c:v>
                </c:pt>
                <c:pt idx="40">
                  <c:v>0.25138999755413799</c:v>
                </c:pt>
                <c:pt idx="41">
                  <c:v>0.24057679150962899</c:v>
                </c:pt>
                <c:pt idx="42">
                  <c:v>0.23494550413373599</c:v>
                </c:pt>
                <c:pt idx="43">
                  <c:v>0.24051173717132401</c:v>
                </c:pt>
                <c:pt idx="44">
                  <c:v>0.24672874469651701</c:v>
                </c:pt>
                <c:pt idx="45">
                  <c:v>0.26265734513716499</c:v>
                </c:pt>
                <c:pt idx="46">
                  <c:v>0.28014986236948902</c:v>
                </c:pt>
                <c:pt idx="47">
                  <c:v>0.30076259432052599</c:v>
                </c:pt>
                <c:pt idx="48">
                  <c:v>0.32264775383619898</c:v>
                </c:pt>
                <c:pt idx="49">
                  <c:v>0.34464065512680803</c:v>
                </c:pt>
                <c:pt idx="50">
                  <c:v>0.366079070767031</c:v>
                </c:pt>
                <c:pt idx="51">
                  <c:v>0.37993535477092399</c:v>
                </c:pt>
                <c:pt idx="52">
                  <c:v>0.39185894929708298</c:v>
                </c:pt>
                <c:pt idx="53">
                  <c:v>0.39370895620937002</c:v>
                </c:pt>
                <c:pt idx="54">
                  <c:v>0.395558963121658</c:v>
                </c:pt>
                <c:pt idx="55">
                  <c:v>0.39702762560562199</c:v>
                </c:pt>
                <c:pt idx="56">
                  <c:v>0.38744967953019399</c:v>
                </c:pt>
                <c:pt idx="57">
                  <c:v>0.37787173345476699</c:v>
                </c:pt>
                <c:pt idx="58">
                  <c:v>0.36589782178782299</c:v>
                </c:pt>
                <c:pt idx="59">
                  <c:v>0.35313797490153898</c:v>
                </c:pt>
                <c:pt idx="60">
                  <c:v>0.340592809997247</c:v>
                </c:pt>
                <c:pt idx="61">
                  <c:v>0.32896355857459297</c:v>
                </c:pt>
                <c:pt idx="62">
                  <c:v>0.31818020829723298</c:v>
                </c:pt>
                <c:pt idx="63">
                  <c:v>0.30948606917817101</c:v>
                </c:pt>
                <c:pt idx="64">
                  <c:v>0.30288857712756201</c:v>
                </c:pt>
                <c:pt idx="65">
                  <c:v>0.29763333881278897</c:v>
                </c:pt>
                <c:pt idx="66">
                  <c:v>0.296765434432744</c:v>
                </c:pt>
                <c:pt idx="67">
                  <c:v>0.29695700327378</c:v>
                </c:pt>
                <c:pt idx="68">
                  <c:v>0.29865368053973801</c:v>
                </c:pt>
                <c:pt idx="69">
                  <c:v>0.303587032605248</c:v>
                </c:pt>
                <c:pt idx="70">
                  <c:v>0.30989903253589701</c:v>
                </c:pt>
                <c:pt idx="71">
                  <c:v>0.31702095476011</c:v>
                </c:pt>
                <c:pt idx="72">
                  <c:v>0.32506770162764098</c:v>
                </c:pt>
                <c:pt idx="73">
                  <c:v>0.333239764233075</c:v>
                </c:pt>
                <c:pt idx="74">
                  <c:v>0.34021993240005</c:v>
                </c:pt>
                <c:pt idx="75">
                  <c:v>0.34720010056702499</c:v>
                </c:pt>
                <c:pt idx="76">
                  <c:v>0.350832737225657</c:v>
                </c:pt>
                <c:pt idx="77">
                  <c:v>0.35160611746339998</c:v>
                </c:pt>
                <c:pt idx="78">
                  <c:v>0.35237949770114202</c:v>
                </c:pt>
                <c:pt idx="79">
                  <c:v>0.353152877938884</c:v>
                </c:pt>
                <c:pt idx="80">
                  <c:v>0.35392625817662698</c:v>
                </c:pt>
                <c:pt idx="81">
                  <c:v>0.35469963841436902</c:v>
                </c:pt>
                <c:pt idx="82">
                  <c:v>0.35033461032695401</c:v>
                </c:pt>
                <c:pt idx="83">
                  <c:v>0.34595639148885199</c:v>
                </c:pt>
                <c:pt idx="84">
                  <c:v>0.34096300005217001</c:v>
                </c:pt>
                <c:pt idx="85">
                  <c:v>0.33585571582914497</c:v>
                </c:pt>
                <c:pt idx="86">
                  <c:v>0.33101114778198998</c:v>
                </c:pt>
                <c:pt idx="87">
                  <c:v>0.32658504399340998</c:v>
                </c:pt>
                <c:pt idx="88">
                  <c:v>0.32274146700321599</c:v>
                </c:pt>
                <c:pt idx="89">
                  <c:v>0.320467127527092</c:v>
                </c:pt>
                <c:pt idx="90">
                  <c:v>0.31955648666666597</c:v>
                </c:pt>
                <c:pt idx="91">
                  <c:v>0.31955648666666597</c:v>
                </c:pt>
                <c:pt idx="92">
                  <c:v>0.31955648666666597</c:v>
                </c:pt>
                <c:pt idx="93">
                  <c:v>0.32026960647643998</c:v>
                </c:pt>
                <c:pt idx="94">
                  <c:v>0.32168981382787498</c:v>
                </c:pt>
                <c:pt idx="95">
                  <c:v>0.32441297935425401</c:v>
                </c:pt>
                <c:pt idx="96">
                  <c:v>0.32771769257884997</c:v>
                </c:pt>
                <c:pt idx="97">
                  <c:v>0.33100637270653799</c:v>
                </c:pt>
                <c:pt idx="98">
                  <c:v>0.33428201235326899</c:v>
                </c:pt>
                <c:pt idx="99">
                  <c:v>0.33755765199999999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6A-4CD2-A610-861DED5C33B1}"/>
            </c:ext>
          </c:extLst>
        </c:ser>
        <c:ser>
          <c:idx val="8"/>
          <c:order val="3"/>
          <c:tx>
            <c:strRef>
              <c:f>'1.0LiF_plot_data'!$E$1</c:f>
              <c:strCache>
                <c:ptCount val="1"/>
                <c:pt idx="0">
                  <c:v>S(r): Li-F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'1.0LiF_plot_data'!$A$2:$A$101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0.103761658686868</c:v>
                </c:pt>
                <c:pt idx="2">
                  <c:v>0.207523317373737</c:v>
                </c:pt>
                <c:pt idx="3">
                  <c:v>0.31128497606060601</c:v>
                </c:pt>
                <c:pt idx="4">
                  <c:v>0.415046634747474</c:v>
                </c:pt>
                <c:pt idx="5">
                  <c:v>0.51880829343434298</c:v>
                </c:pt>
                <c:pt idx="6">
                  <c:v>0.62256995212121202</c:v>
                </c:pt>
                <c:pt idx="7">
                  <c:v>0.72633161080807995</c:v>
                </c:pt>
                <c:pt idx="8">
                  <c:v>0.83009326949494899</c:v>
                </c:pt>
                <c:pt idx="9">
                  <c:v>0.93385492818181803</c:v>
                </c:pt>
                <c:pt idx="10">
                  <c:v>1.03761658686868</c:v>
                </c:pt>
                <c:pt idx="11">
                  <c:v>1.1413782455555499</c:v>
                </c:pt>
                <c:pt idx="12">
                  <c:v>1.24513990424242</c:v>
                </c:pt>
                <c:pt idx="13">
                  <c:v>1.34890156292929</c:v>
                </c:pt>
                <c:pt idx="14">
                  <c:v>1.4526632216161599</c:v>
                </c:pt>
                <c:pt idx="15">
                  <c:v>1.5564248803030301</c:v>
                </c:pt>
                <c:pt idx="16">
                  <c:v>1.66018653898989</c:v>
                </c:pt>
                <c:pt idx="17">
                  <c:v>1.7639481976767599</c:v>
                </c:pt>
                <c:pt idx="18">
                  <c:v>1.8677098563636301</c:v>
                </c:pt>
                <c:pt idx="19">
                  <c:v>1.9714715150505</c:v>
                </c:pt>
                <c:pt idx="20">
                  <c:v>2.0752331737373702</c:v>
                </c:pt>
                <c:pt idx="21">
                  <c:v>2.1789948324242401</c:v>
                </c:pt>
                <c:pt idx="22">
                  <c:v>2.28275649111111</c:v>
                </c:pt>
                <c:pt idx="23">
                  <c:v>2.3865181497979702</c:v>
                </c:pt>
                <c:pt idx="24">
                  <c:v>2.4902798084848401</c:v>
                </c:pt>
                <c:pt idx="25">
                  <c:v>2.59404146717171</c:v>
                </c:pt>
                <c:pt idx="26">
                  <c:v>2.69780312585858</c:v>
                </c:pt>
                <c:pt idx="27">
                  <c:v>2.8015647845454499</c:v>
                </c:pt>
                <c:pt idx="28">
                  <c:v>2.9053264432323198</c:v>
                </c:pt>
                <c:pt idx="29">
                  <c:v>3.0090881019191902</c:v>
                </c:pt>
                <c:pt idx="30">
                  <c:v>3.1128497606060601</c:v>
                </c:pt>
                <c:pt idx="31">
                  <c:v>3.2166114192929198</c:v>
                </c:pt>
                <c:pt idx="32">
                  <c:v>3.3203730779797902</c:v>
                </c:pt>
                <c:pt idx="33">
                  <c:v>3.4241347366666601</c:v>
                </c:pt>
                <c:pt idx="34">
                  <c:v>3.5278963953535301</c:v>
                </c:pt>
                <c:pt idx="35">
                  <c:v>3.6316580540404</c:v>
                </c:pt>
                <c:pt idx="36">
                  <c:v>3.7354197127272699</c:v>
                </c:pt>
                <c:pt idx="37">
                  <c:v>3.8391813714141398</c:v>
                </c:pt>
                <c:pt idx="38">
                  <c:v>3.942943030101</c:v>
                </c:pt>
                <c:pt idx="39">
                  <c:v>4.0467046887878704</c:v>
                </c:pt>
                <c:pt idx="40">
                  <c:v>4.1504663474747403</c:v>
                </c:pt>
                <c:pt idx="41">
                  <c:v>4.2542280061616102</c:v>
                </c:pt>
                <c:pt idx="42">
                  <c:v>4.3579896648484802</c:v>
                </c:pt>
                <c:pt idx="43">
                  <c:v>4.4617513235353501</c:v>
                </c:pt>
                <c:pt idx="44">
                  <c:v>4.56551298222222</c:v>
                </c:pt>
                <c:pt idx="45">
                  <c:v>4.6692746409090899</c:v>
                </c:pt>
                <c:pt idx="46">
                  <c:v>4.7730362995959501</c:v>
                </c:pt>
                <c:pt idx="47">
                  <c:v>4.87679795828282</c:v>
                </c:pt>
                <c:pt idx="48">
                  <c:v>4.98055961696969</c:v>
                </c:pt>
                <c:pt idx="49">
                  <c:v>5.0843212756565599</c:v>
                </c:pt>
                <c:pt idx="50">
                  <c:v>5.1880829343434298</c:v>
                </c:pt>
                <c:pt idx="51">
                  <c:v>5.2918445930302997</c:v>
                </c:pt>
                <c:pt idx="52">
                  <c:v>5.3956062517171697</c:v>
                </c:pt>
                <c:pt idx="53">
                  <c:v>5.4993679104040396</c:v>
                </c:pt>
                <c:pt idx="54">
                  <c:v>5.6031295690908998</c:v>
                </c:pt>
                <c:pt idx="55">
                  <c:v>5.7068912277777697</c:v>
                </c:pt>
                <c:pt idx="56">
                  <c:v>5.8106528864646396</c:v>
                </c:pt>
                <c:pt idx="57">
                  <c:v>5.9144145451515104</c:v>
                </c:pt>
                <c:pt idx="58">
                  <c:v>6.0181762038383804</c:v>
                </c:pt>
                <c:pt idx="59">
                  <c:v>6.1219378625252503</c:v>
                </c:pt>
                <c:pt idx="60">
                  <c:v>6.2256995212121202</c:v>
                </c:pt>
                <c:pt idx="61">
                  <c:v>6.3294611798989804</c:v>
                </c:pt>
                <c:pt idx="62">
                  <c:v>6.4332228385858503</c:v>
                </c:pt>
                <c:pt idx="63">
                  <c:v>6.5369844972727202</c:v>
                </c:pt>
                <c:pt idx="64">
                  <c:v>6.6407461559595902</c:v>
                </c:pt>
                <c:pt idx="65">
                  <c:v>6.7445078146464601</c:v>
                </c:pt>
                <c:pt idx="66">
                  <c:v>6.84826947333333</c:v>
                </c:pt>
                <c:pt idx="67">
                  <c:v>6.9520311320202</c:v>
                </c:pt>
                <c:pt idx="68">
                  <c:v>7.0557927907070699</c:v>
                </c:pt>
                <c:pt idx="69">
                  <c:v>7.15955444939393</c:v>
                </c:pt>
                <c:pt idx="70">
                  <c:v>7.2633161080808</c:v>
                </c:pt>
                <c:pt idx="71">
                  <c:v>7.3670777667676699</c:v>
                </c:pt>
                <c:pt idx="72">
                  <c:v>7.4708394254545398</c:v>
                </c:pt>
                <c:pt idx="73">
                  <c:v>7.5746010841414098</c:v>
                </c:pt>
                <c:pt idx="74">
                  <c:v>7.6783627428282797</c:v>
                </c:pt>
                <c:pt idx="75">
                  <c:v>7.7821244015151496</c:v>
                </c:pt>
                <c:pt idx="76">
                  <c:v>7.8858860602020098</c:v>
                </c:pt>
                <c:pt idx="77">
                  <c:v>7.9896477188888797</c:v>
                </c:pt>
                <c:pt idx="78">
                  <c:v>8.0934093775757496</c:v>
                </c:pt>
                <c:pt idx="79">
                  <c:v>8.1971710362626204</c:v>
                </c:pt>
                <c:pt idx="80">
                  <c:v>8.3009326949494895</c:v>
                </c:pt>
                <c:pt idx="81">
                  <c:v>8.4046943536363603</c:v>
                </c:pt>
                <c:pt idx="82">
                  <c:v>8.5084560123232293</c:v>
                </c:pt>
                <c:pt idx="83">
                  <c:v>8.6122176710101002</c:v>
                </c:pt>
                <c:pt idx="84">
                  <c:v>8.7159793296969692</c:v>
                </c:pt>
                <c:pt idx="85">
                  <c:v>8.8197409883838294</c:v>
                </c:pt>
                <c:pt idx="86">
                  <c:v>8.9235026470707002</c:v>
                </c:pt>
                <c:pt idx="87">
                  <c:v>9.0272643057575692</c:v>
                </c:pt>
                <c:pt idx="88">
                  <c:v>9.13102596444444</c:v>
                </c:pt>
                <c:pt idx="89">
                  <c:v>9.2347876231313109</c:v>
                </c:pt>
                <c:pt idx="90">
                  <c:v>9.3385492818181799</c:v>
                </c:pt>
                <c:pt idx="91">
                  <c:v>9.4423109405050507</c:v>
                </c:pt>
                <c:pt idx="92">
                  <c:v>9.5460725991919109</c:v>
                </c:pt>
                <c:pt idx="93">
                  <c:v>9.6498342578787799</c:v>
                </c:pt>
                <c:pt idx="94">
                  <c:v>9.7535959165656507</c:v>
                </c:pt>
                <c:pt idx="95">
                  <c:v>9.8573575752525198</c:v>
                </c:pt>
                <c:pt idx="96">
                  <c:v>9.9611192339393906</c:v>
                </c:pt>
                <c:pt idx="97">
                  <c:v>10.064880892626199</c:v>
                </c:pt>
                <c:pt idx="98">
                  <c:v>10.1686425513131</c:v>
                </c:pt>
                <c:pt idx="99">
                  <c:v>10.272404209999999</c:v>
                </c:pt>
              </c:numCache>
            </c:numRef>
          </c:xVal>
          <c:yVal>
            <c:numRef>
              <c:f>'1.0LiF_plot_data'!$E$2:$E$101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0.81933469577646101</c:v>
                </c:pt>
                <c:pt idx="19">
                  <c:v>0.76597785570501298</c:v>
                </c:pt>
                <c:pt idx="20">
                  <c:v>0.76597785570501298</c:v>
                </c:pt>
                <c:pt idx="21">
                  <c:v>0.76597785570501298</c:v>
                </c:pt>
                <c:pt idx="22">
                  <c:v>0.76597785570501298</c:v>
                </c:pt>
                <c:pt idx="23">
                  <c:v>0.76597785570501298</c:v>
                </c:pt>
                <c:pt idx="24">
                  <c:v>0.76597785570501298</c:v>
                </c:pt>
                <c:pt idx="25">
                  <c:v>0.76597785570501298</c:v>
                </c:pt>
                <c:pt idx="26">
                  <c:v>0.76597785570501298</c:v>
                </c:pt>
                <c:pt idx="27">
                  <c:v>0.76597785570501298</c:v>
                </c:pt>
                <c:pt idx="28">
                  <c:v>0.76597785570501298</c:v>
                </c:pt>
                <c:pt idx="29">
                  <c:v>0.76597785570501298</c:v>
                </c:pt>
                <c:pt idx="30">
                  <c:v>0.76597785570501298</c:v>
                </c:pt>
                <c:pt idx="31">
                  <c:v>0.76597785570501298</c:v>
                </c:pt>
                <c:pt idx="32">
                  <c:v>0.76597785570501298</c:v>
                </c:pt>
                <c:pt idx="33">
                  <c:v>0.76597785570501298</c:v>
                </c:pt>
                <c:pt idx="34">
                  <c:v>0.76597785570501298</c:v>
                </c:pt>
                <c:pt idx="35">
                  <c:v>0.30374862307016998</c:v>
                </c:pt>
                <c:pt idx="36">
                  <c:v>0.13679561687706901</c:v>
                </c:pt>
                <c:pt idx="37">
                  <c:v>0.13679561687706901</c:v>
                </c:pt>
                <c:pt idx="38">
                  <c:v>0.13679561687706901</c:v>
                </c:pt>
                <c:pt idx="39">
                  <c:v>0.13679561687706901</c:v>
                </c:pt>
                <c:pt idx="40">
                  <c:v>0.13679561687706901</c:v>
                </c:pt>
                <c:pt idx="41">
                  <c:v>0.13679561687706901</c:v>
                </c:pt>
                <c:pt idx="42">
                  <c:v>0.13679561687706901</c:v>
                </c:pt>
                <c:pt idx="43">
                  <c:v>0.13679561687706901</c:v>
                </c:pt>
                <c:pt idx="44">
                  <c:v>0.13679561687706901</c:v>
                </c:pt>
                <c:pt idx="45">
                  <c:v>0.13679561687706901</c:v>
                </c:pt>
                <c:pt idx="46">
                  <c:v>0.13679561687706901</c:v>
                </c:pt>
                <c:pt idx="47">
                  <c:v>0.13679561687706901</c:v>
                </c:pt>
                <c:pt idx="48">
                  <c:v>0.13679561687706901</c:v>
                </c:pt>
                <c:pt idx="49">
                  <c:v>0.13679561687706901</c:v>
                </c:pt>
                <c:pt idx="50">
                  <c:v>0.13679561687706901</c:v>
                </c:pt>
                <c:pt idx="51">
                  <c:v>8.8764665794569E-2</c:v>
                </c:pt>
                <c:pt idx="52">
                  <c:v>6.8722650828349904E-3</c:v>
                </c:pt>
                <c:pt idx="53">
                  <c:v>6.8722650828349904E-3</c:v>
                </c:pt>
                <c:pt idx="54">
                  <c:v>6.8722650828349904E-3</c:v>
                </c:pt>
                <c:pt idx="55">
                  <c:v>6.8722650828349904E-3</c:v>
                </c:pt>
                <c:pt idx="56">
                  <c:v>6.8722650828349904E-3</c:v>
                </c:pt>
                <c:pt idx="57">
                  <c:v>6.8722650828349904E-3</c:v>
                </c:pt>
                <c:pt idx="58">
                  <c:v>6.8722650828349904E-3</c:v>
                </c:pt>
                <c:pt idx="59">
                  <c:v>6.8722650828349904E-3</c:v>
                </c:pt>
                <c:pt idx="60">
                  <c:v>6.8722650828349904E-3</c:v>
                </c:pt>
                <c:pt idx="61">
                  <c:v>6.8722650828349904E-3</c:v>
                </c:pt>
                <c:pt idx="62">
                  <c:v>6.8722650828349904E-3</c:v>
                </c:pt>
                <c:pt idx="63">
                  <c:v>6.8722650828349904E-3</c:v>
                </c:pt>
                <c:pt idx="64">
                  <c:v>6.8722650828349904E-3</c:v>
                </c:pt>
                <c:pt idx="65">
                  <c:v>6.8722650828349904E-3</c:v>
                </c:pt>
                <c:pt idx="66">
                  <c:v>6.8722650828349904E-3</c:v>
                </c:pt>
                <c:pt idx="67">
                  <c:v>5.5449778313355997E-3</c:v>
                </c:pt>
                <c:pt idx="68">
                  <c:v>4.1056307732461996E-3</c:v>
                </c:pt>
                <c:pt idx="69">
                  <c:v>2.6662837151567799E-3</c:v>
                </c:pt>
                <c:pt idx="70">
                  <c:v>1.22693665706737E-3</c:v>
                </c:pt>
                <c:pt idx="71">
                  <c:v>7.1203397418789403E-4</c:v>
                </c:pt>
                <c:pt idx="72">
                  <c:v>7.1203397418789403E-4</c:v>
                </c:pt>
                <c:pt idx="73">
                  <c:v>7.1203397418789403E-4</c:v>
                </c:pt>
                <c:pt idx="74">
                  <c:v>7.1203397418789403E-4</c:v>
                </c:pt>
                <c:pt idx="75">
                  <c:v>7.1203397418789403E-4</c:v>
                </c:pt>
                <c:pt idx="76">
                  <c:v>7.1203397418789403E-4</c:v>
                </c:pt>
                <c:pt idx="77">
                  <c:v>7.1203397418789403E-4</c:v>
                </c:pt>
                <c:pt idx="78">
                  <c:v>7.1203397418789403E-4</c:v>
                </c:pt>
                <c:pt idx="79">
                  <c:v>7.1203397418789403E-4</c:v>
                </c:pt>
                <c:pt idx="80">
                  <c:v>7.1203397418789403E-4</c:v>
                </c:pt>
                <c:pt idx="81">
                  <c:v>7.1203397418789403E-4</c:v>
                </c:pt>
                <c:pt idx="82">
                  <c:v>7.1203397418789403E-4</c:v>
                </c:pt>
                <c:pt idx="83">
                  <c:v>7.1203397418789403E-4</c:v>
                </c:pt>
                <c:pt idx="84">
                  <c:v>7.1203397418789403E-4</c:v>
                </c:pt>
                <c:pt idx="85">
                  <c:v>7.1203397418789403E-4</c:v>
                </c:pt>
                <c:pt idx="86">
                  <c:v>6.8053607299571497E-4</c:v>
                </c:pt>
                <c:pt idx="87">
                  <c:v>3.1662062177019901E-4</c:v>
                </c:pt>
                <c:pt idx="88">
                  <c:v>1.12990106756371E-4</c:v>
                </c:pt>
                <c:pt idx="89">
                  <c:v>1.12990106756371E-4</c:v>
                </c:pt>
                <c:pt idx="90">
                  <c:v>1.12990106756371E-4</c:v>
                </c:pt>
                <c:pt idx="91">
                  <c:v>1.12990106756371E-4</c:v>
                </c:pt>
                <c:pt idx="92">
                  <c:v>1.12990106756371E-4</c:v>
                </c:pt>
                <c:pt idx="93">
                  <c:v>1.12990106756371E-4</c:v>
                </c:pt>
                <c:pt idx="94">
                  <c:v>1.12990106756371E-4</c:v>
                </c:pt>
                <c:pt idx="95">
                  <c:v>1.12990106756371E-4</c:v>
                </c:pt>
                <c:pt idx="96">
                  <c:v>1.12990106756371E-4</c:v>
                </c:pt>
                <c:pt idx="97">
                  <c:v>1.12990106756371E-4</c:v>
                </c:pt>
                <c:pt idx="98">
                  <c:v>1.12990106756371E-4</c:v>
                </c:pt>
                <c:pt idx="99">
                  <c:v>1.12990106756371E-4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6A-4CD2-A610-861DED5C33B1}"/>
            </c:ext>
          </c:extLst>
        </c:ser>
        <c:ser>
          <c:idx val="7"/>
          <c:order val="4"/>
          <c:tx>
            <c:strRef>
              <c:f>'1.0LiF_plot_data'!$G$1</c:f>
              <c:strCache>
                <c:ptCount val="1"/>
                <c:pt idx="0">
                  <c:v>lambda_BC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('1.0LiF_plot_data'!$G$2,'1.0LiF_plot_data'!$G$3)</c:f>
              <c:numCache>
                <c:formatCode>General</c:formatCode>
                <c:ptCount val="2"/>
                <c:pt idx="0">
                  <c:v>3.3052280000000001</c:v>
                </c:pt>
                <c:pt idx="1">
                  <c:v>3.3052280000000001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F6A-4CD2-A610-861DED5C33B1}"/>
            </c:ext>
          </c:extLst>
        </c:ser>
        <c:ser>
          <c:idx val="6"/>
          <c:order val="5"/>
          <c:tx>
            <c:strRef>
              <c:f>'1.0LiF_plot_data'!$F$1</c:f>
              <c:strCache>
                <c:ptCount val="1"/>
                <c:pt idx="0">
                  <c:v>Average_SCL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('1.0LiF_plot_data'!$F$2,'1.0LiF_plot_data'!$F$3)</c:f>
              <c:numCache>
                <c:formatCode>General</c:formatCode>
                <c:ptCount val="2"/>
                <c:pt idx="0">
                  <c:v>3.4514</c:v>
                </c:pt>
                <c:pt idx="1">
                  <c:v>3.4514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</c:v>
              </c:pt>
              <c:pt idx="1">
                <c:v>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F6A-4CD2-A610-861DED5C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r [</a:t>
                </a:r>
                <a:r>
                  <a:rPr lang="en-US" sz="1200" b="1" i="0" u="none" strike="noStrike" baseline="0">
                    <a:effectLst/>
                  </a:rPr>
                  <a:t>Å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8479612777125475"/>
              <c:y val="0.93023243685964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g(r)</a:t>
                </a:r>
              </a:p>
            </c:rich>
          </c:tx>
          <c:layout>
            <c:manualLayout>
              <c:xMode val="edge"/>
              <c:yMode val="edge"/>
              <c:x val="8.7545878675537609E-3"/>
              <c:y val="0.4307410400207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At val="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932114318265931"/>
          <c:y val="0.26910270024376531"/>
          <c:w val="0.29483466533972519"/>
          <c:h val="0.24766808909569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ustomXml" Target="../ink/ink3.xml"/><Relationship Id="rId3" Type="http://schemas.openxmlformats.org/officeDocument/2006/relationships/chart" Target="../charts/chart3.xml"/><Relationship Id="rId21" Type="http://schemas.openxmlformats.org/officeDocument/2006/relationships/chart" Target="../charts/chart15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2.emf"/><Relationship Id="rId2" Type="http://schemas.openxmlformats.org/officeDocument/2006/relationships/chart" Target="../charts/chart2.xml"/><Relationship Id="rId16" Type="http://schemas.openxmlformats.org/officeDocument/2006/relationships/customXml" Target="../ink/ink2.xml"/><Relationship Id="rId20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1.emf"/><Relationship Id="rId23" Type="http://schemas.openxmlformats.org/officeDocument/2006/relationships/chart" Target="../charts/chart17.xml"/><Relationship Id="rId10" Type="http://schemas.openxmlformats.org/officeDocument/2006/relationships/chart" Target="../charts/chart10.xml"/><Relationship Id="rId19" Type="http://schemas.openxmlformats.org/officeDocument/2006/relationships/image" Target="../media/image3.emf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ustomXml" Target="../ink/ink1.xml"/><Relationship Id="rId22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3" Type="http://schemas.openxmlformats.org/officeDocument/2006/relationships/chart" Target="../charts/chart30.xml"/><Relationship Id="rId21" Type="http://schemas.openxmlformats.org/officeDocument/2006/relationships/chart" Target="../charts/chart48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20" Type="http://schemas.openxmlformats.org/officeDocument/2006/relationships/chart" Target="../charts/chart47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10" Type="http://schemas.openxmlformats.org/officeDocument/2006/relationships/chart" Target="../charts/chart37.xml"/><Relationship Id="rId19" Type="http://schemas.openxmlformats.org/officeDocument/2006/relationships/chart" Target="../charts/chart46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235989</xdr:colOff>
      <xdr:row>28</xdr:row>
      <xdr:rowOff>41233</xdr:rowOff>
    </xdr:from>
    <xdr:to>
      <xdr:col>54</xdr:col>
      <xdr:colOff>557814</xdr:colOff>
      <xdr:row>47</xdr:row>
      <xdr:rowOff>56710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523C544-1E20-2DF9-AC8A-972F53158E00}"/>
            </a:ext>
          </a:extLst>
        </xdr:cNvPr>
        <xdr:cNvGrpSpPr/>
      </xdr:nvGrpSpPr>
      <xdr:grpSpPr>
        <a:xfrm>
          <a:off x="18489353" y="6327733"/>
          <a:ext cx="4564779" cy="3634977"/>
          <a:chOff x="8144410" y="6289687"/>
          <a:chExt cx="4810123" cy="4060030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0CF09FEB-1FA9-480A-C5DE-51FC2DAFC484}"/>
              </a:ext>
            </a:extLst>
          </xdr:cNvPr>
          <xdr:cNvGraphicFramePr>
            <a:graphicFrameLocks/>
          </xdr:cNvGraphicFramePr>
        </xdr:nvGraphicFramePr>
        <xdr:xfrm>
          <a:off x="8144410" y="6289687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CA472D1-33F3-7C82-4BC0-9FAC0EE4D805}"/>
              </a:ext>
            </a:extLst>
          </xdr:cNvPr>
          <xdr:cNvSpPr txBox="1"/>
        </xdr:nvSpPr>
        <xdr:spPr>
          <a:xfrm>
            <a:off x="8939199" y="6854294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47</xdr:col>
      <xdr:colOff>482734</xdr:colOff>
      <xdr:row>7</xdr:row>
      <xdr:rowOff>89503</xdr:rowOff>
    </xdr:from>
    <xdr:to>
      <xdr:col>55</xdr:col>
      <xdr:colOff>119063</xdr:colOff>
      <xdr:row>26</xdr:row>
      <xdr:rowOff>53426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9C7EDF8-A118-420A-B2B2-B4AF7C4A5AEB}"/>
            </a:ext>
          </a:extLst>
        </xdr:cNvPr>
        <xdr:cNvGrpSpPr/>
      </xdr:nvGrpSpPr>
      <xdr:grpSpPr>
        <a:xfrm>
          <a:off x="18736098" y="2375503"/>
          <a:ext cx="4485420" cy="3583423"/>
          <a:chOff x="3362300" y="2635753"/>
          <a:chExt cx="4810123" cy="4060030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CC388E5E-E967-402D-3D3A-4BA64B28C3E3}"/>
              </a:ext>
            </a:extLst>
          </xdr:cNvPr>
          <xdr:cNvGraphicFramePr>
            <a:graphicFrameLocks/>
          </xdr:cNvGraphicFramePr>
        </xdr:nvGraphicFramePr>
        <xdr:xfrm>
          <a:off x="3362300" y="2635753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6216EDF-3F3A-28F4-64E2-187AB87F3838}"/>
              </a:ext>
            </a:extLst>
          </xdr:cNvPr>
          <xdr:cNvSpPr txBox="1"/>
        </xdr:nvSpPr>
        <xdr:spPr>
          <a:xfrm>
            <a:off x="4452390" y="3575186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48</xdr:col>
      <xdr:colOff>603330</xdr:colOff>
      <xdr:row>1</xdr:row>
      <xdr:rowOff>53646</xdr:rowOff>
    </xdr:from>
    <xdr:to>
      <xdr:col>56</xdr:col>
      <xdr:colOff>325302</xdr:colOff>
      <xdr:row>15</xdr:row>
      <xdr:rowOff>102637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E4B53EF-C4C7-4F27-BE99-0D62AD6E3361}"/>
            </a:ext>
          </a:extLst>
        </xdr:cNvPr>
        <xdr:cNvGrpSpPr/>
      </xdr:nvGrpSpPr>
      <xdr:grpSpPr>
        <a:xfrm>
          <a:off x="19462830" y="244146"/>
          <a:ext cx="4571063" cy="3668491"/>
          <a:chOff x="-2264684" y="-522040"/>
          <a:chExt cx="4810123" cy="4060030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56E9A262-AA26-219F-C226-319AE6C5F612}"/>
              </a:ext>
            </a:extLst>
          </xdr:cNvPr>
          <xdr:cNvGraphicFramePr>
            <a:graphicFrameLocks/>
          </xdr:cNvGraphicFramePr>
        </xdr:nvGraphicFramePr>
        <xdr:xfrm>
          <a:off x="-2264684" y="-522040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C3F07C29-BB2A-2140-0636-1F06E10E2DFF}"/>
              </a:ext>
            </a:extLst>
          </xdr:cNvPr>
          <xdr:cNvSpPr txBox="1"/>
        </xdr:nvSpPr>
        <xdr:spPr>
          <a:xfrm>
            <a:off x="1430664" y="2643791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311944</xdr:colOff>
      <xdr:row>18</xdr:row>
      <xdr:rowOff>61912</xdr:rowOff>
    </xdr:from>
    <xdr:to>
      <xdr:col>63</xdr:col>
      <xdr:colOff>26194</xdr:colOff>
      <xdr:row>29</xdr:row>
      <xdr:rowOff>47625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E2F56B7-6256-3C5D-93CB-5E761269E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300037</xdr:colOff>
      <xdr:row>29</xdr:row>
      <xdr:rowOff>85725</xdr:rowOff>
    </xdr:from>
    <xdr:to>
      <xdr:col>63</xdr:col>
      <xdr:colOff>14287</xdr:colOff>
      <xdr:row>40</xdr:row>
      <xdr:rowOff>71438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A9583368-935A-486A-BA46-18DB2A9E63AA}"/>
            </a:ext>
          </a:extLst>
        </xdr:cNvPr>
        <xdr:cNvGrpSpPr/>
      </xdr:nvGrpSpPr>
      <xdr:grpSpPr>
        <a:xfrm>
          <a:off x="23402492" y="6562725"/>
          <a:ext cx="4563340" cy="2081213"/>
          <a:chOff x="-503286" y="1975389"/>
          <a:chExt cx="4810123" cy="4060030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AD491C97-FE4F-EB7F-A9A0-90D895C506B8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902F72A9-EAE6-DB50-54CB-EDE2B540D909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345281</xdr:colOff>
      <xdr:row>40</xdr:row>
      <xdr:rowOff>71438</xdr:rowOff>
    </xdr:from>
    <xdr:to>
      <xdr:col>63</xdr:col>
      <xdr:colOff>59531</xdr:colOff>
      <xdr:row>51</xdr:row>
      <xdr:rowOff>57151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ACC2CDB-01AC-4E8A-884B-3E48F23C15EF}"/>
            </a:ext>
          </a:extLst>
        </xdr:cNvPr>
        <xdr:cNvGrpSpPr/>
      </xdr:nvGrpSpPr>
      <xdr:grpSpPr>
        <a:xfrm>
          <a:off x="23447736" y="8643938"/>
          <a:ext cx="4563340" cy="2081213"/>
          <a:chOff x="-503286" y="1975389"/>
          <a:chExt cx="4810123" cy="4060030"/>
        </a:xfrm>
      </xdr:grpSpPr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92839B2A-F993-F6EF-9D31-F44F00F436BE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5B43E84-25EC-016E-CEAF-299E823E03E0}"/>
              </a:ext>
            </a:extLst>
          </xdr:cNvPr>
          <xdr:cNvSpPr txBox="1"/>
        </xdr:nvSpPr>
        <xdr:spPr>
          <a:xfrm>
            <a:off x="3064620" y="4799831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2</xdr:col>
      <xdr:colOff>216404</xdr:colOff>
      <xdr:row>65</xdr:row>
      <xdr:rowOff>55641</xdr:rowOff>
    </xdr:from>
    <xdr:to>
      <xdr:col>23</xdr:col>
      <xdr:colOff>521844</xdr:colOff>
      <xdr:row>94</xdr:row>
      <xdr:rowOff>172592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1C5394C-C59C-4FFD-907A-E8E84AC64A3A}"/>
            </a:ext>
          </a:extLst>
        </xdr:cNvPr>
        <xdr:cNvGrpSpPr/>
      </xdr:nvGrpSpPr>
      <xdr:grpSpPr>
        <a:xfrm>
          <a:off x="3316359" y="13390641"/>
          <a:ext cx="4548394" cy="5641451"/>
          <a:chOff x="20030126" y="4396007"/>
          <a:chExt cx="5212083" cy="5990653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82786685-D688-EC12-5636-ABC32D4880D7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69ACA880-114E-43AD-9B8A-8B8F47E29011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2E72AC51-D60E-D1B1-F0BA-2A1E3739EF1C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F56C1124-91C0-435E-BD53-6D6B7FEFF279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42" name="Chart 41">
                <a:extLst>
                  <a:ext uri="{FF2B5EF4-FFF2-40B4-BE49-F238E27FC236}">
                    <a16:creationId xmlns:a16="http://schemas.microsoft.com/office/drawing/2014/main" id="{DB53E1C3-0157-B5F9-5CEE-E9895D70A8E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5C4C378D-A299-EB9B-CAF4-5782935FCB16}"/>
                  </a:ext>
                </a:extLst>
              </xdr:cNvPr>
              <xdr:cNvSpPr txBox="1"/>
            </xdr:nvSpPr>
            <xdr:spPr>
              <a:xfrm>
                <a:off x="3560756" y="-5435232"/>
                <a:ext cx="596787" cy="4358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9C587C0-9241-4075-9C87-8B3A0E4377D1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FCB6BFC1-66E4-4AFC-8E21-AE0CAC8233AE}"/>
              </a:ext>
            </a:extLst>
          </xdr:cNvPr>
          <xdr:cNvSpPr txBox="1"/>
        </xdr:nvSpPr>
        <xdr:spPr>
          <a:xfrm>
            <a:off x="24616580" y="9759786"/>
            <a:ext cx="39935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1B7FC57D-D37C-4C39-8FE2-C9235B047C47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2583432</xdr:colOff>
      <xdr:row>4</xdr:row>
      <xdr:rowOff>543233</xdr:rowOff>
    </xdr:from>
    <xdr:to>
      <xdr:col>2</xdr:col>
      <xdr:colOff>359430</xdr:colOff>
      <xdr:row>5</xdr:row>
      <xdr:rowOff>45201</xdr:rowOff>
    </xdr:to>
    <xdr:graphicFrame macro="">
      <xdr:nvGraphicFramePr>
        <xdr:cNvPr id="2" name="Chart 17">
          <a:extLst>
            <a:ext uri="{FF2B5EF4-FFF2-40B4-BE49-F238E27FC236}">
              <a16:creationId xmlns:a16="http://schemas.microsoft.com/office/drawing/2014/main" id="{F37424CD-C976-BCC8-A9EE-50BDBD3DB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281215</xdr:colOff>
      <xdr:row>43</xdr:row>
      <xdr:rowOff>61233</xdr:rowOff>
    </xdr:from>
    <xdr:to>
      <xdr:col>24</xdr:col>
      <xdr:colOff>185965</xdr:colOff>
      <xdr:row>62</xdr:row>
      <xdr:rowOff>85043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BE30A13-1C1C-4CAB-87F5-3232444989F5}"/>
            </a:ext>
          </a:extLst>
        </xdr:cNvPr>
        <xdr:cNvGrpSpPr/>
      </xdr:nvGrpSpPr>
      <xdr:grpSpPr>
        <a:xfrm>
          <a:off x="3381170" y="9205233"/>
          <a:ext cx="4753840" cy="3643310"/>
          <a:chOff x="2928938" y="2333627"/>
          <a:chExt cx="4810123" cy="4060030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40EB6078-9027-6D4B-9C51-51F0C7990A7B}"/>
              </a:ext>
            </a:extLst>
          </xdr:cNvPr>
          <xdr:cNvGrpSpPr/>
        </xdr:nvGrpSpPr>
        <xdr:grpSpPr>
          <a:xfrm>
            <a:off x="2928938" y="2333627"/>
            <a:ext cx="4810123" cy="4060030"/>
            <a:chOff x="2928938" y="2333627"/>
            <a:chExt cx="4810123" cy="4060030"/>
          </a:xfrm>
        </xdr:grpSpPr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BB8880BC-30DF-5745-1286-DBC6B7EE104A}"/>
                </a:ext>
              </a:extLst>
            </xdr:cNvPr>
            <xdr:cNvGraphicFramePr>
              <a:graphicFrameLocks/>
            </xdr:cNvGraphicFramePr>
          </xdr:nvGraphicFramePr>
          <xdr:xfrm>
            <a:off x="2928938" y="2333627"/>
            <a:ext cx="4810123" cy="40600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239DC1D-F34F-A71E-8D4F-741020507D28}"/>
                </a:ext>
              </a:extLst>
            </xdr:cNvPr>
            <xdr:cNvSpPr txBox="1"/>
          </xdr:nvSpPr>
          <xdr:spPr>
            <a:xfrm>
              <a:off x="3690938" y="4000499"/>
              <a:ext cx="1012032" cy="2619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Exp. Min</a:t>
              </a:r>
            </a:p>
          </xdr:txBody>
        </xdr:sp>
      </xdr:grp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5F791-380B-BC5E-9BDC-A5395FA79125}"/>
              </a:ext>
            </a:extLst>
          </xdr:cNvPr>
          <xdr:cNvSpPr txBox="1"/>
        </xdr:nvSpPr>
        <xdr:spPr>
          <a:xfrm>
            <a:off x="7015263" y="3286127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77EB681-48ED-A129-CF49-74E03F472898}"/>
              </a:ext>
            </a:extLst>
          </xdr:cNvPr>
          <xdr:cNvSpPr txBox="1"/>
        </xdr:nvSpPr>
        <xdr:spPr>
          <a:xfrm>
            <a:off x="6272214" y="2486028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235856</xdr:colOff>
      <xdr:row>116</xdr:row>
      <xdr:rowOff>63478</xdr:rowOff>
    </xdr:from>
    <xdr:to>
      <xdr:col>25</xdr:col>
      <xdr:colOff>437029</xdr:colOff>
      <xdr:row>135</xdr:row>
      <xdr:rowOff>85793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6498970-63DF-46EC-88B1-E1AE63D65D6D}"/>
            </a:ext>
          </a:extLst>
        </xdr:cNvPr>
        <xdr:cNvGrpSpPr/>
      </xdr:nvGrpSpPr>
      <xdr:grpSpPr>
        <a:xfrm>
          <a:off x="3335811" y="23113978"/>
          <a:ext cx="5656400" cy="3641815"/>
          <a:chOff x="3768044" y="21683244"/>
          <a:chExt cx="5383259" cy="3415596"/>
        </a:xfrm>
      </xdr:grpSpPr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3F9CF8A7-C53F-4CD4-96E2-1842A96DB372}"/>
              </a:ext>
            </a:extLst>
          </xdr:cNvPr>
          <xdr:cNvGraphicFramePr/>
        </xdr:nvGraphicFramePr>
        <xdr:xfrm>
          <a:off x="3768044" y="21683244"/>
          <a:ext cx="5383259" cy="3415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B6ABB6DE-50E4-433D-8757-F1D7878E7FD5}"/>
              </a:ext>
            </a:extLst>
          </xdr:cNvPr>
          <xdr:cNvCxnSpPr/>
        </xdr:nvCxnSpPr>
        <xdr:spPr>
          <a:xfrm flipH="1">
            <a:off x="5407422" y="22760781"/>
            <a:ext cx="446484" cy="277813"/>
          </a:xfrm>
          <a:prstGeom prst="straightConnector1">
            <a:avLst/>
          </a:prstGeom>
          <a:ln w="12700"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137</xdr:row>
      <xdr:rowOff>0</xdr:rowOff>
    </xdr:from>
    <xdr:to>
      <xdr:col>23</xdr:col>
      <xdr:colOff>590994</xdr:colOff>
      <xdr:row>156</xdr:row>
      <xdr:rowOff>22314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143B67D2-AFF2-49E4-BCA2-FE31C610D219}"/>
            </a:ext>
          </a:extLst>
        </xdr:cNvPr>
        <xdr:cNvGrpSpPr/>
      </xdr:nvGrpSpPr>
      <xdr:grpSpPr>
        <a:xfrm>
          <a:off x="3099955" y="27051000"/>
          <a:ext cx="4833948" cy="3641814"/>
          <a:chOff x="3768044" y="21683244"/>
          <a:chExt cx="5383259" cy="3415596"/>
        </a:xfrm>
      </xdr:grpSpPr>
      <xdr:graphicFrame macro="">
        <xdr:nvGraphicFramePr>
          <xdr:cNvPr id="47" name="Chart 1">
            <a:extLst>
              <a:ext uri="{FF2B5EF4-FFF2-40B4-BE49-F238E27FC236}">
                <a16:creationId xmlns:a16="http://schemas.microsoft.com/office/drawing/2014/main" id="{CFE83EE6-570E-4FE4-A136-A3ABE23BB299}"/>
              </a:ext>
            </a:extLst>
          </xdr:cNvPr>
          <xdr:cNvGraphicFramePr/>
        </xdr:nvGraphicFramePr>
        <xdr:xfrm>
          <a:off x="3768044" y="21683244"/>
          <a:ext cx="5383259" cy="3415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149E085E-FD51-4AFD-B867-92D582BF2D42}"/>
              </a:ext>
            </a:extLst>
          </xdr:cNvPr>
          <xdr:cNvCxnSpPr/>
        </xdr:nvCxnSpPr>
        <xdr:spPr>
          <a:xfrm flipH="1">
            <a:off x="7427028" y="23370351"/>
            <a:ext cx="446484" cy="277813"/>
          </a:xfrm>
          <a:prstGeom prst="straightConnector1">
            <a:avLst/>
          </a:prstGeom>
          <a:ln w="12700">
            <a:solidFill>
              <a:schemeClr val="bg2">
                <a:lumMod val="50000"/>
              </a:schemeClr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457609</xdr:colOff>
      <xdr:row>77</xdr:row>
      <xdr:rowOff>77472</xdr:rowOff>
    </xdr:from>
    <xdr:to>
      <xdr:col>35</xdr:col>
      <xdr:colOff>505598</xdr:colOff>
      <xdr:row>83</xdr:row>
      <xdr:rowOff>165666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AEDBDF9-01C2-408F-979B-D981D38C640D}"/>
            </a:ext>
          </a:extLst>
        </xdr:cNvPr>
        <xdr:cNvGrpSpPr/>
      </xdr:nvGrpSpPr>
      <xdr:grpSpPr>
        <a:xfrm>
          <a:off x="9618927" y="15698472"/>
          <a:ext cx="1866398" cy="1231194"/>
          <a:chOff x="5508488" y="1420742"/>
          <a:chExt cx="2101817" cy="1159757"/>
        </a:xfrm>
      </xdr:grpSpPr>
      <xdr:sp macro="" textlink="">
        <xdr:nvSpPr>
          <xdr:cNvPr id="72" name="TextBox 74">
            <a:extLst>
              <a:ext uri="{FF2B5EF4-FFF2-40B4-BE49-F238E27FC236}">
                <a16:creationId xmlns:a16="http://schemas.microsoft.com/office/drawing/2014/main" id="{92E4F8D8-1C33-42E4-99E3-A5714B534405}"/>
              </a:ext>
            </a:extLst>
          </xdr:cNvPr>
          <xdr:cNvSpPr txBox="1"/>
        </xdr:nvSpPr>
        <xdr:spPr>
          <a:xfrm>
            <a:off x="5508488" y="1463129"/>
            <a:ext cx="483704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g(r)</a:t>
            </a:r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0E2A10BD-8EAC-4BBE-AC61-56906E74E9D2}"/>
              </a:ext>
            </a:extLst>
          </xdr:cNvPr>
          <xdr:cNvGrpSpPr/>
        </xdr:nvGrpSpPr>
        <xdr:grpSpPr>
          <a:xfrm>
            <a:off x="5632154" y="1420742"/>
            <a:ext cx="1978151" cy="1159757"/>
            <a:chOff x="5632154" y="1420742"/>
            <a:chExt cx="1978151" cy="1159757"/>
          </a:xfrm>
        </xdr:grpSpPr>
        <xdr:grpSp>
          <xdr:nvGrpSpPr>
            <xdr:cNvPr id="74" name="Group 73">
              <a:extLst>
                <a:ext uri="{FF2B5EF4-FFF2-40B4-BE49-F238E27FC236}">
                  <a16:creationId xmlns:a16="http://schemas.microsoft.com/office/drawing/2014/main" id="{6EEEF42E-DE8B-4AC6-A142-5AA6BB1DEBF9}"/>
                </a:ext>
              </a:extLst>
            </xdr:cNvPr>
            <xdr:cNvGrpSpPr/>
          </xdr:nvGrpSpPr>
          <xdr:grpSpPr>
            <a:xfrm>
              <a:off x="5910244" y="1420742"/>
              <a:ext cx="1654334" cy="914400"/>
              <a:chOff x="5685183" y="1387748"/>
              <a:chExt cx="1654334" cy="914400"/>
            </a:xfrm>
          </xdr:grpSpPr>
          <mc:AlternateContent xmlns:mc="http://schemas.openxmlformats.org/markup-compatibility/2006" xmlns:xdr14="http://schemas.microsoft.com/office/excel/2010/spreadsheetDrawing">
            <mc:Choice Requires="xdr14">
              <xdr14:contentPart xmlns:r="http://schemas.openxmlformats.org/officeDocument/2006/relationships" r:id="rId14">
                <xdr14:nvContentPartPr>
                  <xdr14:cNvPr id="80" name="Ink 79">
                    <a:extLst>
                      <a:ext uri="{FF2B5EF4-FFF2-40B4-BE49-F238E27FC236}">
                        <a16:creationId xmlns:a16="http://schemas.microsoft.com/office/drawing/2014/main" id="{AC6299C9-2F8B-45D9-9269-9BBDD6DB6B11}"/>
                      </a:ext>
                    </a:extLst>
                  </xdr14:cNvPr>
                  <xdr14:cNvContentPartPr/>
                </xdr14:nvContentPartPr>
                <xdr14:nvPr macro=""/>
                <xdr14:xfrm>
                  <a:off x="6016720" y="1887299"/>
                  <a:ext cx="1235520" cy="414849"/>
                </xdr14:xfrm>
              </xdr14:contentPart>
            </mc:Choice>
            <mc:Fallback xmlns="">
              <xdr:pic>
                <xdr:nvPicPr>
                  <xdr:cNvPr id="80" name="Ink 79">
                    <a:extLst>
                      <a:ext uri="{FF2B5EF4-FFF2-40B4-BE49-F238E27FC236}">
                        <a16:creationId xmlns:a16="http://schemas.microsoft.com/office/drawing/2014/main" id="{AC6299C9-2F8B-45D9-9269-9BBDD6DB6B11}"/>
                      </a:ext>
                    </a:extLst>
                  </xdr:cNvPr>
                  <xdr:cNvPicPr/>
                </xdr:nvPicPr>
                <xdr:blipFill>
                  <a:blip xmlns:r="http://schemas.openxmlformats.org/officeDocument/2006/relationships" r:embed="rId15"/>
                  <a:stretch>
                    <a:fillRect/>
                  </a:stretch>
                </xdr:blipFill>
                <xdr:spPr>
                  <a:xfrm>
                    <a:off x="6007738" y="1878412"/>
                    <a:ext cx="1253124" cy="432268"/>
                  </a:xfrm>
                  <a:prstGeom prst="rect">
                    <a:avLst/>
                  </a:prstGeom>
                </xdr:spPr>
              </xdr:pic>
            </mc:Fallback>
          </mc:AlternateContent>
          <xdr:sp macro="" textlink="">
            <xdr:nvSpPr>
              <xdr:cNvPr id="81" name="Rectangle 80">
                <a:extLst>
                  <a:ext uri="{FF2B5EF4-FFF2-40B4-BE49-F238E27FC236}">
                    <a16:creationId xmlns:a16="http://schemas.microsoft.com/office/drawing/2014/main" id="{DD89D23A-0592-446A-985A-2EF439846594}"/>
                  </a:ext>
                </a:extLst>
              </xdr:cNvPr>
              <xdr:cNvSpPr/>
            </xdr:nvSpPr>
            <xdr:spPr>
              <a:xfrm>
                <a:off x="5685183" y="1387748"/>
                <a:ext cx="1654334" cy="914400"/>
              </a:xfrm>
              <a:prstGeom prst="rect">
                <a:avLst/>
              </a:prstGeom>
              <a:noFill/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">
          <xdr:nvSpPr>
            <xdr:cNvPr id="75" name="TextBox 257">
              <a:extLst>
                <a:ext uri="{FF2B5EF4-FFF2-40B4-BE49-F238E27FC236}">
                  <a16:creationId xmlns:a16="http://schemas.microsoft.com/office/drawing/2014/main" id="{1D8417AD-EE3D-4E20-83D0-B4E7EB356148}"/>
                </a:ext>
              </a:extLst>
            </xdr:cNvPr>
            <xdr:cNvSpPr txBox="1"/>
          </xdr:nvSpPr>
          <xdr:spPr>
            <a:xfrm>
              <a:off x="6491522" y="2303500"/>
              <a:ext cx="483704" cy="276999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/>
                <a:t>r</a:t>
              </a:r>
            </a:p>
          </xdr:txBody>
        </xdr: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01EDAFDC-E336-4C8F-945A-E397441F03DA}"/>
                </a:ext>
              </a:extLst>
            </xdr:cNvPr>
            <xdr:cNvCxnSpPr>
              <a:cxnSpLocks/>
            </xdr:cNvCxnSpPr>
          </xdr:nvCxnSpPr>
          <xdr:spPr>
            <a:xfrm flipH="1">
              <a:off x="7518865" y="1915004"/>
              <a:ext cx="91440" cy="0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80">
              <a:extLst>
                <a:ext uri="{FF2B5EF4-FFF2-40B4-BE49-F238E27FC236}">
                  <a16:creationId xmlns:a16="http://schemas.microsoft.com/office/drawing/2014/main" id="{B1853741-17DB-4493-879C-4D75A3CC2E73}"/>
                </a:ext>
              </a:extLst>
            </xdr:cNvPr>
            <xdr:cNvSpPr txBox="1"/>
          </xdr:nvSpPr>
          <xdr:spPr>
            <a:xfrm>
              <a:off x="5632154" y="1781492"/>
              <a:ext cx="350036" cy="261610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050"/>
                <a:t>1</a:t>
              </a:r>
            </a:p>
          </xdr:txBody>
        </xdr: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342E65FD-5339-4356-96A0-A507133341F5}"/>
                </a:ext>
              </a:extLst>
            </xdr:cNvPr>
            <xdr:cNvCxnSpPr>
              <a:cxnSpLocks/>
            </xdr:cNvCxnSpPr>
          </xdr:nvCxnSpPr>
          <xdr:spPr>
            <a:xfrm flipH="1">
              <a:off x="5861687" y="1920292"/>
              <a:ext cx="91440" cy="1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91">
              <a:extLst>
                <a:ext uri="{FF2B5EF4-FFF2-40B4-BE49-F238E27FC236}">
                  <a16:creationId xmlns:a16="http://schemas.microsoft.com/office/drawing/2014/main" id="{5AC125E8-EEC5-4569-9FA5-DBBFD6ACD4AA}"/>
                </a:ext>
              </a:extLst>
            </xdr:cNvPr>
            <xdr:cNvSpPr txBox="1"/>
          </xdr:nvSpPr>
          <xdr:spPr>
            <a:xfrm>
              <a:off x="5936248" y="1439642"/>
              <a:ext cx="483704" cy="276999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Gas</a:t>
              </a:r>
            </a:p>
          </xdr:txBody>
        </xdr:sp>
      </xdr:grpSp>
    </xdr:grpSp>
    <xdr:clientData/>
  </xdr:twoCellAnchor>
  <xdr:twoCellAnchor>
    <xdr:from>
      <xdr:col>23</xdr:col>
      <xdr:colOff>433803</xdr:colOff>
      <xdr:row>66</xdr:row>
      <xdr:rowOff>0</xdr:rowOff>
    </xdr:from>
    <xdr:to>
      <xdr:col>36</xdr:col>
      <xdr:colOff>627589</xdr:colOff>
      <xdr:row>75</xdr:row>
      <xdr:rowOff>157318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631464EF-76BF-421C-B09A-93EE0F75FE8E}"/>
            </a:ext>
          </a:extLst>
        </xdr:cNvPr>
        <xdr:cNvGrpSpPr/>
      </xdr:nvGrpSpPr>
      <xdr:grpSpPr>
        <a:xfrm>
          <a:off x="7776712" y="13525500"/>
          <a:ext cx="4417691" cy="1871818"/>
          <a:chOff x="5632154" y="2827630"/>
          <a:chExt cx="1978151" cy="1132063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1226B340-EA9E-4515-9430-140B074485B4}"/>
              </a:ext>
            </a:extLst>
          </xdr:cNvPr>
          <xdr:cNvGrpSpPr/>
        </xdr:nvGrpSpPr>
        <xdr:grpSpPr>
          <a:xfrm>
            <a:off x="5906207" y="2827630"/>
            <a:ext cx="1699078" cy="1075696"/>
            <a:chOff x="5657550" y="2662566"/>
            <a:chExt cx="1699078" cy="1075696"/>
          </a:xfrm>
        </xdr:grpSpPr>
        <mc:AlternateContent xmlns:mc="http://schemas.openxmlformats.org/markup-compatibility/2006" xmlns:xdr14="http://schemas.microsoft.com/office/excel/2010/spreadsheetDrawing">
          <mc:Choice Requires="xdr14">
            <xdr14:contentPart xmlns:r="http://schemas.openxmlformats.org/officeDocument/2006/relationships" r:id="rId16">
              <xdr14:nvContentPartPr>
                <xdr14:cNvPr id="69" name="Ink 68">
                  <a:extLst>
                    <a:ext uri="{FF2B5EF4-FFF2-40B4-BE49-F238E27FC236}">
                      <a16:creationId xmlns:a16="http://schemas.microsoft.com/office/drawing/2014/main" id="{D2CB20C5-5C21-41DC-B003-90FE49BCE7D1}"/>
                    </a:ext>
                  </a:extLst>
                </xdr14:cNvPr>
                <xdr14:cNvContentPartPr/>
              </xdr14:nvContentPartPr>
              <xdr14:nvPr macro=""/>
              <xdr14:xfrm>
                <a:off x="5967917" y="2913760"/>
                <a:ext cx="1284323" cy="712905"/>
              </xdr14:xfrm>
            </xdr14:contentPart>
          </mc:Choice>
          <mc:Fallback xmlns="">
            <xdr:pic>
              <xdr:nvPicPr>
                <xdr:cNvPr id="69" name="Ink 68">
                  <a:extLst>
                    <a:ext uri="{FF2B5EF4-FFF2-40B4-BE49-F238E27FC236}">
                      <a16:creationId xmlns:a16="http://schemas.microsoft.com/office/drawing/2014/main" id="{D2CB20C5-5C21-41DC-B003-90FE49BCE7D1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7"/>
                <a:stretch>
                  <a:fillRect/>
                </a:stretch>
              </xdr:blipFill>
              <xdr:spPr>
                <a:xfrm>
                  <a:off x="5964352" y="2908057"/>
                  <a:ext cx="1291310" cy="724083"/>
                </a:xfrm>
                <a:prstGeom prst="rect">
                  <a:avLst/>
                </a:prstGeom>
              </xdr:spPr>
            </xdr:pic>
          </mc:Fallback>
        </mc:AlternateContent>
        <xdr:sp macro="" textlink="">
          <xdr:nvSpPr>
            <xdr:cNvPr id="70" name="Rectangle 69">
              <a:extLst>
                <a:ext uri="{FF2B5EF4-FFF2-40B4-BE49-F238E27FC236}">
                  <a16:creationId xmlns:a16="http://schemas.microsoft.com/office/drawing/2014/main" id="{D3EA4228-840D-4DB6-A410-A8DE5D8A662A}"/>
                </a:ext>
              </a:extLst>
            </xdr:cNvPr>
            <xdr:cNvSpPr/>
          </xdr:nvSpPr>
          <xdr:spPr>
            <a:xfrm>
              <a:off x="5702294" y="3581844"/>
              <a:ext cx="1654334" cy="156418"/>
            </a:xfrm>
            <a:prstGeom prst="rect">
              <a:avLst/>
            </a:prstGeom>
            <a:solidFill>
              <a:schemeClr val="bg1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1C1C2781-C6BC-49D8-B30A-F211F2D1E4ED}"/>
                </a:ext>
              </a:extLst>
            </xdr:cNvPr>
            <xdr:cNvSpPr/>
          </xdr:nvSpPr>
          <xdr:spPr>
            <a:xfrm>
              <a:off x="5657550" y="2662566"/>
              <a:ext cx="1654334" cy="91440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8BA10A13-1CFD-42F9-A7C1-FFC23CD0367F}"/>
              </a:ext>
            </a:extLst>
          </xdr:cNvPr>
          <xdr:cNvGrpSpPr/>
        </xdr:nvGrpSpPr>
        <xdr:grpSpPr>
          <a:xfrm>
            <a:off x="5632154" y="2854527"/>
            <a:ext cx="1978151" cy="1105166"/>
            <a:chOff x="5632154" y="2854527"/>
            <a:chExt cx="1978151" cy="1105166"/>
          </a:xfrm>
        </xdr:grpSpPr>
        <xdr:sp macro="" textlink="">
          <xdr:nvSpPr>
            <xdr:cNvPr id="63" name="TextBox 72">
              <a:extLst>
                <a:ext uri="{FF2B5EF4-FFF2-40B4-BE49-F238E27FC236}">
                  <a16:creationId xmlns:a16="http://schemas.microsoft.com/office/drawing/2014/main" id="{E39FAEDE-199D-4A26-A576-AA6F9D24D88C}"/>
                </a:ext>
              </a:extLst>
            </xdr:cNvPr>
            <xdr:cNvSpPr txBox="1"/>
          </xdr:nvSpPr>
          <xdr:spPr>
            <a:xfrm>
              <a:off x="6493017" y="3682694"/>
              <a:ext cx="483704" cy="276999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/>
                <a:t>r</a:t>
              </a:r>
            </a:p>
          </xdr:txBody>
        </xdr:sp>
        <xdr:sp macro="" textlink="">
          <xdr:nvSpPr>
            <xdr:cNvPr id="64" name="TextBox 75">
              <a:extLst>
                <a:ext uri="{FF2B5EF4-FFF2-40B4-BE49-F238E27FC236}">
                  <a16:creationId xmlns:a16="http://schemas.microsoft.com/office/drawing/2014/main" id="{C638740C-A1A7-434F-8DB7-636207FAE667}"/>
                </a:ext>
              </a:extLst>
            </xdr:cNvPr>
            <xdr:cNvSpPr txBox="1"/>
          </xdr:nvSpPr>
          <xdr:spPr>
            <a:xfrm>
              <a:off x="5637187" y="3031176"/>
              <a:ext cx="231776" cy="179757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/>
                <a:t>g(r)</a:t>
              </a:r>
            </a:p>
          </xdr:txBody>
        </xdr:sp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519408B0-B385-40A7-9056-D86AA3A7D251}"/>
                </a:ext>
              </a:extLst>
            </xdr:cNvPr>
            <xdr:cNvCxnSpPr>
              <a:cxnSpLocks/>
            </xdr:cNvCxnSpPr>
          </xdr:nvCxnSpPr>
          <xdr:spPr>
            <a:xfrm flipH="1">
              <a:off x="7518865" y="3366215"/>
              <a:ext cx="9144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6" name="TextBox 86">
              <a:extLst>
                <a:ext uri="{FF2B5EF4-FFF2-40B4-BE49-F238E27FC236}">
                  <a16:creationId xmlns:a16="http://schemas.microsoft.com/office/drawing/2014/main" id="{9388526B-1217-433C-8AA1-ABE3C6BADF0E}"/>
                </a:ext>
              </a:extLst>
            </xdr:cNvPr>
            <xdr:cNvSpPr txBox="1"/>
          </xdr:nvSpPr>
          <xdr:spPr>
            <a:xfrm>
              <a:off x="5632154" y="3232703"/>
              <a:ext cx="350036" cy="261610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050"/>
                <a:t>1</a:t>
              </a:r>
            </a:p>
          </xdr:txBody>
        </xdr:sp>
        <xdr:cxnSp macro="">
          <xdr:nvCxnSpPr>
            <xdr:cNvPr id="67" name="Straight Connector 66">
              <a:extLst>
                <a:ext uri="{FF2B5EF4-FFF2-40B4-BE49-F238E27FC236}">
                  <a16:creationId xmlns:a16="http://schemas.microsoft.com/office/drawing/2014/main" id="{A07C4310-4829-4267-8457-87CC8FDDBDD1}"/>
                </a:ext>
              </a:extLst>
            </xdr:cNvPr>
            <xdr:cNvCxnSpPr>
              <a:cxnSpLocks/>
            </xdr:cNvCxnSpPr>
          </xdr:nvCxnSpPr>
          <xdr:spPr>
            <a:xfrm flipH="1">
              <a:off x="5861687" y="3371503"/>
              <a:ext cx="91440" cy="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92">
              <a:extLst>
                <a:ext uri="{FF2B5EF4-FFF2-40B4-BE49-F238E27FC236}">
                  <a16:creationId xmlns:a16="http://schemas.microsoft.com/office/drawing/2014/main" id="{306559CE-D7D7-4E78-BC57-BB7B6BB0F102}"/>
                </a:ext>
              </a:extLst>
            </xdr:cNvPr>
            <xdr:cNvSpPr txBox="1"/>
          </xdr:nvSpPr>
          <xdr:spPr>
            <a:xfrm>
              <a:off x="5925948" y="2854527"/>
              <a:ext cx="427657" cy="179757"/>
            </a:xfrm>
            <a:prstGeom prst="rect">
              <a:avLst/>
            </a:prstGeom>
            <a:noFill/>
          </xdr:spPr>
          <xdr:txBody>
            <a:bodyPr wrap="square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Solid Crystal</a:t>
              </a:r>
            </a:p>
          </xdr:txBody>
        </xdr:sp>
      </xdr:grpSp>
    </xdr:grpSp>
    <xdr:clientData/>
  </xdr:twoCellAnchor>
  <xdr:twoCellAnchor>
    <xdr:from>
      <xdr:col>26</xdr:col>
      <xdr:colOff>490294</xdr:colOff>
      <xdr:row>85</xdr:row>
      <xdr:rowOff>137628</xdr:rowOff>
    </xdr:from>
    <xdr:to>
      <xdr:col>35</xdr:col>
      <xdr:colOff>538283</xdr:colOff>
      <xdr:row>92</xdr:row>
      <xdr:rowOff>45311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BBED50FB-EDE0-412A-8414-1423CBF9EAE6}"/>
            </a:ext>
          </a:extLst>
        </xdr:cNvPr>
        <xdr:cNvGrpSpPr/>
      </xdr:nvGrpSpPr>
      <xdr:grpSpPr>
        <a:xfrm>
          <a:off x="9651612" y="17282628"/>
          <a:ext cx="1866398" cy="1241183"/>
          <a:chOff x="5508488" y="4270729"/>
          <a:chExt cx="2101817" cy="1157840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42311935-AF2F-4305-BFB8-AB35DC5A7152}"/>
              </a:ext>
            </a:extLst>
          </xdr:cNvPr>
          <xdr:cNvGrpSpPr/>
        </xdr:nvGrpSpPr>
        <xdr:grpSpPr>
          <a:xfrm>
            <a:off x="5898115" y="4271273"/>
            <a:ext cx="1654334" cy="914400"/>
            <a:chOff x="5673054" y="4238279"/>
            <a:chExt cx="1654334" cy="914400"/>
          </a:xfrm>
        </xdr:grpSpPr>
        <mc:AlternateContent xmlns:mc="http://schemas.openxmlformats.org/markup-compatibility/2006" xmlns:xdr14="http://schemas.microsoft.com/office/excel/2010/spreadsheetDrawing">
          <mc:Choice Requires="xdr14">
            <xdr14:contentPart xmlns:r="http://schemas.openxmlformats.org/officeDocument/2006/relationships" r:id="rId18">
              <xdr14:nvContentPartPr>
                <xdr14:cNvPr id="59" name="Ink 58">
                  <a:extLst>
                    <a:ext uri="{FF2B5EF4-FFF2-40B4-BE49-F238E27FC236}">
                      <a16:creationId xmlns:a16="http://schemas.microsoft.com/office/drawing/2014/main" id="{28F4E6A0-4AD6-4945-A319-FB385192A17F}"/>
                    </a:ext>
                  </a:extLst>
                </xdr14:cNvPr>
                <xdr14:cNvContentPartPr/>
              </xdr14:nvContentPartPr>
              <xdr14:nvPr macro=""/>
              <xdr14:xfrm>
                <a:off x="5967914" y="4437711"/>
                <a:ext cx="1284326" cy="714967"/>
              </xdr14:xfrm>
            </xdr14:contentPart>
          </mc:Choice>
          <mc:Fallback xmlns="">
            <xdr:pic>
              <xdr:nvPicPr>
                <xdr:cNvPr id="59" name="Ink 58">
                  <a:extLst>
                    <a:ext uri="{FF2B5EF4-FFF2-40B4-BE49-F238E27FC236}">
                      <a16:creationId xmlns:a16="http://schemas.microsoft.com/office/drawing/2014/main" id="{28F4E6A0-4AD6-4945-A319-FB385192A17F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9"/>
                <a:stretch>
                  <a:fillRect/>
                </a:stretch>
              </xdr:blipFill>
              <xdr:spPr>
                <a:xfrm>
                  <a:off x="5958930" y="4428845"/>
                  <a:ext cx="1301934" cy="732345"/>
                </a:xfrm>
                <a:prstGeom prst="rect">
                  <a:avLst/>
                </a:prstGeom>
              </xdr:spPr>
            </xdr:pic>
          </mc:Fallback>
        </mc:AlternateContent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BF8DABF4-3E8F-4E0D-87A7-E8C9C2CFE148}"/>
                </a:ext>
              </a:extLst>
            </xdr:cNvPr>
            <xdr:cNvSpPr/>
          </xdr:nvSpPr>
          <xdr:spPr>
            <a:xfrm>
              <a:off x="5673054" y="4238279"/>
              <a:ext cx="1654334" cy="914400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sp macro="" textlink="">
        <xdr:nvSpPr>
          <xdr:cNvPr id="53" name="TextBox 73">
            <a:extLst>
              <a:ext uri="{FF2B5EF4-FFF2-40B4-BE49-F238E27FC236}">
                <a16:creationId xmlns:a16="http://schemas.microsoft.com/office/drawing/2014/main" id="{C1AB0CBB-AAA5-46BC-A3BC-970B9BC6397A}"/>
              </a:ext>
            </a:extLst>
          </xdr:cNvPr>
          <xdr:cNvSpPr txBox="1"/>
        </xdr:nvSpPr>
        <xdr:spPr>
          <a:xfrm>
            <a:off x="6493758" y="5151570"/>
            <a:ext cx="483704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r</a:t>
            </a:r>
          </a:p>
        </xdr:txBody>
      </xdr:sp>
      <xdr:sp macro="" textlink="">
        <xdr:nvSpPr>
          <xdr:cNvPr id="54" name="TextBox 76">
            <a:extLst>
              <a:ext uri="{FF2B5EF4-FFF2-40B4-BE49-F238E27FC236}">
                <a16:creationId xmlns:a16="http://schemas.microsoft.com/office/drawing/2014/main" id="{66CC10C1-9C48-4E2A-924F-272D4C5AAAF8}"/>
              </a:ext>
            </a:extLst>
          </xdr:cNvPr>
          <xdr:cNvSpPr txBox="1"/>
        </xdr:nvSpPr>
        <xdr:spPr>
          <a:xfrm>
            <a:off x="5508488" y="4270729"/>
            <a:ext cx="483704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g(r)</a:t>
            </a:r>
          </a:p>
        </xdr:txBody>
      </xdr: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1630BDD4-EF89-4C6C-B293-6C69CAD15771}"/>
              </a:ext>
            </a:extLst>
          </xdr:cNvPr>
          <xdr:cNvCxnSpPr>
            <a:cxnSpLocks/>
          </xdr:cNvCxnSpPr>
        </xdr:nvCxnSpPr>
        <xdr:spPr>
          <a:xfrm flipH="1">
            <a:off x="7518865" y="4833232"/>
            <a:ext cx="9144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TextBox 89">
            <a:extLst>
              <a:ext uri="{FF2B5EF4-FFF2-40B4-BE49-F238E27FC236}">
                <a16:creationId xmlns:a16="http://schemas.microsoft.com/office/drawing/2014/main" id="{DE07C31E-9B25-4952-A3C4-1512F2AFBD16}"/>
              </a:ext>
            </a:extLst>
          </xdr:cNvPr>
          <xdr:cNvSpPr txBox="1"/>
        </xdr:nvSpPr>
        <xdr:spPr>
          <a:xfrm>
            <a:off x="5632154" y="4699720"/>
            <a:ext cx="350036" cy="261610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/>
              <a:t>1</a:t>
            </a:r>
          </a:p>
        </xdr:txBody>
      </xdr: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46D87FCF-C074-4666-BACB-C09365CADD70}"/>
              </a:ext>
            </a:extLst>
          </xdr:cNvPr>
          <xdr:cNvCxnSpPr>
            <a:cxnSpLocks/>
          </xdr:cNvCxnSpPr>
        </xdr:nvCxnSpPr>
        <xdr:spPr>
          <a:xfrm flipH="1">
            <a:off x="5861687" y="4838520"/>
            <a:ext cx="91440" cy="1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TextBox 93">
            <a:extLst>
              <a:ext uri="{FF2B5EF4-FFF2-40B4-BE49-F238E27FC236}">
                <a16:creationId xmlns:a16="http://schemas.microsoft.com/office/drawing/2014/main" id="{41E012E0-F361-4CAE-846A-ED02D324FD1A}"/>
              </a:ext>
            </a:extLst>
          </xdr:cNvPr>
          <xdr:cNvSpPr txBox="1"/>
        </xdr:nvSpPr>
        <xdr:spPr>
          <a:xfrm>
            <a:off x="5882819" y="4289452"/>
            <a:ext cx="988520" cy="276999"/>
          </a:xfrm>
          <a:prstGeom prst="rect">
            <a:avLst/>
          </a:prstGeom>
          <a:noFill/>
        </xdr:spPr>
        <xdr:txBody>
          <a:bodyPr wrap="square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/>
              <a:t>Liquid</a:t>
            </a:r>
          </a:p>
        </xdr:txBody>
      </xdr:sp>
    </xdr:grpSp>
    <xdr:clientData/>
  </xdr:twoCellAnchor>
  <xdr:twoCellAnchor>
    <xdr:from>
      <xdr:col>17</xdr:col>
      <xdr:colOff>160049</xdr:colOff>
      <xdr:row>138</xdr:row>
      <xdr:rowOff>167858</xdr:rowOff>
    </xdr:from>
    <xdr:to>
      <xdr:col>17</xdr:col>
      <xdr:colOff>454922</xdr:colOff>
      <xdr:row>153</xdr:row>
      <xdr:rowOff>62457</xdr:rowOff>
    </xdr:to>
    <xdr:sp macro="" textlink="">
      <xdr:nvSpPr>
        <xdr:cNvPr id="82" name="Right Brace 81">
          <a:extLst>
            <a:ext uri="{FF2B5EF4-FFF2-40B4-BE49-F238E27FC236}">
              <a16:creationId xmlns:a16="http://schemas.microsoft.com/office/drawing/2014/main" id="{BB4854A3-AB59-41F0-80CB-08CBD49586AE}"/>
            </a:ext>
          </a:extLst>
        </xdr:cNvPr>
        <xdr:cNvSpPr/>
      </xdr:nvSpPr>
      <xdr:spPr>
        <a:xfrm rot="10800000">
          <a:off x="4383840" y="25854128"/>
          <a:ext cx="294873" cy="2588145"/>
        </a:xfrm>
        <a:prstGeom prst="rightBrace">
          <a:avLst>
            <a:gd name="adj1" fmla="val 53552"/>
            <a:gd name="adj2" fmla="val 50000"/>
          </a:avLst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304800</xdr:colOff>
      <xdr:row>96</xdr:row>
      <xdr:rowOff>85725</xdr:rowOff>
    </xdr:from>
    <xdr:to>
      <xdr:col>24</xdr:col>
      <xdr:colOff>163285</xdr:colOff>
      <xdr:row>115</xdr:row>
      <xdr:rowOff>27976</xdr:rowOff>
    </xdr:to>
    <xdr:graphicFrame macro="">
      <xdr:nvGraphicFramePr>
        <xdr:cNvPr id="84" name="Chart 17">
          <a:extLst>
            <a:ext uri="{FF2B5EF4-FFF2-40B4-BE49-F238E27FC236}">
              <a16:creationId xmlns:a16="http://schemas.microsoft.com/office/drawing/2014/main" id="{BDCA200E-CB97-4414-82C8-357F362D1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550333</xdr:colOff>
      <xdr:row>177</xdr:row>
      <xdr:rowOff>169333</xdr:rowOff>
    </xdr:from>
    <xdr:to>
      <xdr:col>23</xdr:col>
      <xdr:colOff>476856</xdr:colOff>
      <xdr:row>196</xdr:row>
      <xdr:rowOff>128512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0165DEB-DF0C-4FF3-A69F-EDF7B416D4E9}"/>
            </a:ext>
          </a:extLst>
        </xdr:cNvPr>
        <xdr:cNvGrpSpPr/>
      </xdr:nvGrpSpPr>
      <xdr:grpSpPr>
        <a:xfrm>
          <a:off x="3044151" y="34840333"/>
          <a:ext cx="4775614" cy="3578679"/>
          <a:chOff x="8001000" y="771526"/>
          <a:chExt cx="4815418" cy="3643312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4537677E-8C8F-669C-EFA4-523CC5463D8F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C0661F3E-641A-EC1B-1605-C017417ABE57}"/>
              </a:ext>
            </a:extLst>
          </xdr:cNvPr>
          <xdr:cNvSpPr/>
        </xdr:nvSpPr>
        <xdr:spPr>
          <a:xfrm>
            <a:off x="11575120" y="1695228"/>
            <a:ext cx="861826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EF7146-C94A-D1F6-65EA-B10776E644FD}"/>
              </a:ext>
            </a:extLst>
          </xdr:cNvPr>
          <xdr:cNvSpPr txBox="1"/>
        </xdr:nvSpPr>
        <xdr:spPr>
          <a:xfrm>
            <a:off x="11498096" y="1634984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BC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3.31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scl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3.45</a:t>
            </a:r>
          </a:p>
        </xdr:txBody>
      </xdr:sp>
    </xdr:grpSp>
    <xdr:clientData/>
  </xdr:twoCellAnchor>
  <xdr:twoCellAnchor>
    <xdr:from>
      <xdr:col>2</xdr:col>
      <xdr:colOff>35943</xdr:colOff>
      <xdr:row>158</xdr:row>
      <xdr:rowOff>125802</xdr:rowOff>
    </xdr:from>
    <xdr:to>
      <xdr:col>23</xdr:col>
      <xdr:colOff>595868</xdr:colOff>
      <xdr:row>177</xdr:row>
      <xdr:rowOff>13029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61159B7D-A51E-42B7-AB2C-0AE5412CE6B7}"/>
            </a:ext>
          </a:extLst>
        </xdr:cNvPr>
        <xdr:cNvGrpSpPr/>
      </xdr:nvGrpSpPr>
      <xdr:grpSpPr>
        <a:xfrm>
          <a:off x="3135898" y="31177302"/>
          <a:ext cx="4802879" cy="3506727"/>
          <a:chOff x="8001000" y="771526"/>
          <a:chExt cx="4815418" cy="3643312"/>
        </a:xfrm>
      </xdr:grpSpPr>
      <xdr:graphicFrame macro="">
        <xdr:nvGraphicFramePr>
          <xdr:cNvPr id="85" name="Chart 84">
            <a:extLst>
              <a:ext uri="{FF2B5EF4-FFF2-40B4-BE49-F238E27FC236}">
                <a16:creationId xmlns:a16="http://schemas.microsoft.com/office/drawing/2014/main" id="{208CC9CD-6CE6-F817-2F3C-39FC933930BB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AD084486-5FDD-7D48-A850-7045697C4825}"/>
              </a:ext>
            </a:extLst>
          </xdr:cNvPr>
          <xdr:cNvSpPr/>
        </xdr:nvSpPr>
        <xdr:spPr>
          <a:xfrm>
            <a:off x="11937576" y="1424667"/>
            <a:ext cx="619125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77E06BC2-C47E-660F-E5CD-07D7BB62AB3A}"/>
              </a:ext>
            </a:extLst>
          </xdr:cNvPr>
          <xdr:cNvSpPr txBox="1"/>
        </xdr:nvSpPr>
        <xdr:spPr>
          <a:xfrm>
            <a:off x="11866880" y="1357990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l</a:t>
            </a:r>
            <a:r>
              <a:rPr kumimoji="0" lang="en-US" sz="1050" b="0" i="0" u="none" strike="noStrike" kern="0" cap="none" spc="0" normalizeH="0" baseline="-2500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BC 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= 2.72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scl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2.92</a:t>
            </a:r>
          </a:p>
        </xdr:txBody>
      </xdr:sp>
    </xdr:grpSp>
    <xdr:clientData/>
  </xdr:twoCellAnchor>
  <xdr:twoCellAnchor>
    <xdr:from>
      <xdr:col>1</xdr:col>
      <xdr:colOff>536864</xdr:colOff>
      <xdr:row>196</xdr:row>
      <xdr:rowOff>164523</xdr:rowOff>
    </xdr:from>
    <xdr:to>
      <xdr:col>23</xdr:col>
      <xdr:colOff>518777</xdr:colOff>
      <xdr:row>215</xdr:row>
      <xdr:rowOff>167770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FB4D931C-A215-43F8-BF06-65F108606352}"/>
            </a:ext>
          </a:extLst>
        </xdr:cNvPr>
        <xdr:cNvGrpSpPr/>
      </xdr:nvGrpSpPr>
      <xdr:grpSpPr>
        <a:xfrm>
          <a:off x="3030682" y="38455023"/>
          <a:ext cx="4831004" cy="3622747"/>
          <a:chOff x="5503935" y="4546023"/>
          <a:chExt cx="4831004" cy="3622747"/>
        </a:xfrm>
      </xdr:grpSpPr>
      <xdr:grpSp>
        <xdr:nvGrpSpPr>
          <xdr:cNvPr id="112" name="Group 111">
            <a:extLst>
              <a:ext uri="{FF2B5EF4-FFF2-40B4-BE49-F238E27FC236}">
                <a16:creationId xmlns:a16="http://schemas.microsoft.com/office/drawing/2014/main" id="{01B4D0FF-05A5-6F23-B1F3-8DB736611075}"/>
              </a:ext>
            </a:extLst>
          </xdr:cNvPr>
          <xdr:cNvGrpSpPr/>
        </xdr:nvGrpSpPr>
        <xdr:grpSpPr>
          <a:xfrm>
            <a:off x="5503935" y="4546023"/>
            <a:ext cx="4831004" cy="3622747"/>
            <a:chOff x="5989710" y="540760"/>
            <a:chExt cx="4831004" cy="3622747"/>
          </a:xfrm>
        </xdr:grpSpPr>
        <xdr:grpSp>
          <xdr:nvGrpSpPr>
            <xdr:cNvPr id="114" name="Group 113">
              <a:extLst>
                <a:ext uri="{FF2B5EF4-FFF2-40B4-BE49-F238E27FC236}">
                  <a16:creationId xmlns:a16="http://schemas.microsoft.com/office/drawing/2014/main" id="{B0A2714A-707D-11A5-BE7C-62EF3678912A}"/>
                </a:ext>
              </a:extLst>
            </xdr:cNvPr>
            <xdr:cNvGrpSpPr/>
          </xdr:nvGrpSpPr>
          <xdr:grpSpPr>
            <a:xfrm>
              <a:off x="5989710" y="540760"/>
              <a:ext cx="4831004" cy="3622747"/>
              <a:chOff x="8001000" y="771526"/>
              <a:chExt cx="4815418" cy="3643312"/>
            </a:xfrm>
          </xdr:grpSpPr>
          <xdr:graphicFrame macro="">
            <xdr:nvGraphicFramePr>
              <xdr:cNvPr id="121" name="Chart 120">
                <a:extLst>
                  <a:ext uri="{FF2B5EF4-FFF2-40B4-BE49-F238E27FC236}">
                    <a16:creationId xmlns:a16="http://schemas.microsoft.com/office/drawing/2014/main" id="{2B036311-1ED8-F09C-5D92-AC96C5966AA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8001000" y="771526"/>
              <a:ext cx="4815418" cy="364331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3"/>
              </a:graphicData>
            </a:graphic>
          </xdr:graphicFrame>
          <xdr:sp macro="" textlink="">
            <xdr:nvSpPr>
              <xdr:cNvPr id="122" name="Rectangle 121">
                <a:extLst>
                  <a:ext uri="{FF2B5EF4-FFF2-40B4-BE49-F238E27FC236}">
                    <a16:creationId xmlns:a16="http://schemas.microsoft.com/office/drawing/2014/main" id="{60C74D63-2CCC-422A-AEED-4C05772004F0}"/>
                  </a:ext>
                </a:extLst>
              </xdr:cNvPr>
              <xdr:cNvSpPr/>
            </xdr:nvSpPr>
            <xdr:spPr>
              <a:xfrm>
                <a:off x="11591303" y="2358179"/>
                <a:ext cx="861826" cy="42862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23" name="TextBox 122">
                <a:extLst>
                  <a:ext uri="{FF2B5EF4-FFF2-40B4-BE49-F238E27FC236}">
                    <a16:creationId xmlns:a16="http://schemas.microsoft.com/office/drawing/2014/main" id="{AA3140D1-7799-456B-9A87-E976AAF232D3}"/>
                  </a:ext>
                </a:extLst>
              </xdr:cNvPr>
              <xdr:cNvSpPr txBox="1"/>
            </xdr:nvSpPr>
            <xdr:spPr>
              <a:xfrm>
                <a:off x="11514280" y="2297935"/>
                <a:ext cx="752476" cy="495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BC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3.31</a:t>
                </a:r>
              </a:p>
              <a:p>
                <a:pPr algn="l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scl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3.45</a:t>
                </a:r>
              </a:p>
            </xdr:txBody>
          </xdr:sp>
        </xdr:grpSp>
        <xdr:sp macro="" textlink="">
          <xdr:nvSpPr>
            <xdr:cNvPr id="115" name="Right Brace 114">
              <a:extLst>
                <a:ext uri="{FF2B5EF4-FFF2-40B4-BE49-F238E27FC236}">
                  <a16:creationId xmlns:a16="http://schemas.microsoft.com/office/drawing/2014/main" id="{089AEE1E-240E-1C7F-C40B-1C904452DA3E}"/>
                </a:ext>
              </a:extLst>
            </xdr:cNvPr>
            <xdr:cNvSpPr/>
          </xdr:nvSpPr>
          <xdr:spPr>
            <a:xfrm rot="16200000">
              <a:off x="6943031" y="731092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6" name="Right Brace 115">
              <a:extLst>
                <a:ext uri="{FF2B5EF4-FFF2-40B4-BE49-F238E27FC236}">
                  <a16:creationId xmlns:a16="http://schemas.microsoft.com/office/drawing/2014/main" id="{1AC9F6AC-4359-8BDF-AD21-E83EEA47BE66}"/>
                </a:ext>
              </a:extLst>
            </xdr:cNvPr>
            <xdr:cNvSpPr/>
          </xdr:nvSpPr>
          <xdr:spPr>
            <a:xfrm rot="16200000">
              <a:off x="7658271" y="731957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Right Brace 116">
              <a:extLst>
                <a:ext uri="{FF2B5EF4-FFF2-40B4-BE49-F238E27FC236}">
                  <a16:creationId xmlns:a16="http://schemas.microsoft.com/office/drawing/2014/main" id="{20A7DFD2-FC6E-8B9A-4283-D72287C2E7B0}"/>
                </a:ext>
              </a:extLst>
            </xdr:cNvPr>
            <xdr:cNvSpPr/>
          </xdr:nvSpPr>
          <xdr:spPr>
            <a:xfrm rot="16200000">
              <a:off x="8373512" y="732823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1BCCEB17-0229-ECF0-6A8F-C0F6D132BA30}"/>
                </a:ext>
              </a:extLst>
            </xdr:cNvPr>
            <xdr:cNvSpPr txBox="1"/>
          </xdr:nvSpPr>
          <xdr:spPr>
            <a:xfrm>
              <a:off x="6741968" y="751829"/>
              <a:ext cx="79014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r>
                <a: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 </a:t>
              </a:r>
              <a:r>
                <a:rPr lang="en-US" sz="1200" i="0">
                  <a:latin typeface="Times New Roman" panose="02020603050405020304" pitchFamily="18" charset="0"/>
                  <a:cs typeface="Times New Roman" panose="02020603050405020304" pitchFamily="18" charset="0"/>
                </a:rPr>
                <a:t>= 1.87</a:t>
              </a:r>
            </a:p>
          </xdr:txBody>
        </xdr:sp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285A8885-5A3C-D9AD-31C5-BC4FBD5C7601}"/>
                </a:ext>
              </a:extLst>
            </xdr:cNvPr>
            <xdr:cNvSpPr txBox="1"/>
          </xdr:nvSpPr>
          <xdr:spPr>
            <a:xfrm>
              <a:off x="7603332" y="758105"/>
              <a:ext cx="44421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r>
                <a: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</a:p>
          </xdr:txBody>
        </xdr:sp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E4A2DBD7-79A9-2012-B746-595188C42AB0}"/>
                </a:ext>
              </a:extLst>
            </xdr:cNvPr>
            <xdr:cNvSpPr txBox="1"/>
          </xdr:nvSpPr>
          <xdr:spPr>
            <a:xfrm>
              <a:off x="8733560" y="757240"/>
              <a:ext cx="731909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i="1">
                  <a:latin typeface="Aptos Narrow" panose="020B0004020202020204" pitchFamily="34" charset="0"/>
                  <a:cs typeface="Times New Roman" panose="02020603050405020304" pitchFamily="18" charset="0"/>
                </a:rPr>
                <a:t>…</a:t>
              </a:r>
              <a:r>
                <a:rPr lang="en-US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</a:t>
              </a:r>
              <a:r>
                <a:rPr kumimoji="0" lang="el-GR" sz="12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δ</a:t>
              </a:r>
              <a:r>
                <a:rPr kumimoji="0" lang="en-US" sz="1200" b="0" i="1" u="none" strike="noStrike" kern="0" cap="none" spc="0" normalizeH="0" baseline="-2500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</a:t>
              </a:r>
            </a:p>
            <a:p>
              <a:pPr algn="l"/>
              <a:r>
                <a:rPr lang="en-US" sz="120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0C2B2BB9-A159-B29E-BF7D-78FAAA46A74A}"/>
              </a:ext>
            </a:extLst>
          </xdr:cNvPr>
          <xdr:cNvSpPr txBox="1"/>
        </xdr:nvSpPr>
        <xdr:spPr>
          <a:xfrm>
            <a:off x="7831066" y="4767912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l-GR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δ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0"/>
          <a:ext cx="0" cy="0"/>
          <a:chOff x="0" y="10"/>
          <a:chExt cx="0" cy="0"/>
        </a:xfrm>
      </cdr:grpSpPr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0.14917</cdr:x>
      <cdr:y>0.04194</cdr:y>
    </cdr:from>
    <cdr:to>
      <cdr:x>0.44307</cdr:x>
      <cdr:y>0.25476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802131" y="145900"/>
          <a:ext cx="1580388" cy="740356"/>
          <a:chOff x="717550" y="170258"/>
          <a:chExt cx="1413668" cy="864057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C7923486-1DC5-1085-78AF-5DFCFCCF409A}"/>
              </a:ext>
            </a:extLst>
          </cdr:cNvPr>
          <cdr:cNvSpPr txBox="1"/>
        </cdr:nvSpPr>
        <cdr:spPr>
          <a:xfrm xmlns:a="http://schemas.openxmlformats.org/drawingml/2006/main">
            <a:off x="717550" y="772378"/>
            <a:ext cx="1012032" cy="26193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9A97FD49-A895-18FD-3C26-A57A5863B850}"/>
              </a:ext>
            </a:extLst>
          </cdr:cNvPr>
          <cdr:cNvSpPr txBox="1"/>
        </cdr:nvSpPr>
        <cdr:spPr>
          <a:xfrm xmlns:a="http://schemas.openxmlformats.org/drawingml/2006/main">
            <a:off x="717550" y="170258"/>
            <a:ext cx="1413668" cy="22304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Non-Actinides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0.38406</cdr:x>
      <cdr:y>0.26943</cdr:y>
    </cdr:from>
    <cdr:to>
      <cdr:x>0.62707</cdr:x>
      <cdr:y>0.44025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2067486" y="920269"/>
              <a:ext cx="1308220" cy="58343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=12.4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−2.41</m:t>
                      </m:r>
                    </m:sup>
                  </m:sSup>
                </m:oMath>
              </a14:m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2067486" y="920269"/>
              <a:ext cx="1308220" cy="58343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:r>
                <a:rPr lang="en-US" sz="1100" b="0" i="0">
                  <a:latin typeface="Cambria Math" panose="02040503050406030204" pitchFamily="18" charset="0"/>
                </a:rPr>
                <a:t>𝑦=12.4𝑥^(−2.41)</a:t>
              </a:r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0.65015</cdr:x>
      <cdr:y>0.25068</cdr:y>
    </cdr:from>
    <cdr:to>
      <cdr:x>0.68536</cdr:x>
      <cdr:y>0.25181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15A869A-E827-8ABC-6761-1B0FAA8275B9}"/>
            </a:ext>
          </a:extLst>
        </cdr:cNvPr>
        <cdr:cNvCxnSpPr/>
      </cdr:nvCxnSpPr>
      <cdr:spPr>
        <a:xfrm xmlns:a="http://schemas.openxmlformats.org/drawingml/2006/main">
          <a:off x="3115609" y="912928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0.20254</cdr:y>
    </cdr:from>
    <cdr:to>
      <cdr:x>0.68536</cdr:x>
      <cdr:y>0.20367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A795D767-F692-2D6A-1272-1AB1D6533F03}"/>
            </a:ext>
          </a:extLst>
        </cdr:cNvPr>
        <cdr:cNvCxnSpPr/>
      </cdr:nvCxnSpPr>
      <cdr:spPr>
        <a:xfrm xmlns:a="http://schemas.openxmlformats.org/drawingml/2006/main" flipH="1">
          <a:off x="3115609" y="737610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0.10626</cdr:y>
    </cdr:from>
    <cdr:to>
      <cdr:x>0.68536</cdr:x>
      <cdr:y>0.10739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6FF7C2BD-3839-4606-329D-28A7A1AFEB0D}"/>
            </a:ext>
          </a:extLst>
        </cdr:cNvPr>
        <cdr:cNvCxnSpPr/>
      </cdr:nvCxnSpPr>
      <cdr:spPr>
        <a:xfrm xmlns:a="http://schemas.openxmlformats.org/drawingml/2006/main" flipH="1">
          <a:off x="3115609" y="386976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0.65015</cdr:x>
      <cdr:y>0.1544</cdr:y>
    </cdr:from>
    <cdr:to>
      <cdr:x>0.68536</cdr:x>
      <cdr:y>0.15553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FF7C2BD-3839-4606-329D-28A7A1AFEB0D}"/>
            </a:ext>
          </a:extLst>
        </cdr:cNvPr>
        <cdr:cNvCxnSpPr/>
      </cdr:nvCxnSpPr>
      <cdr:spPr>
        <a:xfrm xmlns:a="http://schemas.openxmlformats.org/drawingml/2006/main" flipH="1">
          <a:off x="3115609" y="562293"/>
          <a:ext cx="168740" cy="41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0.63109</cdr:x>
      <cdr:y>0.30694</cdr:y>
    </cdr:from>
    <cdr:to>
      <cdr:x>0.8741</cdr:x>
      <cdr:y>0.47776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3408112" y="1054081"/>
              <a:ext cx="1312337" cy="58661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=12.4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−2.41</m:t>
                      </m:r>
                    </m:sup>
                  </m:sSup>
                </m:oMath>
              </a14:m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">
              <a:extLst xmlns:a="http://schemas.openxmlformats.org/drawingml/2006/main">
                <a:ext uri="{FF2B5EF4-FFF2-40B4-BE49-F238E27FC236}">
                  <a16:creationId xmlns:a16="http://schemas.microsoft.com/office/drawing/2014/main" id="{64DBC85E-C2B9-4261-B3A9-E00E9C7ECDFF}"/>
                </a:ext>
              </a:extLst>
            </cdr:cNvPr>
            <cdr:cNvSpPr txBox="1"/>
          </cdr:nvSpPr>
          <cdr:spPr>
            <a:xfrm xmlns:a="http://schemas.openxmlformats.org/drawingml/2006/main">
              <a:off x="3408112" y="1054081"/>
              <a:ext cx="1312337" cy="586619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/>
            <a:lstStyle xmlns:a="http://schemas.openxmlformats.org/drawingml/2006/main"/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Power Law Fit</a:t>
              </a:r>
            </a:p>
            <a:p xmlns:a="http://schemas.openxmlformats.org/drawingml/2006/main">
              <a:pPr algn="l"/>
              <a:r>
                <a:rPr lang="en-US" sz="1100" b="0" i="0">
                  <a:latin typeface="Cambria Math" panose="02040503050406030204" pitchFamily="18" charset="0"/>
                </a:rPr>
                <a:t>𝑦=12.4𝑥^(−2.41)</a:t>
              </a:r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+1</a:t>
              </a:r>
            </a:p>
            <a:p xmlns:a="http://schemas.openxmlformats.org/drawingml/2006/main">
              <a:pPr algn="l"/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R</a:t>
              </a:r>
              <a:r>
                <a:rPr lang="en-US" sz="1100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n-US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0.999938</a:t>
              </a:r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  <cdr:relSizeAnchor xmlns:cdr="http://schemas.openxmlformats.org/drawingml/2006/chartDrawing">
    <cdr:from>
      <cdr:x>0.36171</cdr:x>
      <cdr:y>0.75825</cdr:y>
    </cdr:from>
    <cdr:to>
      <cdr:x>0.3809</cdr:x>
      <cdr:y>0.85643</cdr:y>
    </cdr:to>
    <cdr:sp macro="" textlink="">
      <cdr:nvSpPr>
        <cdr:cNvPr id="3" name="Right Brace 2">
          <a:extLst xmlns:a="http://schemas.openxmlformats.org/drawingml/2006/main">
            <a:ext uri="{FF2B5EF4-FFF2-40B4-BE49-F238E27FC236}">
              <a16:creationId xmlns:a16="http://schemas.microsoft.com/office/drawing/2014/main" id="{A58EE3F4-9638-44D3-9447-EB645A604B24}"/>
            </a:ext>
          </a:extLst>
        </cdr:cNvPr>
        <cdr:cNvSpPr/>
      </cdr:nvSpPr>
      <cdr:spPr>
        <a:xfrm xmlns:a="http://schemas.openxmlformats.org/drawingml/2006/main">
          <a:off x="1953377" y="2603938"/>
          <a:ext cx="103593" cy="337148"/>
        </a:xfrm>
        <a:prstGeom xmlns:a="http://schemas.openxmlformats.org/drawingml/2006/main" prst="rightBrace">
          <a:avLst>
            <a:gd name="adj1" fmla="val 53552"/>
            <a:gd name="adj2" fmla="val 50000"/>
          </a:avLst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0.29783</cdr:x>
      <cdr:y>0.19438</cdr:y>
    </cdr:from>
    <cdr:to>
      <cdr:x>0.37516</cdr:x>
      <cdr:y>0.26713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DB85018-A748-4CB4-BDB1-91084F1CC695}"/>
            </a:ext>
          </a:extLst>
        </cdr:cNvPr>
        <cdr:cNvSpPr txBox="1"/>
      </cdr:nvSpPr>
      <cdr:spPr>
        <a:xfrm xmlns:a="http://schemas.openxmlformats.org/drawingml/2006/main">
          <a:off x="1608373" y="667530"/>
          <a:ext cx="417642" cy="249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chemeClr val="accent6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100" baseline="-25000">
              <a:solidFill>
                <a:schemeClr val="accent6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peak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2155032</xdr:colOff>
      <xdr:row>13</xdr:row>
      <xdr:rowOff>119063</xdr:rowOff>
    </xdr:from>
    <xdr:to>
      <xdr:col>21</xdr:col>
      <xdr:colOff>583407</xdr:colOff>
      <xdr:row>32</xdr:row>
      <xdr:rowOff>142874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914BA1-1892-439B-A2B7-91CC50DACC52}"/>
            </a:ext>
          </a:extLst>
        </xdr:cNvPr>
        <xdr:cNvGrpSpPr/>
      </xdr:nvGrpSpPr>
      <xdr:grpSpPr>
        <a:xfrm>
          <a:off x="2155032" y="3548063"/>
          <a:ext cx="4581525" cy="3643311"/>
          <a:chOff x="2928938" y="2333627"/>
          <a:chExt cx="4810123" cy="406003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697E8DB2-F796-F52D-F7F9-FD1051AF027E}"/>
              </a:ext>
            </a:extLst>
          </xdr:cNvPr>
          <xdr:cNvGrpSpPr/>
        </xdr:nvGrpSpPr>
        <xdr:grpSpPr>
          <a:xfrm>
            <a:off x="2928938" y="2333627"/>
            <a:ext cx="4810123" cy="4060030"/>
            <a:chOff x="2928938" y="2333627"/>
            <a:chExt cx="4810123" cy="406003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D2D832B-E71B-4CC7-FA95-B5F405987FFF}"/>
                </a:ext>
              </a:extLst>
            </xdr:cNvPr>
            <xdr:cNvGraphicFramePr>
              <a:graphicFrameLocks/>
            </xdr:cNvGraphicFramePr>
          </xdr:nvGraphicFramePr>
          <xdr:xfrm>
            <a:off x="2928938" y="2333627"/>
            <a:ext cx="4810123" cy="40600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636142C-6477-A265-9F05-5A72E2A55790}"/>
                </a:ext>
              </a:extLst>
            </xdr:cNvPr>
            <xdr:cNvSpPr txBox="1"/>
          </xdr:nvSpPr>
          <xdr:spPr>
            <a:xfrm>
              <a:off x="3690938" y="4000499"/>
              <a:ext cx="1012032" cy="2619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Exp. Min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A5C8AB4-8495-B795-DE25-847C6E4B5188}"/>
              </a:ext>
            </a:extLst>
          </xdr:cNvPr>
          <xdr:cNvSpPr txBox="1"/>
        </xdr:nvSpPr>
        <xdr:spPr>
          <a:xfrm>
            <a:off x="7015263" y="3286127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8A1F167-EE1A-A58D-2E35-30629AB6BFB6}"/>
              </a:ext>
            </a:extLst>
          </xdr:cNvPr>
          <xdr:cNvSpPr txBox="1"/>
        </xdr:nvSpPr>
        <xdr:spPr>
          <a:xfrm>
            <a:off x="6272214" y="2486028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41</xdr:col>
      <xdr:colOff>512419</xdr:colOff>
      <xdr:row>23</xdr:row>
      <xdr:rowOff>50927</xdr:rowOff>
    </xdr:from>
    <xdr:to>
      <xdr:col>51</xdr:col>
      <xdr:colOff>541939</xdr:colOff>
      <xdr:row>46</xdr:row>
      <xdr:rowOff>104335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48E5DC3-9F6A-4D34-9225-2765C8E205DA}"/>
            </a:ext>
          </a:extLst>
        </xdr:cNvPr>
        <xdr:cNvGrpSpPr/>
      </xdr:nvGrpSpPr>
      <xdr:grpSpPr>
        <a:xfrm>
          <a:off x="15199969" y="5384927"/>
          <a:ext cx="6125520" cy="4434908"/>
          <a:chOff x="6484317" y="5393647"/>
          <a:chExt cx="6470216" cy="495607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90AC281-0B13-8275-0048-FFF0CB91B147}"/>
              </a:ext>
            </a:extLst>
          </xdr:cNvPr>
          <xdr:cNvGraphicFramePr>
            <a:graphicFrameLocks/>
          </xdr:cNvGraphicFramePr>
        </xdr:nvGraphicFramePr>
        <xdr:xfrm>
          <a:off x="8144410" y="6289687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1F80A87-58B0-97E9-8E15-38A847884580}"/>
              </a:ext>
            </a:extLst>
          </xdr:cNvPr>
          <xdr:cNvSpPr txBox="1"/>
        </xdr:nvSpPr>
        <xdr:spPr>
          <a:xfrm>
            <a:off x="6484317" y="5393647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43</xdr:col>
      <xdr:colOff>272661</xdr:colOff>
      <xdr:row>7</xdr:row>
      <xdr:rowOff>41878</xdr:rowOff>
    </xdr:from>
    <xdr:to>
      <xdr:col>51</xdr:col>
      <xdr:colOff>357187</xdr:colOff>
      <xdr:row>26</xdr:row>
      <xdr:rowOff>5801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4810481-97DF-4ED5-9FE3-BB98E91E8EF8}"/>
            </a:ext>
          </a:extLst>
        </xdr:cNvPr>
        <xdr:cNvGrpSpPr/>
      </xdr:nvGrpSpPr>
      <xdr:grpSpPr>
        <a:xfrm>
          <a:off x="16179411" y="2327878"/>
          <a:ext cx="4961326" cy="3583423"/>
          <a:chOff x="2939356" y="2635753"/>
          <a:chExt cx="5233067" cy="406003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446ACED9-1D59-4DF6-BD54-3855744BBD96}"/>
              </a:ext>
            </a:extLst>
          </xdr:cNvPr>
          <xdr:cNvGraphicFramePr>
            <a:graphicFrameLocks/>
          </xdr:cNvGraphicFramePr>
        </xdr:nvGraphicFramePr>
        <xdr:xfrm>
          <a:off x="3362300" y="2635753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A71C964-9A33-4688-4BAC-1E3191715906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37</xdr:col>
      <xdr:colOff>226299</xdr:colOff>
      <xdr:row>4</xdr:row>
      <xdr:rowOff>21896</xdr:rowOff>
    </xdr:from>
    <xdr:to>
      <xdr:col>47</xdr:col>
      <xdr:colOff>90378</xdr:colOff>
      <xdr:row>26</xdr:row>
      <xdr:rowOff>116379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6476065-D56E-4108-99B5-98B5A157EF3D}"/>
            </a:ext>
          </a:extLst>
        </xdr:cNvPr>
        <xdr:cNvGrpSpPr/>
      </xdr:nvGrpSpPr>
      <xdr:grpSpPr>
        <a:xfrm>
          <a:off x="12475449" y="783896"/>
          <a:ext cx="5960079" cy="5237983"/>
          <a:chOff x="-2264684" y="-522040"/>
          <a:chExt cx="6216072" cy="5792849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4A419A5-0AB8-0535-50A1-58DD340AB1F7}"/>
              </a:ext>
            </a:extLst>
          </xdr:cNvPr>
          <xdr:cNvGraphicFramePr>
            <a:graphicFrameLocks/>
          </xdr:cNvGraphicFramePr>
        </xdr:nvGraphicFramePr>
        <xdr:xfrm>
          <a:off x="-2264684" y="-522040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FA55271-D129-0FDE-F3EA-F291AB3A097F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311944</xdr:colOff>
      <xdr:row>18</xdr:row>
      <xdr:rowOff>61912</xdr:rowOff>
    </xdr:from>
    <xdr:to>
      <xdr:col>63</xdr:col>
      <xdr:colOff>26194</xdr:colOff>
      <xdr:row>29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99F779-7F8C-4DF0-A694-1D3C3C3FD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55</xdr:col>
      <xdr:colOff>300037</xdr:colOff>
      <xdr:row>29</xdr:row>
      <xdr:rowOff>85725</xdr:rowOff>
    </xdr:from>
    <xdr:to>
      <xdr:col>63</xdr:col>
      <xdr:colOff>14287</xdr:colOff>
      <xdr:row>40</xdr:row>
      <xdr:rowOff>71438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43C9F21-0C21-4802-B497-6FA89AE47A15}"/>
            </a:ext>
          </a:extLst>
        </xdr:cNvPr>
        <xdr:cNvGrpSpPr/>
      </xdr:nvGrpSpPr>
      <xdr:grpSpPr>
        <a:xfrm>
          <a:off x="23521987" y="6562725"/>
          <a:ext cx="4591050" cy="2081213"/>
          <a:chOff x="-503286" y="1975389"/>
          <a:chExt cx="4810123" cy="4060030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205EF77D-AC24-BA9D-1946-FA3931365A86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BECAB1F-889C-3B5D-FC09-0DCBA3A87E14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345281</xdr:colOff>
      <xdr:row>40</xdr:row>
      <xdr:rowOff>71438</xdr:rowOff>
    </xdr:from>
    <xdr:to>
      <xdr:col>63</xdr:col>
      <xdr:colOff>59531</xdr:colOff>
      <xdr:row>51</xdr:row>
      <xdr:rowOff>57151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DD976D1-FA76-463B-AA2A-A89D380B01A4}"/>
            </a:ext>
          </a:extLst>
        </xdr:cNvPr>
        <xdr:cNvGrpSpPr/>
      </xdr:nvGrpSpPr>
      <xdr:grpSpPr>
        <a:xfrm>
          <a:off x="23567231" y="8643938"/>
          <a:ext cx="4591050" cy="2081213"/>
          <a:chOff x="-503286" y="1975389"/>
          <a:chExt cx="4810123" cy="4060030"/>
        </a:xfrm>
      </xdr:grpSpPr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1BE8716C-65EE-4E26-02D0-EE9A0E31486A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68CE21E-C95C-5A91-1E8A-8A356132996E}"/>
              </a:ext>
            </a:extLst>
          </xdr:cNvPr>
          <xdr:cNvSpPr txBox="1"/>
        </xdr:nvSpPr>
        <xdr:spPr>
          <a:xfrm>
            <a:off x="3064620" y="4799831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33</xdr:col>
      <xdr:colOff>202797</xdr:colOff>
      <xdr:row>31</xdr:row>
      <xdr:rowOff>5748</xdr:rowOff>
    </xdr:from>
    <xdr:to>
      <xdr:col>40</xdr:col>
      <xdr:colOff>510505</xdr:colOff>
      <xdr:row>60</xdr:row>
      <xdr:rowOff>120431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282FE42-FB2F-4DBB-8DF9-1F81F3866C08}"/>
            </a:ext>
          </a:extLst>
        </xdr:cNvPr>
        <xdr:cNvGrpSpPr/>
      </xdr:nvGrpSpPr>
      <xdr:grpSpPr>
        <a:xfrm>
          <a:off x="10013547" y="6863748"/>
          <a:ext cx="4574908" cy="5639183"/>
          <a:chOff x="20030126" y="4396007"/>
          <a:chExt cx="5212083" cy="5990653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5719863F-B57A-6F7D-B7D1-0C4A9BB1ED0C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34834665-B581-A70F-77C5-9A3DD8A1A5D5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007B5653-E3FC-C3B3-4EB1-ADD465AE8475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4F96D47-37F0-3D85-79B3-BA4B3D3E9C03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32" name="Chart 31">
                <a:extLst>
                  <a:ext uri="{FF2B5EF4-FFF2-40B4-BE49-F238E27FC236}">
                    <a16:creationId xmlns:a16="http://schemas.microsoft.com/office/drawing/2014/main" id="{0A3E6DC4-788D-8660-DAB2-0C14631A3E4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  <xdr:sp macro="" textlink="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7FF6D05F-59AB-DD7F-986B-5C5B9BC93D44}"/>
                  </a:ext>
                </a:extLst>
              </xdr:cNvPr>
              <xdr:cNvSpPr txBox="1"/>
            </xdr:nvSpPr>
            <xdr:spPr>
              <a:xfrm>
                <a:off x="3560756" y="-5435232"/>
                <a:ext cx="596787" cy="4358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D008C2D0-B605-5146-14FA-1B6F01DE0764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720F7DC-5558-8F79-99AF-AF51DDE46F6A}"/>
              </a:ext>
            </a:extLst>
          </xdr:cNvPr>
          <xdr:cNvSpPr txBox="1"/>
        </xdr:nvSpPr>
        <xdr:spPr>
          <a:xfrm>
            <a:off x="24616580" y="9759786"/>
            <a:ext cx="39935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B1432CA-E5BA-E567-D558-D546940579F7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0.14917</cdr:x>
      <cdr:y>0.04194</cdr:y>
    </cdr:from>
    <cdr:to>
      <cdr:x>0.44307</cdr:x>
      <cdr:y>0.25476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804198" y="145210"/>
          <a:ext cx="1584459" cy="736855"/>
          <a:chOff x="717550" y="170258"/>
          <a:chExt cx="1413668" cy="864057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C7923486-1DC5-1085-78AF-5DFCFCCF409A}"/>
              </a:ext>
            </a:extLst>
          </cdr:cNvPr>
          <cdr:cNvSpPr txBox="1"/>
        </cdr:nvSpPr>
        <cdr:spPr>
          <a:xfrm xmlns:a="http://schemas.openxmlformats.org/drawingml/2006/main">
            <a:off x="717550" y="772378"/>
            <a:ext cx="1012032" cy="26193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9A97FD49-A895-18FD-3C26-A57A5863B850}"/>
              </a:ext>
            </a:extLst>
          </cdr:cNvPr>
          <cdr:cNvSpPr txBox="1"/>
        </cdr:nvSpPr>
        <cdr:spPr>
          <a:xfrm xmlns:a="http://schemas.openxmlformats.org/drawingml/2006/main">
            <a:off x="717550" y="170258"/>
            <a:ext cx="1413668" cy="22304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Non-Actinides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8"/>
          <a:ext cx="0" cy="0"/>
          <a:chOff x="0" y="8"/>
          <a:chExt cx="0" cy="0"/>
        </a:xfrm>
      </cdr:grpSpPr>
    </cdr:grp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8"/>
          <a:ext cx="0" cy="0"/>
          <a:chOff x="0" y="8"/>
          <a:chExt cx="0" cy="0"/>
        </a:xfrm>
      </cdr:grpSpPr>
    </cdr:grp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8"/>
          <a:ext cx="0" cy="0"/>
          <a:chOff x="0" y="8"/>
          <a:chExt cx="0" cy="0"/>
        </a:xfrm>
      </cdr:grpSpPr>
    </cdr:grp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115094</xdr:colOff>
      <xdr:row>13</xdr:row>
      <xdr:rowOff>111125</xdr:rowOff>
    </xdr:from>
    <xdr:to>
      <xdr:col>86</xdr:col>
      <xdr:colOff>508000</xdr:colOff>
      <xdr:row>26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F5F33-710B-4BB6-8437-6D78B2AD0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593660</xdr:colOff>
      <xdr:row>27</xdr:row>
      <xdr:rowOff>10583</xdr:rowOff>
    </xdr:from>
    <xdr:to>
      <xdr:col>86</xdr:col>
      <xdr:colOff>246063</xdr:colOff>
      <xdr:row>42</xdr:row>
      <xdr:rowOff>39686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E6B5B-D532-4D36-A0AF-2F52F78DF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78</xdr:col>
      <xdr:colOff>26458</xdr:colOff>
      <xdr:row>47</xdr:row>
      <xdr:rowOff>3969</xdr:rowOff>
    </xdr:from>
    <xdr:to>
      <xdr:col>84</xdr:col>
      <xdr:colOff>203728</xdr:colOff>
      <xdr:row>62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4C8265-FC48-4398-89EB-D951BDDFF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86</xdr:col>
      <xdr:colOff>85987</xdr:colOff>
      <xdr:row>34</xdr:row>
      <xdr:rowOff>141553</xdr:rowOff>
    </xdr:from>
    <xdr:to>
      <xdr:col>92</xdr:col>
      <xdr:colOff>392906</xdr:colOff>
      <xdr:row>46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FAF78C-A392-4A10-8066-28772EA2A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88</xdr:col>
      <xdr:colOff>250032</xdr:colOff>
      <xdr:row>24</xdr:row>
      <xdr:rowOff>23811</xdr:rowOff>
    </xdr:from>
    <xdr:to>
      <xdr:col>92</xdr:col>
      <xdr:colOff>404812</xdr:colOff>
      <xdr:row>33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1CC6F9-15C2-4FFD-8D6D-461E65E90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86</xdr:col>
      <xdr:colOff>118914</xdr:colOff>
      <xdr:row>17</xdr:row>
      <xdr:rowOff>136408</xdr:rowOff>
    </xdr:from>
    <xdr:to>
      <xdr:col>94</xdr:col>
      <xdr:colOff>3969</xdr:colOff>
      <xdr:row>30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82ACC7-7D39-440E-862D-31DF6A1CF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80</xdr:col>
      <xdr:colOff>111026</xdr:colOff>
      <xdr:row>1</xdr:row>
      <xdr:rowOff>47134</xdr:rowOff>
    </xdr:from>
    <xdr:to>
      <xdr:col>86</xdr:col>
      <xdr:colOff>381000</xdr:colOff>
      <xdr:row>13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FA5A82-F8D0-4069-AB07-2D9A3DA9D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88</xdr:col>
      <xdr:colOff>88525</xdr:colOff>
      <xdr:row>0</xdr:row>
      <xdr:rowOff>235326</xdr:rowOff>
    </xdr:from>
    <xdr:to>
      <xdr:col>95</xdr:col>
      <xdr:colOff>71437</xdr:colOff>
      <xdr:row>11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DFA02D-1078-471B-93AF-E79F6B09B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88</xdr:col>
      <xdr:colOff>93587</xdr:colOff>
      <xdr:row>11</xdr:row>
      <xdr:rowOff>191935</xdr:rowOff>
    </xdr:from>
    <xdr:to>
      <xdr:col>95</xdr:col>
      <xdr:colOff>488156</xdr:colOff>
      <xdr:row>22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9F2423-AA5A-4B61-9F55-39B336131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86</xdr:col>
      <xdr:colOff>74082</xdr:colOff>
      <xdr:row>3</xdr:row>
      <xdr:rowOff>195793</xdr:rowOff>
    </xdr:from>
    <xdr:to>
      <xdr:col>93</xdr:col>
      <xdr:colOff>559593</xdr:colOff>
      <xdr:row>14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BEDA712-B4A4-4AE2-B54A-BA43FB89C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79376</xdr:colOff>
      <xdr:row>44</xdr:row>
      <xdr:rowOff>31750</xdr:rowOff>
    </xdr:from>
    <xdr:to>
      <xdr:col>51</xdr:col>
      <xdr:colOff>793750</xdr:colOff>
      <xdr:row>62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B47B870-F1AE-4247-A578-0F04D048E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59</xdr:col>
      <xdr:colOff>428625</xdr:colOff>
      <xdr:row>40</xdr:row>
      <xdr:rowOff>142875</xdr:rowOff>
    </xdr:from>
    <xdr:to>
      <xdr:col>69</xdr:col>
      <xdr:colOff>490912</xdr:colOff>
      <xdr:row>54</xdr:row>
      <xdr:rowOff>141705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5A16C2-C66B-452F-B78D-F2801B7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52</xdr:col>
      <xdr:colOff>47625</xdr:colOff>
      <xdr:row>44</xdr:row>
      <xdr:rowOff>31750</xdr:rowOff>
    </xdr:from>
    <xdr:to>
      <xdr:col>58</xdr:col>
      <xdr:colOff>873124</xdr:colOff>
      <xdr:row>62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37D8AB-FA5F-485F-9D65-576C5E14A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254000</xdr:colOff>
      <xdr:row>47</xdr:row>
      <xdr:rowOff>142875</xdr:rowOff>
    </xdr:from>
    <xdr:to>
      <xdr:col>42</xdr:col>
      <xdr:colOff>1222374</xdr:colOff>
      <xdr:row>65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F34A8D-4A81-44F5-9C05-94840C34F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95250</xdr:colOff>
      <xdr:row>62</xdr:row>
      <xdr:rowOff>107950</xdr:rowOff>
    </xdr:from>
    <xdr:to>
      <xdr:col>51</xdr:col>
      <xdr:colOff>800100</xdr:colOff>
      <xdr:row>86</xdr:row>
      <xdr:rowOff>28574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707FCCD-2820-4423-9550-03A5D8172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304800</xdr:colOff>
      <xdr:row>62</xdr:row>
      <xdr:rowOff>38100</xdr:rowOff>
    </xdr:from>
    <xdr:to>
      <xdr:col>42</xdr:col>
      <xdr:colOff>1200150</xdr:colOff>
      <xdr:row>85</xdr:row>
      <xdr:rowOff>149224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0EA1855-F5E8-4C56-9ED3-DFE8D6204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63</xdr:col>
      <xdr:colOff>815706</xdr:colOff>
      <xdr:row>24</xdr:row>
      <xdr:rowOff>42925</xdr:rowOff>
    </xdr:from>
    <xdr:to>
      <xdr:col>70</xdr:col>
      <xdr:colOff>111928</xdr:colOff>
      <xdr:row>38</xdr:row>
      <xdr:rowOff>82015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BB9799-8C60-41A7-9124-C039FC9D9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877557</xdr:colOff>
      <xdr:row>14</xdr:row>
      <xdr:rowOff>12617</xdr:rowOff>
    </xdr:from>
    <xdr:to>
      <xdr:col>70</xdr:col>
      <xdr:colOff>62448</xdr:colOff>
      <xdr:row>26</xdr:row>
      <xdr:rowOff>131700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75AEC3C-0967-4670-AE63-A5A1D8F9B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905699</xdr:colOff>
      <xdr:row>5</xdr:row>
      <xdr:rowOff>229670</xdr:rowOff>
    </xdr:from>
    <xdr:to>
      <xdr:col>32</xdr:col>
      <xdr:colOff>102011</xdr:colOff>
      <xdr:row>19</xdr:row>
      <xdr:rowOff>48674</xdr:rowOff>
    </xdr:to>
    <xdr:graphicFrame macro="">
      <xdr:nvGraphicFramePr>
        <xdr:cNvPr id="21" name="Chart 17">
          <a:extLst>
            <a:ext uri="{FF2B5EF4-FFF2-40B4-BE49-F238E27FC236}">
              <a16:creationId xmlns:a16="http://schemas.microsoft.com/office/drawing/2014/main" id="{DF5A6489-2AC9-40E3-B86F-FFF767DBC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478516</xdr:colOff>
      <xdr:row>34</xdr:row>
      <xdr:rowOff>181840</xdr:rowOff>
    </xdr:from>
    <xdr:to>
      <xdr:col>32</xdr:col>
      <xdr:colOff>339311</xdr:colOff>
      <xdr:row>52</xdr:row>
      <xdr:rowOff>16720</xdr:rowOff>
    </xdr:to>
    <xdr:graphicFrame macro="">
      <xdr:nvGraphicFramePr>
        <xdr:cNvPr id="22" name="Chart 17">
          <a:extLst>
            <a:ext uri="{FF2B5EF4-FFF2-40B4-BE49-F238E27FC236}">
              <a16:creationId xmlns:a16="http://schemas.microsoft.com/office/drawing/2014/main" id="{F839CA1E-B103-4283-AB28-5FAFA9642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23</xdr:col>
      <xdr:colOff>620981</xdr:colOff>
      <xdr:row>14</xdr:row>
      <xdr:rowOff>26224</xdr:rowOff>
    </xdr:from>
    <xdr:to>
      <xdr:col>31</xdr:col>
      <xdr:colOff>306780</xdr:colOff>
      <xdr:row>26</xdr:row>
      <xdr:rowOff>97476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86A3970-8E60-F1E1-F494-5B631375E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9525</xdr:colOff>
      <xdr:row>0</xdr:row>
      <xdr:rowOff>28575</xdr:rowOff>
    </xdr:from>
    <xdr:to>
      <xdr:col>32</xdr:col>
      <xdr:colOff>466725</xdr:colOff>
      <xdr:row>12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FEE2-FEF7-9679-6561-09EEBF8D8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9525</xdr:colOff>
      <xdr:row>11</xdr:row>
      <xdr:rowOff>166686</xdr:rowOff>
    </xdr:from>
    <xdr:to>
      <xdr:col>32</xdr:col>
      <xdr:colOff>466725</xdr:colOff>
      <xdr:row>23</xdr:row>
      <xdr:rowOff>166686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8D444B-0CFB-4160-30AE-5D1F8712E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361951</xdr:colOff>
      <xdr:row>0</xdr:row>
      <xdr:rowOff>9526</xdr:rowOff>
    </xdr:from>
    <xdr:to>
      <xdr:col>36</xdr:col>
      <xdr:colOff>209551</xdr:colOff>
      <xdr:row>12</xdr:row>
      <xdr:rowOff>9526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C42CF0-8176-4683-E9CC-71A0EFA22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109537</xdr:colOff>
      <xdr:row>14</xdr:row>
      <xdr:rowOff>123824</xdr:rowOff>
    </xdr:from>
    <xdr:to>
      <xdr:col>36</xdr:col>
      <xdr:colOff>238125</xdr:colOff>
      <xdr:row>23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8D538-74F6-F1C1-26C4-AB5D57E1E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208017</xdr:colOff>
      <xdr:row>14</xdr:row>
      <xdr:rowOff>166004</xdr:rowOff>
    </xdr:from>
    <xdr:to>
      <xdr:col>23</xdr:col>
      <xdr:colOff>232714</xdr:colOff>
      <xdr:row>48</xdr:row>
      <xdr:rowOff>10946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8B8EC-D139-4B83-BBCE-2A62CF76A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3</xdr:row>
      <xdr:rowOff>161926</xdr:rowOff>
    </xdr:from>
    <xdr:to>
      <xdr:col>21</xdr:col>
      <xdr:colOff>14818</xdr:colOff>
      <xdr:row>22</xdr:row>
      <xdr:rowOff>185738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D2FCEA5-A273-B6F1-328D-4BE5553793FA}"/>
            </a:ext>
          </a:extLst>
        </xdr:cNvPr>
        <xdr:cNvGrpSpPr/>
      </xdr:nvGrpSpPr>
      <xdr:grpSpPr>
        <a:xfrm>
          <a:off x="8036379" y="774247"/>
          <a:ext cx="4837189" cy="3643312"/>
          <a:chOff x="8001000" y="771526"/>
          <a:chExt cx="4815418" cy="3643312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CDD70148-8D92-112D-86C3-195ECA40308B}"/>
              </a:ext>
            </a:extLst>
          </xdr:cNvPr>
          <xdr:cNvGraphicFramePr>
            <a:graphicFrameLocks/>
          </xdr:cNvGraphicFramePr>
        </xdr:nvGraphicFramePr>
        <xdr:xfrm>
          <a:off x="8001000" y="771526"/>
          <a:ext cx="4815418" cy="3643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48AD49F-72B3-F5DE-1557-2D8A46A2246C}"/>
              </a:ext>
            </a:extLst>
          </xdr:cNvPr>
          <xdr:cNvSpPr/>
        </xdr:nvSpPr>
        <xdr:spPr>
          <a:xfrm>
            <a:off x="11937576" y="1424667"/>
            <a:ext cx="619125" cy="428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1C54B79-421C-E0A6-7532-589D00A374D5}"/>
              </a:ext>
            </a:extLst>
          </xdr:cNvPr>
          <xdr:cNvSpPr txBox="1"/>
        </xdr:nvSpPr>
        <xdr:spPr>
          <a:xfrm>
            <a:off x="11866880" y="1357990"/>
            <a:ext cx="752476" cy="4953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l</a:t>
            </a:r>
            <a:r>
              <a:rPr kumimoji="0" lang="en-US" sz="1050" b="0" i="0" u="none" strike="noStrike" kern="0" cap="none" spc="0" normalizeH="0" baseline="-2500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BC </a:t>
            </a:r>
            <a:r>
              <a:rPr kumimoji="0" lang="en-US" sz="105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= 2.72</a:t>
            </a:r>
          </a:p>
          <a:p>
            <a:pPr algn="l"/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l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scl </a:t>
            </a:r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= 2.92</a:t>
            </a:r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2</xdr:row>
      <xdr:rowOff>161925</xdr:rowOff>
    </xdr:from>
    <xdr:to>
      <xdr:col>17</xdr:col>
      <xdr:colOff>424393</xdr:colOff>
      <xdr:row>21</xdr:row>
      <xdr:rowOff>185737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348B23E-C605-E75E-2644-4D3770BF91E2}"/>
            </a:ext>
          </a:extLst>
        </xdr:cNvPr>
        <xdr:cNvGrpSpPr/>
      </xdr:nvGrpSpPr>
      <xdr:grpSpPr>
        <a:xfrm>
          <a:off x="5989710" y="540760"/>
          <a:ext cx="4831004" cy="3622747"/>
          <a:chOff x="5989710" y="540760"/>
          <a:chExt cx="4831004" cy="3622747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DBD78B32-B52B-43A6-9557-F58394C5E752}"/>
              </a:ext>
            </a:extLst>
          </xdr:cNvPr>
          <xdr:cNvGrpSpPr/>
        </xdr:nvGrpSpPr>
        <xdr:grpSpPr>
          <a:xfrm>
            <a:off x="5989710" y="540760"/>
            <a:ext cx="4831004" cy="3622747"/>
            <a:chOff x="8001000" y="771526"/>
            <a:chExt cx="4815418" cy="3643312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491B9FF-746F-1E20-B8FE-6C3E471F7FFA}"/>
                </a:ext>
              </a:extLst>
            </xdr:cNvPr>
            <xdr:cNvGraphicFramePr>
              <a:graphicFrameLocks/>
            </xdr:cNvGraphicFramePr>
          </xdr:nvGraphicFramePr>
          <xdr:xfrm>
            <a:off x="8001000" y="771526"/>
            <a:ext cx="4815418" cy="36433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27C4C6A2-994C-9EA1-B089-F840B5D91255}"/>
                </a:ext>
              </a:extLst>
            </xdr:cNvPr>
            <xdr:cNvSpPr/>
          </xdr:nvSpPr>
          <xdr:spPr>
            <a:xfrm>
              <a:off x="11575120" y="2613987"/>
              <a:ext cx="861826" cy="4286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30E2F0D-531A-8D2F-E90A-2D7E160FC588}"/>
                </a:ext>
              </a:extLst>
            </xdr:cNvPr>
            <xdr:cNvSpPr txBox="1"/>
          </xdr:nvSpPr>
          <xdr:spPr>
            <a:xfrm>
              <a:off x="11498096" y="2553743"/>
              <a:ext cx="752476" cy="4953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l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BC </a:t>
              </a:r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= 3.31</a:t>
              </a:r>
            </a:p>
            <a:p>
              <a:pPr algn="l"/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l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scl </a:t>
              </a:r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= 3.45</a:t>
              </a:r>
            </a:p>
          </xdr:txBody>
        </xdr:sp>
      </xdr:grpSp>
      <xdr:sp macro="" textlink="">
        <xdr:nvSpPr>
          <xdr:cNvPr id="6" name="Right Brace 5">
            <a:extLst>
              <a:ext uri="{FF2B5EF4-FFF2-40B4-BE49-F238E27FC236}">
                <a16:creationId xmlns:a16="http://schemas.microsoft.com/office/drawing/2014/main" id="{A930828B-167B-27BC-D29B-9AC95FB4BE23}"/>
              </a:ext>
            </a:extLst>
          </xdr:cNvPr>
          <xdr:cNvSpPr/>
        </xdr:nvSpPr>
        <xdr:spPr>
          <a:xfrm rot="16200000">
            <a:off x="6943031" y="731092"/>
            <a:ext cx="166996" cy="707231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7" name="Right Brace 6">
            <a:extLst>
              <a:ext uri="{FF2B5EF4-FFF2-40B4-BE49-F238E27FC236}">
                <a16:creationId xmlns:a16="http://schemas.microsoft.com/office/drawing/2014/main" id="{F24F5415-26E3-4B5E-B1CB-DC209C98DEC5}"/>
              </a:ext>
            </a:extLst>
          </xdr:cNvPr>
          <xdr:cNvSpPr/>
        </xdr:nvSpPr>
        <xdr:spPr>
          <a:xfrm rot="16200000">
            <a:off x="7658271" y="731957"/>
            <a:ext cx="166996" cy="707231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8" name="Right Brace 7">
            <a:extLst>
              <a:ext uri="{FF2B5EF4-FFF2-40B4-BE49-F238E27FC236}">
                <a16:creationId xmlns:a16="http://schemas.microsoft.com/office/drawing/2014/main" id="{C8D14596-49D1-45A4-9E9C-30496B90FB6E}"/>
              </a:ext>
            </a:extLst>
          </xdr:cNvPr>
          <xdr:cNvSpPr/>
        </xdr:nvSpPr>
        <xdr:spPr>
          <a:xfrm rot="16200000">
            <a:off x="8373512" y="732823"/>
            <a:ext cx="166996" cy="707231"/>
          </a:xfrm>
          <a:prstGeom prst="rightBrace">
            <a:avLst>
              <a:gd name="adj1" fmla="val 35293"/>
              <a:gd name="adj2" fmla="val 50000"/>
            </a:avLst>
          </a:prstGeom>
          <a:ln w="1270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D059689F-DB62-4342-BB30-EEEE53FD4FF9}"/>
              </a:ext>
            </a:extLst>
          </xdr:cNvPr>
          <xdr:cNvSpPr txBox="1"/>
        </xdr:nvSpPr>
        <xdr:spPr>
          <a:xfrm>
            <a:off x="6741968" y="811360"/>
            <a:ext cx="710261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 </a:t>
            </a:r>
            <a:r>
              <a:rPr lang="en-US" sz="1200" i="0">
                <a:latin typeface="Times New Roman" panose="02020603050405020304" pitchFamily="18" charset="0"/>
                <a:cs typeface="Times New Roman" panose="02020603050405020304" pitchFamily="18" charset="0"/>
              </a:rPr>
              <a:t>= 1.87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E16CF86-BBBF-4A05-BDF0-18473719511B}"/>
              </a:ext>
            </a:extLst>
          </xdr:cNvPr>
          <xdr:cNvSpPr txBox="1"/>
        </xdr:nvSpPr>
        <xdr:spPr>
          <a:xfrm>
            <a:off x="7603332" y="806813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2r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 </a:t>
            </a:r>
            <a:endParaRPr lang="en-US" sz="12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EE03C89-00C1-493A-87E6-242D503F75AA}"/>
              </a:ext>
            </a:extLst>
          </xdr:cNvPr>
          <xdr:cNvSpPr txBox="1"/>
        </xdr:nvSpPr>
        <xdr:spPr>
          <a:xfrm>
            <a:off x="8340222" y="802267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3r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 </a:t>
            </a:r>
            <a:endParaRPr lang="en-US" sz="12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93115EE-C749-49C5-B54B-7BA567007C7E}"/>
              </a:ext>
            </a:extLst>
          </xdr:cNvPr>
          <xdr:cNvSpPr txBox="1"/>
        </xdr:nvSpPr>
        <xdr:spPr>
          <a:xfrm>
            <a:off x="8733560" y="805948"/>
            <a:ext cx="731909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200" i="1">
                <a:latin typeface="Aptos Narrow" panose="020B0004020202020204" pitchFamily="34" charset="0"/>
                <a:cs typeface="Times New Roman" panose="02020603050405020304" pitchFamily="18" charset="0"/>
              </a:rPr>
              <a:t>…</a:t>
            </a:r>
            <a:r>
              <a:rPr lang="en-US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    mr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t</a:t>
            </a:r>
            <a:r>
              <a:rPr lang="en-US" sz="120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550166</xdr:colOff>
      <xdr:row>43</xdr:row>
      <xdr:rowOff>23813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670A8D07-B1A5-8062-9C73-EEAAE36F2D5F}"/>
            </a:ext>
          </a:extLst>
        </xdr:cNvPr>
        <xdr:cNvGrpSpPr/>
      </xdr:nvGrpSpPr>
      <xdr:grpSpPr>
        <a:xfrm>
          <a:off x="5503935" y="4546023"/>
          <a:ext cx="4831004" cy="3622747"/>
          <a:chOff x="5503935" y="4546023"/>
          <a:chExt cx="4831004" cy="3622747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23B3A53C-B377-446D-A10F-FDDEC5623D4B}"/>
              </a:ext>
            </a:extLst>
          </xdr:cNvPr>
          <xdr:cNvGrpSpPr/>
        </xdr:nvGrpSpPr>
        <xdr:grpSpPr>
          <a:xfrm>
            <a:off x="5503935" y="4546023"/>
            <a:ext cx="4831004" cy="3622747"/>
            <a:chOff x="5989710" y="540760"/>
            <a:chExt cx="4831004" cy="3622747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35C8573A-4303-8C20-ABC3-37D0699FA71E}"/>
                </a:ext>
              </a:extLst>
            </xdr:cNvPr>
            <xdr:cNvGrpSpPr/>
          </xdr:nvGrpSpPr>
          <xdr:grpSpPr>
            <a:xfrm>
              <a:off x="5989710" y="540760"/>
              <a:ext cx="4831004" cy="3622747"/>
              <a:chOff x="8001000" y="771526"/>
              <a:chExt cx="4815418" cy="3643312"/>
            </a:xfrm>
          </xdr:grpSpPr>
          <xdr:graphicFrame macro="">
            <xdr:nvGraphicFramePr>
              <xdr:cNvPr id="23" name="Chart 22">
                <a:extLst>
                  <a:ext uri="{FF2B5EF4-FFF2-40B4-BE49-F238E27FC236}">
                    <a16:creationId xmlns:a16="http://schemas.microsoft.com/office/drawing/2014/main" id="{DD71E3CC-7F2D-0956-BE0E-321AE68ED81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8001000" y="771526"/>
              <a:ext cx="4815418" cy="364331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F6204750-B273-B518-BCD9-C2C2CCB3B2DF}"/>
                  </a:ext>
                </a:extLst>
              </xdr:cNvPr>
              <xdr:cNvSpPr/>
            </xdr:nvSpPr>
            <xdr:spPr>
              <a:xfrm>
                <a:off x="11591303" y="2358179"/>
                <a:ext cx="861826" cy="42862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692F9A96-7695-631D-3E53-3FE166652554}"/>
                  </a:ext>
                </a:extLst>
              </xdr:cNvPr>
              <xdr:cNvSpPr txBox="1"/>
            </xdr:nvSpPr>
            <xdr:spPr>
              <a:xfrm>
                <a:off x="11514280" y="2297935"/>
                <a:ext cx="752476" cy="495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BC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3.31</a:t>
                </a:r>
              </a:p>
              <a:p>
                <a:pPr algn="l"/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scl </a:t>
                </a: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= 3.45</a:t>
                </a:r>
              </a:p>
            </xdr:txBody>
          </xdr:sp>
        </xdr:grpSp>
        <xdr:sp macro="" textlink="">
          <xdr:nvSpPr>
            <xdr:cNvPr id="16" name="Right Brace 15">
              <a:extLst>
                <a:ext uri="{FF2B5EF4-FFF2-40B4-BE49-F238E27FC236}">
                  <a16:creationId xmlns:a16="http://schemas.microsoft.com/office/drawing/2014/main" id="{0890020C-4BAC-4B69-0367-39ECD6F9ECE0}"/>
                </a:ext>
              </a:extLst>
            </xdr:cNvPr>
            <xdr:cNvSpPr/>
          </xdr:nvSpPr>
          <xdr:spPr>
            <a:xfrm rot="16200000">
              <a:off x="6943031" y="731092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" name="Right Brace 16">
              <a:extLst>
                <a:ext uri="{FF2B5EF4-FFF2-40B4-BE49-F238E27FC236}">
                  <a16:creationId xmlns:a16="http://schemas.microsoft.com/office/drawing/2014/main" id="{239D05BC-E8EC-BCE5-E3D8-EADC583EAAA4}"/>
                </a:ext>
              </a:extLst>
            </xdr:cNvPr>
            <xdr:cNvSpPr/>
          </xdr:nvSpPr>
          <xdr:spPr>
            <a:xfrm rot="16200000">
              <a:off x="7658271" y="731957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ight Brace 17">
              <a:extLst>
                <a:ext uri="{FF2B5EF4-FFF2-40B4-BE49-F238E27FC236}">
                  <a16:creationId xmlns:a16="http://schemas.microsoft.com/office/drawing/2014/main" id="{84AFD63D-EAE1-2BD5-7D48-6DA4254A22EC}"/>
                </a:ext>
              </a:extLst>
            </xdr:cNvPr>
            <xdr:cNvSpPr/>
          </xdr:nvSpPr>
          <xdr:spPr>
            <a:xfrm rot="16200000">
              <a:off x="8373512" y="732823"/>
              <a:ext cx="166996" cy="707231"/>
            </a:xfrm>
            <a:prstGeom prst="rightBrace">
              <a:avLst>
                <a:gd name="adj1" fmla="val 35293"/>
                <a:gd name="adj2" fmla="val 50000"/>
              </a:avLst>
            </a:prstGeom>
            <a:ln w="12700">
              <a:solidFill>
                <a:schemeClr val="bg2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8DDF895-0CE3-E419-883F-8F724A6B2D09}"/>
                </a:ext>
              </a:extLst>
            </xdr:cNvPr>
            <xdr:cNvSpPr txBox="1"/>
          </xdr:nvSpPr>
          <xdr:spPr>
            <a:xfrm>
              <a:off x="6741968" y="751829"/>
              <a:ext cx="79014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r>
                <a: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 </a:t>
              </a:r>
              <a:r>
                <a:rPr lang="en-US" sz="1200" i="0">
                  <a:latin typeface="Times New Roman" panose="02020603050405020304" pitchFamily="18" charset="0"/>
                  <a:cs typeface="Times New Roman" panose="02020603050405020304" pitchFamily="18" charset="0"/>
                </a:rPr>
                <a:t>= 1.87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B3C42BD-BEFD-5404-8FDA-CAB0F8F530E4}"/>
                </a:ext>
              </a:extLst>
            </xdr:cNvPr>
            <xdr:cNvSpPr txBox="1"/>
          </xdr:nvSpPr>
          <xdr:spPr>
            <a:xfrm>
              <a:off x="7603332" y="758105"/>
              <a:ext cx="444212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l-GR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δ</a:t>
              </a:r>
              <a:r>
                <a:rPr lang="en-US" sz="1200" i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9CA57F-05B1-F6F0-2930-EC4FED58937B}"/>
                </a:ext>
              </a:extLst>
            </xdr:cNvPr>
            <xdr:cNvSpPr txBox="1"/>
          </xdr:nvSpPr>
          <xdr:spPr>
            <a:xfrm>
              <a:off x="8733560" y="757240"/>
              <a:ext cx="731909" cy="2710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i="1">
                  <a:latin typeface="Aptos Narrow" panose="020B0004020202020204" pitchFamily="34" charset="0"/>
                  <a:cs typeface="Times New Roman" panose="02020603050405020304" pitchFamily="18" charset="0"/>
                </a:rPr>
                <a:t>…</a:t>
              </a:r>
              <a:r>
                <a:rPr lang="en-US" sz="1200" i="1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</a:t>
              </a:r>
              <a:r>
                <a:rPr kumimoji="0" lang="el-GR" sz="1200" b="0" i="1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δ</a:t>
              </a:r>
              <a:r>
                <a:rPr kumimoji="0" lang="en-US" sz="1200" b="0" i="1" u="none" strike="noStrike" kern="0" cap="none" spc="0" normalizeH="0" baseline="-2500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</a:t>
              </a:r>
            </a:p>
            <a:p>
              <a:pPr algn="l"/>
              <a:r>
                <a:rPr lang="en-US" sz="120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E0E2354B-CF01-4DEA-8B8C-FCD5D54A4BD9}"/>
              </a:ext>
            </a:extLst>
          </xdr:cNvPr>
          <xdr:cNvSpPr txBox="1"/>
        </xdr:nvSpPr>
        <xdr:spPr>
          <a:xfrm>
            <a:off x="7831066" y="4767912"/>
            <a:ext cx="444212" cy="271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l-GR" sz="1200" i="1">
                <a:latin typeface="Times New Roman" panose="02020603050405020304" pitchFamily="18" charset="0"/>
                <a:cs typeface="Times New Roman" panose="02020603050405020304" pitchFamily="18" charset="0"/>
              </a:rPr>
              <a:t>δ</a:t>
            </a:r>
            <a:r>
              <a:rPr lang="en-US" sz="12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</a:p>
        </xdr:txBody>
      </xdr:sp>
    </xdr:grp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0.57384</cdr:x>
      <cdr:y>0.16939</cdr:y>
    </cdr:from>
    <cdr:to>
      <cdr:x>0.93568</cdr:x>
      <cdr:y>0.2442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11">
              <a:extLst xmlns:a="http://schemas.openxmlformats.org/drawingml/2006/main">
                <a:ext uri="{FF2B5EF4-FFF2-40B4-BE49-F238E27FC236}">
                  <a16:creationId xmlns:a16="http://schemas.microsoft.com/office/drawing/2014/main" id="{693115EE-C749-49C5-B54B-7BA567007C7E}"/>
                </a:ext>
              </a:extLst>
            </cdr:cNvPr>
            <cdr:cNvSpPr txBox="1"/>
          </cdr:nvSpPr>
          <cdr:spPr>
            <a:xfrm xmlns:a="http://schemas.openxmlformats.org/drawingml/2006/main">
              <a:off x="2772208" y="613640"/>
              <a:ext cx="1748055" cy="27103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𝛽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𝑛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naryPr>
                      <m:sub/>
                      <m:sup/>
                      <m:e>
                        <m:box>
                          <m:boxPr>
                            <m:ctrlPr>
                              <a:rPr lang="en-US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boxPr>
                          <m:e>
                            <m:argPr>
                              <m:argSz m:val="-1"/>
                            </m:argPr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𝑏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𝑛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(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Times New Roman" panose="020206030504050203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𝑏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4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n-US" sz="14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14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den>
                            </m:f>
                          </m:e>
                        </m:box>
                      </m:e>
                    </m:nary>
                  </m:oMath>
                </m:oMathPara>
              </a14:m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Choice>
      <mc:Fallback xmlns="">
        <cdr:sp macro="" textlink="">
          <cdr:nvSpPr>
            <cdr:cNvPr id="2" name="TextBox 11">
              <a:extLst xmlns:a="http://schemas.openxmlformats.org/drawingml/2006/main">
                <a:ext uri="{FF2B5EF4-FFF2-40B4-BE49-F238E27FC236}">
                  <a16:creationId xmlns:a16="http://schemas.microsoft.com/office/drawing/2014/main" id="{693115EE-C749-49C5-B54B-7BA567007C7E}"/>
                </a:ext>
              </a:extLst>
            </cdr:cNvPr>
            <cdr:cNvSpPr txBox="1"/>
          </cdr:nvSpPr>
          <cdr:spPr>
            <a:xfrm xmlns:a="http://schemas.openxmlformats.org/drawingml/2006/main">
              <a:off x="2772208" y="613640"/>
              <a:ext cx="1748055" cy="27103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𝛽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(𝑛𝑟_𝑡 )=∑▒□(64&amp;(𝑏_𝑛 (𝑚𝑟_𝑡))/(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𝑏〗_𝑛 (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𝑟_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))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cdr:txBody>
        </cdr:sp>
      </mc:Fallback>
    </mc:AlternateContent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ken/Documents/TC_Comparison_Code/Not_Required_for_TC_Calcs/VsMetal_Peaks_Stu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P-rsum (2)"/>
      <sheetName val="MFP-rsum"/>
      <sheetName val="MFP-PDF_Avg_Original"/>
      <sheetName val="MFP-PDF_All (3)"/>
      <sheetName val="MFP-PDF_Avg"/>
      <sheetName val="MFP-PDF_All (2)"/>
      <sheetName val="Sheet4"/>
      <sheetName val="MFP-PDF_Avg (2)"/>
      <sheetName val="Sheet1"/>
      <sheetName val="AvgSchemeTest"/>
    </sheetNames>
    <sheetDataSet>
      <sheetData sheetId="0"/>
      <sheetData sheetId="1">
        <row r="2">
          <cell r="AD2">
            <v>0.80248523098591562</v>
          </cell>
          <cell r="AF2">
            <v>0.72246877793114617</v>
          </cell>
          <cell r="AG2">
            <v>0.90368250947301099</v>
          </cell>
          <cell r="AJ2">
            <v>7500138.0307092983</v>
          </cell>
          <cell r="AM2">
            <v>2.0900000000000005E-10</v>
          </cell>
          <cell r="AQ2">
            <v>3.5020163515113658E-10</v>
          </cell>
          <cell r="AV2">
            <v>4269.1087370242376</v>
          </cell>
          <cell r="AY2">
            <v>64.2</v>
          </cell>
          <cell r="BA2">
            <v>107.57389941006203</v>
          </cell>
          <cell r="BG2">
            <v>4.5513588360128237E-10</v>
          </cell>
        </row>
        <row r="3">
          <cell r="AD3">
            <v>0.53093354166666662</v>
          </cell>
          <cell r="AF3">
            <v>0.49109756053584946</v>
          </cell>
          <cell r="AG3">
            <v>0.59812175800891498</v>
          </cell>
          <cell r="AH3">
            <v>0.53220717521206062</v>
          </cell>
          <cell r="AJ3">
            <v>5067818.8301188033</v>
          </cell>
          <cell r="AM3">
            <v>2.3499999999999996E-10</v>
          </cell>
          <cell r="AQ3">
            <v>3.6556534571800534E-10</v>
          </cell>
          <cell r="AV3">
            <v>3244.1979935953195</v>
          </cell>
          <cell r="AY3">
            <v>70.2</v>
          </cell>
          <cell r="BA3">
            <v>109.20292455065521</v>
          </cell>
          <cell r="BG3">
            <v>3.6428468840931505E-10</v>
          </cell>
        </row>
        <row r="4">
          <cell r="AD4">
            <v>0.36108717500000004</v>
          </cell>
          <cell r="AF4">
            <v>0.32961603483108115</v>
          </cell>
          <cell r="AG4">
            <v>0.40376310518547792</v>
          </cell>
          <cell r="AH4">
            <v>0.3607730892591835</v>
          </cell>
          <cell r="AJ4">
            <v>3473884.1112260493</v>
          </cell>
          <cell r="AM4">
            <v>2.710000000000001E-10</v>
          </cell>
          <cell r="AQ4">
            <v>4.2816386420947E-10</v>
          </cell>
          <cell r="AV4">
            <v>2869.8038485242841</v>
          </cell>
          <cell r="AY4">
            <v>66.900000000000006</v>
          </cell>
          <cell r="BA4">
            <v>105.69801666278057</v>
          </cell>
          <cell r="BG4">
            <v>3.8914296812648964E-10</v>
          </cell>
        </row>
        <row r="5">
          <cell r="AD5">
            <v>0.32557537815126053</v>
          </cell>
          <cell r="AF5">
            <v>0.29579640687862813</v>
          </cell>
          <cell r="AG5"/>
          <cell r="AJ5">
            <v>2927863.2846601852</v>
          </cell>
          <cell r="AV5"/>
          <cell r="AY5">
            <v>69.5</v>
          </cell>
        </row>
        <row r="6">
          <cell r="AD6">
            <v>0.301421612691466</v>
          </cell>
          <cell r="AF6">
            <v>0.28095436645910149</v>
          </cell>
          <cell r="AG6"/>
          <cell r="AJ6">
            <v>1975018.424181133</v>
          </cell>
          <cell r="AV6"/>
          <cell r="AY6">
            <v>74.099999999999994</v>
          </cell>
        </row>
        <row r="7">
          <cell r="AD7">
            <v>0.40225025742942672</v>
          </cell>
          <cell r="AF7">
            <v>0.37226977205251366</v>
          </cell>
          <cell r="AG7">
            <v>0.467412663978306</v>
          </cell>
          <cell r="AH7">
            <v>0.40224439226966308</v>
          </cell>
          <cell r="AJ7">
            <v>3501264.0476249694</v>
          </cell>
          <cell r="AM7">
            <v>2.5700000000000004E-10</v>
          </cell>
          <cell r="AQ7">
            <v>3.9139936572305044E-10</v>
          </cell>
          <cell r="AV7">
            <v>3110.478857915858</v>
          </cell>
          <cell r="AY7">
            <v>65.02</v>
          </cell>
          <cell r="BA7">
            <v>99.022516573201301</v>
          </cell>
          <cell r="BG7">
            <v>5.0986492855295244E-10</v>
          </cell>
        </row>
        <row r="8">
          <cell r="AD8">
            <v>0.30415923375652942</v>
          </cell>
          <cell r="AF8">
            <v>0.28617343538334455</v>
          </cell>
          <cell r="AG8">
            <v>0.346144472817148</v>
          </cell>
          <cell r="AH8">
            <v>0.30612615309310248</v>
          </cell>
          <cell r="AJ8">
            <v>2836087.8612926682</v>
          </cell>
          <cell r="AM8">
            <v>2.8300000000000001E-10</v>
          </cell>
          <cell r="AQ8">
            <v>4.3125848172746209E-10</v>
          </cell>
          <cell r="AV8">
            <v>2657.1618000655158</v>
          </cell>
          <cell r="AY8">
            <v>69.62</v>
          </cell>
          <cell r="BA8">
            <v>106.09263426807742</v>
          </cell>
          <cell r="BG8">
            <v>3.7944326183477726E-10</v>
          </cell>
        </row>
        <row r="9">
          <cell r="AD9">
            <v>0.25593314786786775</v>
          </cell>
          <cell r="AF9">
            <v>0.2397757949166118</v>
          </cell>
          <cell r="AG9">
            <v>0.28781059971565698</v>
          </cell>
          <cell r="AH9">
            <v>0.25652333922633108</v>
          </cell>
          <cell r="AJ9">
            <v>2090572.0400192747</v>
          </cell>
          <cell r="AM9">
            <v>3.1899999999999998E-10</v>
          </cell>
          <cell r="AQ9">
            <v>4.4152298321701493E-10</v>
          </cell>
          <cell r="AV9">
            <v>2210.6377568228363</v>
          </cell>
          <cell r="AY9">
            <v>73.599999999999994</v>
          </cell>
          <cell r="BA9">
            <v>101.86862559489748</v>
          </cell>
          <cell r="BG9">
            <v>4.5335791979318428E-10</v>
          </cell>
        </row>
        <row r="10">
          <cell r="AD10">
            <v>0.51944334083333332</v>
          </cell>
          <cell r="AH10">
            <v>0.51979938659180325</v>
          </cell>
          <cell r="AJ10">
            <v>5635429.4347171905</v>
          </cell>
          <cell r="AM10">
            <v>1.6699999999999999E-10</v>
          </cell>
          <cell r="AQ10">
            <v>2.5678418596676501E-10</v>
          </cell>
          <cell r="AV10">
            <v>3917.5733473420601</v>
          </cell>
          <cell r="AY10">
            <v>87.9</v>
          </cell>
          <cell r="BA10">
            <v>135.15766435017156</v>
          </cell>
          <cell r="BG10"/>
        </row>
        <row r="11">
          <cell r="AD11">
            <v>0.55165642193242059</v>
          </cell>
          <cell r="AH11">
            <v>0.55165642193242048</v>
          </cell>
          <cell r="AJ11">
            <v>4376776.1290409379</v>
          </cell>
          <cell r="AM11">
            <v>2.0499999999999996E-10</v>
          </cell>
          <cell r="AQ11">
            <v>2.4179714709519052E-10</v>
          </cell>
          <cell r="AV11">
            <v>2566.1164547331541</v>
          </cell>
          <cell r="AY11">
            <v>94.9</v>
          </cell>
          <cell r="BA11">
            <v>111.93438663089556</v>
          </cell>
          <cell r="BG11">
            <v>4.369716780765129E-10</v>
          </cell>
        </row>
        <row r="12">
          <cell r="AD12">
            <v>0.42810664299445522</v>
          </cell>
          <cell r="AH12">
            <v>0.42810664299445522</v>
          </cell>
          <cell r="AJ12">
            <v>4251969.9503061362</v>
          </cell>
          <cell r="AM12">
            <v>2.3299999999999997E-10</v>
          </cell>
          <cell r="AQ12">
            <v>3.0739804614922655E-10</v>
          </cell>
          <cell r="AV12">
            <v>2256.4072031288506</v>
          </cell>
          <cell r="AY12">
            <v>99.914000000000001</v>
          </cell>
          <cell r="BA12">
            <v>131.8170316864971</v>
          </cell>
          <cell r="BG12">
            <v>6.843135125098611E-10</v>
          </cell>
        </row>
        <row r="13">
          <cell r="AD13">
            <v>0.31989463805530149</v>
          </cell>
          <cell r="AH13">
            <v>0.31989463805530149</v>
          </cell>
          <cell r="AJ13">
            <v>3336418.376259014</v>
          </cell>
          <cell r="AM13">
            <v>2.5100000000000012E-10</v>
          </cell>
          <cell r="AQ13">
            <v>3.0633262750424528E-10</v>
          </cell>
          <cell r="AV13">
            <v>1706.9195730176784</v>
          </cell>
          <cell r="AY13">
            <v>99</v>
          </cell>
          <cell r="BA13">
            <v>120.82442280047917</v>
          </cell>
          <cell r="BG13">
            <v>6.1875642429403127E-10</v>
          </cell>
        </row>
        <row r="14">
          <cell r="AD14">
            <v>0.28861057804145579</v>
          </cell>
          <cell r="AF14">
            <v>0.26994066201236538</v>
          </cell>
          <cell r="AG14">
            <v>0.33370075449931308</v>
          </cell>
          <cell r="AJ14">
            <v>2578106.0402255282</v>
          </cell>
          <cell r="AQ14">
            <v>4.004371592485416E-10</v>
          </cell>
          <cell r="AV14">
            <v>3325.369452890061</v>
          </cell>
          <cell r="AY14">
            <v>92.048000000000002</v>
          </cell>
          <cell r="BA14">
            <v>145.68948472138237</v>
          </cell>
          <cell r="BG14">
            <v>6.1827251968353004E-10</v>
          </cell>
        </row>
        <row r="15">
          <cell r="AD15">
            <v>0.37311089961278132</v>
          </cell>
          <cell r="AF15">
            <v>0.37024310108699077</v>
          </cell>
          <cell r="AG15">
            <v>0.40039499504213499</v>
          </cell>
          <cell r="AJ15">
            <v>2281252.1331538479</v>
          </cell>
          <cell r="AQ15"/>
          <cell r="AV15"/>
          <cell r="AY15">
            <v>102.533</v>
          </cell>
          <cell r="BG15">
            <v>7.7916751857846874E-10</v>
          </cell>
        </row>
        <row r="16">
          <cell r="AD16">
            <v>0.33599408249358714</v>
          </cell>
          <cell r="AF16">
            <v>0.32666098973626656</v>
          </cell>
          <cell r="AG16">
            <v>0.36759447686851399</v>
          </cell>
          <cell r="AJ16">
            <v>2019673.1502314182</v>
          </cell>
          <cell r="AQ16">
            <v>3.3553552242144542E-10</v>
          </cell>
          <cell r="AV16">
            <v>2102.0122177701733</v>
          </cell>
          <cell r="AY16">
            <v>104.6</v>
          </cell>
          <cell r="BG16">
            <v>7.4001853993764589E-10</v>
          </cell>
        </row>
        <row r="17">
          <cell r="AD17">
            <v>0.70252146004029536</v>
          </cell>
          <cell r="AF17">
            <v>0.43236429370237983</v>
          </cell>
          <cell r="AG17"/>
          <cell r="AH17">
            <v>0.69828459522735364</v>
          </cell>
          <cell r="AJ17">
            <v>2539896.4555242937</v>
          </cell>
          <cell r="AM17">
            <v>3.3300000000000009E-10</v>
          </cell>
          <cell r="AQ17">
            <v>2.4428327814458135E-10</v>
          </cell>
          <cell r="AV17">
            <v>1332.8843910654564</v>
          </cell>
          <cell r="AY17">
            <v>155.6</v>
          </cell>
          <cell r="BA17">
            <v>114.14557981770825</v>
          </cell>
        </row>
        <row r="18">
          <cell r="AD18">
            <v>0.56673048612652599</v>
          </cell>
          <cell r="AF18"/>
          <cell r="AG18"/>
          <cell r="AH18">
            <v>0.53083304545912946</v>
          </cell>
          <cell r="AJ18">
            <v>1883224.6107082034</v>
          </cell>
          <cell r="AM18">
            <v>3.6899999999999997E-10</v>
          </cell>
          <cell r="AQ18">
            <v>2.8444875708406813E-10</v>
          </cell>
          <cell r="AV18">
            <v>1361.7772257843667</v>
          </cell>
          <cell r="AY18">
            <v>141</v>
          </cell>
          <cell r="BA18">
            <v>108.69180148740814</v>
          </cell>
        </row>
        <row r="19">
          <cell r="AV19"/>
          <cell r="AY19">
            <v>123</v>
          </cell>
        </row>
        <row r="20">
          <cell r="AV20"/>
          <cell r="AY20">
            <v>168</v>
          </cell>
        </row>
        <row r="21">
          <cell r="AV21"/>
          <cell r="AY21">
            <v>174</v>
          </cell>
        </row>
        <row r="22">
          <cell r="AV22"/>
          <cell r="AY22">
            <v>150</v>
          </cell>
        </row>
        <row r="23">
          <cell r="AD23">
            <v>0.33375408853502531</v>
          </cell>
          <cell r="AJ23">
            <v>2227290.4609544491</v>
          </cell>
          <cell r="AV23">
            <v>3031.5021274627966</v>
          </cell>
          <cell r="AY23">
            <v>79.503360000000001</v>
          </cell>
          <cell r="BA23">
            <v>122.46486458212317</v>
          </cell>
          <cell r="BG23">
            <v>1.0517297026523455E-9</v>
          </cell>
        </row>
        <row r="24">
          <cell r="AD24">
            <v>0.71488518084414443</v>
          </cell>
          <cell r="AF24">
            <v>0.60953584013575091</v>
          </cell>
          <cell r="AG24">
            <v>1.28305844543897</v>
          </cell>
          <cell r="AH24">
            <v>0.62426158899966577</v>
          </cell>
          <cell r="AJ24">
            <v>6652079.2470877897</v>
          </cell>
          <cell r="AM24">
            <v>1.7003600000000001E-10</v>
          </cell>
          <cell r="AQ24">
            <v>2.9961734518972644E-10</v>
          </cell>
          <cell r="AV24">
            <v>4489.23185837235</v>
          </cell>
          <cell r="AY24">
            <v>72.25800000000001</v>
          </cell>
          <cell r="BA24">
            <v>127.32450850831152</v>
          </cell>
          <cell r="BG24">
            <v>3.8338347353322035E-9</v>
          </cell>
        </row>
        <row r="25">
          <cell r="AD25">
            <v>0.54326858976638281</v>
          </cell>
          <cell r="AF25">
            <v>0.48209294921946866</v>
          </cell>
          <cell r="AG25">
            <v>0.85046707066330796</v>
          </cell>
          <cell r="AH25">
            <v>0.39969771709442198</v>
          </cell>
          <cell r="AJ25">
            <v>4886411.1374480864</v>
          </cell>
          <cell r="AM25">
            <v>1.7512524999999998E-10</v>
          </cell>
          <cell r="AQ25">
            <v>3.4185873702814765E-10</v>
          </cell>
          <cell r="AV25">
            <v>3928.5026616668206</v>
          </cell>
          <cell r="AY25">
            <v>66.024000000000001</v>
          </cell>
          <cell r="BA25">
            <v>128.88422002850203</v>
          </cell>
          <cell r="BG25">
            <v>2.8369914793196441E-9</v>
          </cell>
        </row>
        <row r="26">
          <cell r="AD26">
            <v>0.51681594759710647</v>
          </cell>
          <cell r="AH26">
            <v>0.43510012746839721</v>
          </cell>
          <cell r="AJ26">
            <v>9658755.4388015848</v>
          </cell>
          <cell r="AM26">
            <v>1.7027145000000005E-10</v>
          </cell>
          <cell r="AQ26">
            <v>4.5395271003303991E-10</v>
          </cell>
          <cell r="AV26">
            <v>4749.3953484419217</v>
          </cell>
          <cell r="AY26">
            <v>82.635000000000005</v>
          </cell>
          <cell r="BA26">
            <v>220.30928962888524</v>
          </cell>
          <cell r="BG26">
            <v>6.5543423785317211E-9</v>
          </cell>
        </row>
        <row r="27">
          <cell r="AD27">
            <v>0.66880040429891452</v>
          </cell>
          <cell r="AH27">
            <v>0.58242618348722919</v>
          </cell>
          <cell r="AJ27">
            <v>8050713.0166514972</v>
          </cell>
          <cell r="AM27">
            <v>1.7351204000000004E-10</v>
          </cell>
          <cell r="AQ27">
            <v>3.6941149917364205E-10</v>
          </cell>
          <cell r="AV27">
            <v>4937.466210619561</v>
          </cell>
          <cell r="AY27">
            <v>73.469400000000007</v>
          </cell>
          <cell r="BA27">
            <v>156.41820128094841</v>
          </cell>
        </row>
        <row r="28">
          <cell r="AH28">
            <v>0.66180310738547476</v>
          </cell>
          <cell r="AM28">
            <v>1.7597899999999999E-10</v>
          </cell>
          <cell r="AQ28">
            <v>2.6219323241660306E-10</v>
          </cell>
          <cell r="AV28">
            <v>3795.8303809762697</v>
          </cell>
          <cell r="AY28">
            <v>70.599000000000004</v>
          </cell>
          <cell r="BA28">
            <v>105.18630072553975</v>
          </cell>
          <cell r="BG28">
            <v>3.2730306153599925E-9</v>
          </cell>
        </row>
        <row r="29">
          <cell r="AD29">
            <v>0.71187944439400763</v>
          </cell>
          <cell r="AH29">
            <v>0.63042335803936922</v>
          </cell>
          <cell r="AJ29">
            <v>5525866.2760937605</v>
          </cell>
          <cell r="AM29">
            <v>1.7534405000000001E-10</v>
          </cell>
          <cell r="AQ29">
            <v>2.4769981669004444E-10</v>
          </cell>
          <cell r="AV29">
            <v>3449.509084380104</v>
          </cell>
          <cell r="AY29">
            <v>71.578500000000005</v>
          </cell>
          <cell r="BA29">
            <v>101.11538617334517</v>
          </cell>
          <cell r="BG29">
            <v>3.304548673097048E-9</v>
          </cell>
        </row>
        <row r="30">
          <cell r="AD30">
            <v>0.68421941732878677</v>
          </cell>
          <cell r="AH30">
            <v>0.60277957505526136</v>
          </cell>
          <cell r="AJ30">
            <v>5177440.5902498215</v>
          </cell>
          <cell r="AM30">
            <v>1.7473239999999999E-10</v>
          </cell>
          <cell r="AQ30">
            <v>2.3305383798131233E-10</v>
          </cell>
          <cell r="AV30">
            <v>3132.7084908009401</v>
          </cell>
          <cell r="AY30">
            <v>72.558000000000007</v>
          </cell>
          <cell r="BA30">
            <v>96.776100919165899</v>
          </cell>
          <cell r="BG30">
            <v>3.352633671505172E-9</v>
          </cell>
        </row>
        <row r="31">
          <cell r="AD31">
            <v>0.31844809429710103</v>
          </cell>
          <cell r="AH31">
            <v>0.26536256928250768</v>
          </cell>
          <cell r="AJ31">
            <v>2466604.5183689054</v>
          </cell>
          <cell r="AM31">
            <v>2.2842400000000006E-10</v>
          </cell>
          <cell r="AQ31">
            <v>3.9568089407094871E-10</v>
          </cell>
          <cell r="AV31">
            <v>3532.8676528038841</v>
          </cell>
          <cell r="AY31">
            <v>86.14464000000001</v>
          </cell>
          <cell r="BA31">
            <v>149.22157117737191</v>
          </cell>
        </row>
        <row r="32">
          <cell r="AD32">
            <v>0.36878913157884635</v>
          </cell>
          <cell r="AH32">
            <v>0.28383633978433381</v>
          </cell>
          <cell r="AJ32">
            <v>2358413.9237225675</v>
          </cell>
          <cell r="AM32">
            <v>2.2510131898000011E-10</v>
          </cell>
          <cell r="AQ32">
            <v>3.6921059218577845E-10</v>
          </cell>
          <cell r="AV32">
            <v>3321.033763100063</v>
          </cell>
          <cell r="AY32">
            <v>74.557488799999987</v>
          </cell>
          <cell r="BA32">
            <v>122.288997312265</v>
          </cell>
        </row>
        <row r="33">
          <cell r="AH33">
            <v>0.33711022330844781</v>
          </cell>
          <cell r="AM33">
            <v>1.9348255000000005E-10</v>
          </cell>
          <cell r="AQ33">
            <v>4.7554516048842846E-10</v>
          </cell>
          <cell r="AV33">
            <v>4633.4649403519479</v>
          </cell>
          <cell r="AY33">
            <v>69.858500000000006</v>
          </cell>
          <cell r="BA33">
            <v>171.69957494348131</v>
          </cell>
        </row>
        <row r="34">
          <cell r="AD34">
            <v>0.40937294269104435</v>
          </cell>
          <cell r="AJ34">
            <v>2972199.4380712733</v>
          </cell>
          <cell r="AV34">
            <v>3647.3492314127866</v>
          </cell>
          <cell r="AY34">
            <v>68.606440000000006</v>
          </cell>
          <cell r="BA34">
            <v>120.0218356093734</v>
          </cell>
        </row>
        <row r="35">
          <cell r="AH35">
            <v>0.56745362404407373</v>
          </cell>
          <cell r="AM35">
            <v>1.7668000000000003E-10</v>
          </cell>
          <cell r="AQ35">
            <v>2.6946274087941797E-10</v>
          </cell>
          <cell r="AV35">
            <v>3505.1330931193306</v>
          </cell>
          <cell r="AY35">
            <v>66.600000000000009</v>
          </cell>
          <cell r="BA35">
            <v>101.57470309355466</v>
          </cell>
          <cell r="BG35">
            <v>8.4406168446792717E-10</v>
          </cell>
        </row>
        <row r="36">
          <cell r="AD36">
            <v>0.30071201279338977</v>
          </cell>
          <cell r="AF36">
            <v>0.2841819778633502</v>
          </cell>
          <cell r="AG36">
            <v>0.29301529878909899</v>
          </cell>
          <cell r="AH36">
            <v>0.24768639859495001</v>
          </cell>
          <cell r="AJ36">
            <v>1715696.7182316666</v>
          </cell>
          <cell r="AM36">
            <v>2.3736419999999999E-10</v>
          </cell>
          <cell r="AQ36">
            <v>2.292914368173461E-10</v>
          </cell>
          <cell r="AV36">
            <v>1402.3754205361033</v>
          </cell>
          <cell r="AY36">
            <v>99.360600000000005</v>
          </cell>
          <cell r="BA36">
            <v>95.981343172363822</v>
          </cell>
          <cell r="BG36">
            <v>1.8511567318115176E-9</v>
          </cell>
        </row>
        <row r="37">
          <cell r="AD37">
            <v>0.30324621782896993</v>
          </cell>
          <cell r="AF37">
            <v>0.28696722884280707</v>
          </cell>
          <cell r="AG37">
            <v>0.316517898560285</v>
          </cell>
          <cell r="AH37">
            <v>0.25155328115048259</v>
          </cell>
          <cell r="AJ37">
            <v>1954308.6049635103</v>
          </cell>
          <cell r="AM37">
            <v>2.3873015199999994E-10</v>
          </cell>
          <cell r="AQ37">
            <v>2.6162169932534978E-10</v>
          </cell>
          <cell r="AV37">
            <v>1611.4557750945648</v>
          </cell>
          <cell r="AY37">
            <v>97.109960000000001</v>
          </cell>
          <cell r="BA37">
            <v>106.42171733973825</v>
          </cell>
          <cell r="BG37">
            <v>1.3749528367298905E-9</v>
          </cell>
        </row>
        <row r="38">
          <cell r="AD38">
            <v>0.46048978694812209</v>
          </cell>
          <cell r="AH38">
            <v>0.25347401642401401</v>
          </cell>
          <cell r="AJ38">
            <v>3561520.7957820492</v>
          </cell>
          <cell r="AM38">
            <v>1.6982200000000003E-10</v>
          </cell>
          <cell r="AQ38">
            <v>3.3093601826261176E-10</v>
          </cell>
          <cell r="AV38">
            <v>2628.0818161314883</v>
          </cell>
          <cell r="AY38">
            <v>100.416</v>
          </cell>
          <cell r="BA38">
            <v>195.68295750761632</v>
          </cell>
        </row>
        <row r="39">
          <cell r="AD39">
            <v>0.47293540020198699</v>
          </cell>
          <cell r="AH39">
            <v>0.24265777297582219</v>
          </cell>
          <cell r="AJ39">
            <v>3283046.6227647751</v>
          </cell>
          <cell r="AM39">
            <v>1.68408E-10</v>
          </cell>
          <cell r="AQ39">
            <v>3.171208353723041E-10</v>
          </cell>
          <cell r="AV39">
            <v>2395.4780479310921</v>
          </cell>
          <cell r="AY39">
            <v>110.928</v>
          </cell>
          <cell r="BA39">
            <v>208.88306984335037</v>
          </cell>
        </row>
        <row r="40">
          <cell r="AD40">
            <v>0.48970392040175686</v>
          </cell>
          <cell r="AH40">
            <v>0.23920093487850599</v>
          </cell>
          <cell r="AJ40">
            <v>3117014.0748641295</v>
          </cell>
          <cell r="AM40">
            <v>1.6994999999999999E-10</v>
          </cell>
          <cell r="AQ40">
            <v>3.1210834180383304E-10</v>
          </cell>
          <cell r="AV40">
            <v>2231.6285138229914</v>
          </cell>
          <cell r="AY40">
            <v>121.44</v>
          </cell>
          <cell r="BA40">
            <v>223.02110637633118</v>
          </cell>
        </row>
        <row r="41">
          <cell r="AD41">
            <v>0.60645622271550126</v>
          </cell>
          <cell r="AH41">
            <v>0.60645622271550126</v>
          </cell>
          <cell r="AJ41">
            <v>3869588.2095969468</v>
          </cell>
          <cell r="AM41">
            <v>3.1000000000000002E-10</v>
          </cell>
          <cell r="AQ41">
            <v>2.8676430958411341E-10</v>
          </cell>
          <cell r="AV41">
            <v>1297.8397624081001</v>
          </cell>
          <cell r="AY41">
            <v>75.38</v>
          </cell>
          <cell r="BA41">
            <v>69.72997953693698</v>
          </cell>
          <cell r="BG41">
            <v>1.2781802750592626E-9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5T05:07:52.582"/>
    </inkml:context>
    <inkml:brush xml:id="br0">
      <inkml:brushProperty name="width" value="0.05" units="cm"/>
      <inkml:brushProperty name="height" value="0.05" units="cm"/>
      <inkml:brushProperty name="color" value="#BF9000"/>
      <inkml:brushProperty name="ignorePressure" value="1"/>
    </inkml:brush>
  </inkml:definitions>
  <inkml:trace contextRef="#ctx0" brushRef="#br0">1 1221,'37'0,"-27"1,1 0,1-1,-1 0,0 0,1-1,-1 0,-1-1,1-1,1 0,-1 0,-1 0,0-1,1 0,5-5,172-127,-163 112,-1 2,-3-5,1 0,-2 1,-2-3,-2 1,0-1,3-14,-10 28,-5 5,0-2,-1 1,1-1,-2 0,-1 0,1 1,-2-1,1-4,10-71,9-31,-17 104,1 1,-1 0,3 0,-1 1,0-1,3 0,-1 1,6-9,13-21,-21 31,0-1,1 2,1 0,1 0,-1 0,1 1,0-1,1 1,1 1,0-1,-1 2,2-1,6-2,144-84,-126 80,1 0,-1 3,3 0,-1 3,1 1,0 1,0 2,2 2,-2 1,1 2,34 4,26-4,1352-1,-1436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5T05:09:30.352"/>
    </inkml:context>
    <inkml:brush xml:id="br0">
      <inkml:brushProperty name="width" value="0.05" units="cm"/>
      <inkml:brushProperty name="height" value="0.05" units="cm"/>
      <inkml:brushProperty name="color" value="#4472C4"/>
      <inkml:brushProperty name="ignorePressure" value="1"/>
    </inkml:brush>
  </inkml:definitions>
  <inkml:trace contextRef="#ctx0" brushRef="#br0">3511 3087,'11'-2,"0"-1,1-2,-2 2,2-4,-1 3,-1-3,-1 0,3-2,-3 2,2-1,-2-2,7-8,-1 3,3-4,-2 1,0-2,-2 0,0-1,0-1,-1-1,-2 0,3-7,3-28,-1 2,0-3,-5-1,0 0,3-40,1-6,2-20,55-387,-20 29,-43 348,-6-2,-3-48,-3 29,13-193,-10 340</inkml:trace>
  <inkml:trace contextRef="#ctx0" brushRef="#br0" timeOffset="123250.31">4614 3087,'-11'-2,"0"-1,-1-2,1 2,0-4,0 3,0-3,0 0,2-2,-3 2,3-1,0-2,-6-8,0 3,-3-4,2 1,0-2,0 0,4-1,-2-1,0-1,3 0,-3-7,-4-28,1 2,4-3,-1-1,5 0,-4-40,-3-6,-4-20,-48-387,16 29,43 348,4-2,7-48,1 29,-12-193,9 340</inkml:trace>
  <inkml:trace contextRef="#ctx0" brushRef="#br0" timeOffset="15121.55">1458 3085,'2'0,"10"2,-3-2,2 0,-2 0,2-2,0 0,-2 1,2-2,-2 0,2-1,-2-1,1 1,-1-2,3-2,3-10,2 0,-1-1,-3-1,1-1,-2 1,0-3,-1 1,4-15,50-153,-46 128,-9 16,-1-2,0 1,-3-2,-1 1,-2-20,3-26,32-376,-7 86,-11 193,-4-1,-7-91,-11 242,2 28,-2-2,2 2,2-2,-2 2,2-1,-2 0,2 0,3-6,20-26,-22 37</inkml:trace>
  <inkml:trace contextRef="#ctx0" brushRef="#br0" timeOffset="133297.94">2564 3082,'-2'0,"-10"1,3-1,-1 0,0 0,-1-1,0-1,2 1,-1-2,0-1,-1 1,2-2,0 0,-1 0,-2-4,-3-8,-2 0,1-3,3 0,-1 0,2-1,0-1,2-1,-6-15,-49-152,47 129,7 15,2-2,0 1,2-2,3 1,2-18,-5-30,-31-374,6 86,13 193,3-1,7-91,11 242,-2 27,2 0,-2 0,-2 2,2-3,0 1,-2 1,0-2,-3-3,-20-30,21 40</inkml:trace>
  <inkml:trace contextRef="#ctx0" brushRef="#br0" timeOffset="17684.94">0 3274,'0'0</inkml:trace>
  <inkml:trace contextRef="#ctx0" brushRef="#br0" timeOffset="27016.78">161 3094,'53'-34,"92"-83,-125 94,-4 0,2-1,-2-4,-2 2,-2 0,2-2,-3-1,-2 1,0-1,0-1,-2 0,-1-3,26-81,-10 21,-4 1,-2 0,-3-3,-2-77,3-2,10-315,-24-146,7 552,2 0,3 0,12-32,-7 21,18-64,-34 144</inkml:trace>
  <inkml:trace contextRef="#ctx0" brushRef="#br0" timeOffset="133298.94">1557 3274,'0'0</inkml:trace>
  <inkml:trace contextRef="#ctx0" brushRef="#br0" timeOffset="133299.94">1396 3094,'-54'-34,"-92"-83,129 94,0 0,-1-1,2-4,2 2,2 0,-2-2,3-1,2 1,0-1,0-1,2 0,-1-3,-19-81,2 21,7 1,2 0,3-3,2-77,-3-2,-11-315,25-146,-6 552,-3 0,-4 0,-10-32,5 21,-16-64,32 144</inkml:trace>
  <inkml:trace contextRef="#ctx0" brushRef="#br0" timeOffset="-163302.22">4702 3072,'1'0,"7"2,-3-2,4 0,-2 0,0-2,2 1,-3-1,2 0,-2-1,3-1,-2 1,0 0,-1-2,2-2,4-7,0 1,-2-5,-1 4,3-2,-3-3,0 1,-3-1,5-10,36-126,-33 105,-8 12,3 0,-5-1,1 1,-3-2,0-15,5-22,20-304,-4 68,-8 158,-6 0,-2-75,-7 197,-3 21,3 1,0-1,0 2,3-2,-3 1,2-1,-2 3,4-8,12-21,-13 30</inkml:trace>
  <inkml:trace contextRef="#ctx0" brushRef="#br0" timeOffset="-163301.22">5496 3071,'0'0,"-9"0,2 1,0-1,-2-1,3 1,0-2,-3 0,2-1,0 2,0-3,1 1,-1-2,0 2,-2-5,-5-6,5-1,-1 0,-1-2,2 1,0 0,0-3,-1 1,0-13,-37-123,34 105,6 10,0 1,0-2,3 2,1-1,1-16,-2-22,-23-304,5 69,6 157,5-2,3-72,11 196,-3 21,0 1,0-1,0 0,0 1,-3 2,3-3,0 0,-3-3,-15-23,16 30</inkml:trace>
  <inkml:trace contextRef="#ctx0" brushRef="#br0" timeOffset="-147454.19">7171 3185,'0'0</inkml:trace>
  <inkml:trace contextRef="#ctx0" brushRef="#br0" timeOffset="-147453.19">7254 3067,'26'-22,"48"-55,-63 62,-2 1,-2-3,2 0,-2-1,0-1,-1 4,1-5,-3 1,0-1,1 2,-1-2,-1-1,12-53,-3 12,-2 2,-2 0,-1-3,-1-50,1-1,3-205,-10-96,4 360,1 1,2-1,5-20,-3 13,9-42,-18 96</inkml:trace>
  <inkml:trace contextRef="#ctx0" brushRef="#br0" timeOffset="-147452.19">7966 3185,'0'0</inkml:trace>
  <inkml:trace contextRef="#ctx0" brushRef="#br0" timeOffset="-147451.19">7883 3067,'-27'-22,"-46"-55,61 62,3 1,3-3,-3 0,3-1,-1-1,1 4,-2-5,4 1,-1-1,1 2,1-2,-1-1,-11-53,3 12,4 2,-1 0,2-3,1-50,1-1,-8-205,13-96,-5 360,0 1,-1-1,-6-20,3 13,-8-42,17 96</inkml:trace>
  <inkml:trace contextRef="#ctx0" brushRef="#br0" timeOffset="-138461.37">6286 3072,'0'0,"7"0,2 2,-3-2,2-2,1 2,-2-1,-1-3,3 2,-2 0,-1-4,1 3,0-2,-1 0,3-3,3-9,-1-1,0 0,1 0,-4-2,0-2,1 1,0-1,3-14,34-149,-34 127,-3 12,-3 2,-1-6,-1 5,1-1,-3-21,3-24,21-364,-4 82,-6 188,-4-2,-8-86,-4 233,0 25,0 3,0-2,0 1,0 0,0-1,2 1,1 0,-1-7,16-25,-16 36</inkml:trace>
  <inkml:trace contextRef="#ctx0" brushRef="#br0" timeOffset="-138460.37">7082 3069,'-2'0,"-5"2,-2-2,2 0,1 0,-3-2,1 0,1 0,1 0,-3-2,3 1,0-2,-1-1,-1 1,-1-2,-1-10,-2 0,1-3,1 3,1-2,0-4,0 3,2-3,-7-13,-30-148,30 125,5 14,3-1,1 0,0-2,1 0,2-16,-3-28,-22-363,5 81,7 190,6-2,2-88,7 234,0 27,2 0,-2-2,0 1,-2 2,2-2,-3 1,1 0,0-6,-16-27,16 39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5T05:15:28.915"/>
    </inkml:context>
    <inkml:brush xml:id="br0">
      <inkml:brushProperty name="width" value="0.05" units="cm"/>
      <inkml:brushProperty name="height" value="0.05" units="cm"/>
      <inkml:brushProperty name="color" value="#548235"/>
      <inkml:brushProperty name="ignorePressure" value="1"/>
    </inkml:brush>
  </inkml:definitions>
  <inkml:trace contextRef="#ctx0" brushRef="#br0">1 2129,'43'-29,"-36"21,40-38,-3-2,0-4,-3-2,-1-2,-2-5,-1 0,-4-2,-1-3,-1-1,-1-13,-5 2,-3-1,-4-2,-1-1,-3 0,0-25,-1-5,-5-2,-3 1,-6-101,0 188,1-1,1 0,1 3,0-4,1 3,0-1,3 0,-1 2,7-23,-9 40,1-1,-1 2,1-1,0 0,0 1,1 0,-1-1,0 1,2 0,-2 1,2 0,-2 1,2 0,0 0,5-2,-10 5,0 1,1 0,-1-1,0 1,1 0,-1 0,0 0,0 1,1-1,-1 0,0 0,1 1,-1-1,-1 1,2 0,-1-1,0 1,0 0,0 0,1 0,-2 2,1-3,0 1,0 0,0 0,0 1,-1-1,1 0,0 1,0-1,-1 1,1-1,-1 1,0-1,1 2,12 68,-11-60,2 24,3 36,5-2,1 1,5 11,53 226,11 139,-74-415,0-1,2 0,1 1,-1-4,6 9,3 8,61 122,-76-161,-2 0,2 0,0 0,0 1,-1-2,2-1,-1 1,1-1,-1 1,0-1,0-1,1 0,-1 0,2 0,-2-1,2 1,-1-2,0 1,0-1,-1 0,2 0,-1-1,0 0,0 0,0 0,-1-1,4-2,6-4,0 2,-2-2,3-3,-3 2,-1-2,2-1,-3 1,2-1,1-5,-3 1,0 2,-1-2,0-1,0-1,-1 0,4-11,92-211,-87 172,20-56,-32 116,0-1,1 1,-1-1,1 1,1 0,-1 2,-1 0,2-1,5-2,-7 7,0 2,-1 0,2 0,-2 2,1-2,-1 1,2 0,-2 1,1 0,-1 0,1 0,-1 1,-1 0,1 1,1-2,-2 2,2 0,-2 0,2 3,-1-3,8 6,-1 0,-1 1,1 1,-2-1,1 2,-1 2,0-2,-1 2,0 0,-1 0,0 2,0-1,-2 1,0-2,-1 4,7 27,34 124,-43-166,0-1,0 2,0-2,-1 0,1 0,1-1,-1 0,0 3,1-3,-1 0,1 0,-1 0,1 0,0 0,-1-1,1 0,1 2,-2-2,1-1,1 1,-2-1,1 1,1-1,-2 0,2 0,-2-1,2 1,-1-1,-1 0,2-1,10-1,-2-1,1-1,0-1,0 0,-1-1,1-1,-2-2,0 1,1-1,-2-1,8-8,76-117,27-32,-120 166,0 1,0-3,0 4,1-2,-1 1,0 0,0 0,0 0,0-1,0 1,1 0,-1 0,1 0,-1 1,0-1,1 0,-1 1,1 0,0-1,-1 1,0 0,1 0,-1 0,1 0,-1 1,0-1,1 0,-1 1,1-1,-1 1,1 0,-1-1,1 2,8 7,-1 2,0 0,0 0,0 1,-1-1,0 4,-1-2,4 7,36 58,-45-76,0 1,1 0,-1-1,0 0,1 0,0 0,-1-1,1 1,0-1,0 0,0 0,0-1,-1 2,1-2,1 0,-2 1,0-2,2 1,-2 0,1-2,0 1,-1 0,4 0,60-42,-59 38,76-78,-81 82,1-1,1 1,-2 0,1 1,1 0,-2 0,2 0,-1 0,-1 1,2-1,-1 1,-1 1,1-1,1 0,-2 1,1 0,0 0,-1 0,1 0,-1-1,1 3,0-2,-2 1,2 0,-2 0,2 1,2 1,3 4,-6-5,2-1,-1 1,0-1,1 1,-1-1,1 0,0 1,-1-2,1 0,0 0,0 1,0-1,0-1,0 0,1 0,-2-1,1 1,0-1,0-1,1 1,-1-1,1 0,115-75,-66 66,-38 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5AC3-5B6E-4080-B5D4-B9E07624D314}">
  <dimension ref="A4:AK118"/>
  <sheetViews>
    <sheetView topLeftCell="A30" zoomScale="110" zoomScaleNormal="196" workbookViewId="0">
      <selection activeCell="AH45" sqref="AH45"/>
    </sheetView>
  </sheetViews>
  <sheetFormatPr defaultRowHeight="14.25"/>
  <cols>
    <col min="1" max="1" width="37.375" customWidth="1"/>
    <col min="4" max="17" width="9" hidden="1" customWidth="1"/>
    <col min="28" max="33" width="0" hidden="1" customWidth="1"/>
  </cols>
  <sheetData>
    <row r="4" spans="1:37">
      <c r="R4" t="s">
        <v>65</v>
      </c>
    </row>
    <row r="5" spans="1:37" s="1" customFormat="1" ht="85.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66</v>
      </c>
      <c r="S5" s="1" t="s">
        <v>79</v>
      </c>
      <c r="T5" s="1" t="s">
        <v>67</v>
      </c>
      <c r="U5" s="1" t="s">
        <v>68</v>
      </c>
      <c r="V5" s="1" t="s">
        <v>77</v>
      </c>
      <c r="W5" s="1" t="s">
        <v>87</v>
      </c>
      <c r="X5" s="1" t="s">
        <v>69</v>
      </c>
      <c r="Y5" s="1" t="s">
        <v>78</v>
      </c>
      <c r="Z5" s="1" t="s">
        <v>87</v>
      </c>
      <c r="AA5" s="1" t="s">
        <v>70</v>
      </c>
      <c r="AB5" s="1" t="s">
        <v>71</v>
      </c>
      <c r="AC5" s="1" t="s">
        <v>72</v>
      </c>
      <c r="AD5" s="1" t="s">
        <v>73</v>
      </c>
      <c r="AE5" s="1" t="s">
        <v>74</v>
      </c>
      <c r="AF5" s="1" t="s">
        <v>75</v>
      </c>
      <c r="AG5" s="1" t="s">
        <v>76</v>
      </c>
      <c r="AH5" s="1" t="s">
        <v>17</v>
      </c>
      <c r="AI5" s="1" t="s">
        <v>18</v>
      </c>
      <c r="AJ5" s="1" t="s">
        <v>19</v>
      </c>
      <c r="AK5" s="1" t="s">
        <v>20</v>
      </c>
    </row>
    <row r="6" spans="1:37" s="2" customFormat="1">
      <c r="A6" s="2" t="s">
        <v>23</v>
      </c>
      <c r="B6" s="2">
        <v>723</v>
      </c>
      <c r="C6" s="2">
        <v>882</v>
      </c>
      <c r="D6" s="2">
        <v>0.36678342471560199</v>
      </c>
      <c r="F6" s="2">
        <v>0.39875169128872301</v>
      </c>
      <c r="H6" s="2">
        <v>0.695358716399609</v>
      </c>
      <c r="J6" s="2">
        <v>0.78147754931424596</v>
      </c>
      <c r="Q6" s="2">
        <v>1.3452379426836001</v>
      </c>
      <c r="R6" s="2">
        <v>0.35881390033581001</v>
      </c>
      <c r="T6" s="2">
        <v>0.39008755569515502</v>
      </c>
      <c r="V6" s="2">
        <v>0.67741220740497099</v>
      </c>
      <c r="W6" s="2">
        <f t="shared" ref="W6:W30" si="0">ABS(($AH6-V6)/$AH6)</f>
        <v>0.11985885261520829</v>
      </c>
      <c r="Y6" s="2">
        <v>0.74096562545436895</v>
      </c>
      <c r="Z6" s="2">
        <f t="shared" ref="Z6:Z30" si="1">ABS(($AH6-Y6)/$AH6)</f>
        <v>3.7285822972737193E-2</v>
      </c>
      <c r="AG6" s="2">
        <v>1.3016118610924901</v>
      </c>
      <c r="AH6" s="2">
        <v>0.76966314939120895</v>
      </c>
      <c r="AI6" s="2" t="s">
        <v>24</v>
      </c>
    </row>
    <row r="7" spans="1:37" s="2" customFormat="1">
      <c r="A7" s="2" t="s">
        <v>25</v>
      </c>
      <c r="B7" s="2">
        <v>723</v>
      </c>
      <c r="C7" s="2">
        <v>832</v>
      </c>
      <c r="D7" s="2">
        <v>-0.137604798898426</v>
      </c>
      <c r="F7" s="2">
        <v>-3.02773841369459E-2</v>
      </c>
      <c r="H7" s="2">
        <v>0.566700784352692</v>
      </c>
      <c r="J7" s="2">
        <v>0.748207688416204</v>
      </c>
      <c r="Q7" s="2">
        <v>1.33602626850166</v>
      </c>
      <c r="R7" s="2">
        <v>-0.13553534323826999</v>
      </c>
      <c r="T7" s="2">
        <v>-2.9822038796677799E-2</v>
      </c>
      <c r="V7" s="2">
        <v>0.55550594201447301</v>
      </c>
      <c r="W7" s="2">
        <f t="shared" si="0"/>
        <v>0.22326749517467082</v>
      </c>
      <c r="Y7" s="2">
        <v>0.72228652104409496</v>
      </c>
      <c r="Z7" s="2">
        <f t="shared" si="1"/>
        <v>9.9323450216774797E-3</v>
      </c>
      <c r="AG7" s="2">
        <v>1.3058003888249301</v>
      </c>
      <c r="AH7" s="2">
        <v>0.71518307597979902</v>
      </c>
      <c r="AI7" s="2" t="s">
        <v>26</v>
      </c>
    </row>
    <row r="8" spans="1:37" s="2" customFormat="1">
      <c r="A8" s="2" t="s">
        <v>27</v>
      </c>
      <c r="B8" s="2">
        <v>750</v>
      </c>
      <c r="C8" s="2">
        <v>802</v>
      </c>
      <c r="D8" s="2">
        <v>0.12623784991613901</v>
      </c>
      <c r="F8" s="2">
        <v>0.13414681095127401</v>
      </c>
      <c r="H8" s="2">
        <v>0.114694475226989</v>
      </c>
      <c r="J8" s="2">
        <v>0.30786467925441302</v>
      </c>
      <c r="Q8" s="2">
        <v>0.45071801880511603</v>
      </c>
      <c r="R8" s="2">
        <v>0.12332464809185199</v>
      </c>
      <c r="T8" s="2">
        <v>0.13105109334640999</v>
      </c>
      <c r="V8" s="2">
        <v>0.112148952119888</v>
      </c>
      <c r="W8" s="2">
        <f t="shared" si="0"/>
        <v>0.55163114972141569</v>
      </c>
      <c r="Y8" s="2">
        <v>0.29987597191156701</v>
      </c>
      <c r="Z8" s="2">
        <f t="shared" si="1"/>
        <v>0.19889702231393963</v>
      </c>
      <c r="AG8" s="2">
        <v>0.44198046322358298</v>
      </c>
      <c r="AH8" s="2">
        <v>0.25012654659262501</v>
      </c>
      <c r="AI8" s="2" t="s">
        <v>28</v>
      </c>
    </row>
    <row r="9" spans="1:37" s="2" customFormat="1">
      <c r="A9" s="2" t="s">
        <v>29</v>
      </c>
      <c r="B9" s="2">
        <v>750</v>
      </c>
      <c r="C9" s="2">
        <v>869.15</v>
      </c>
      <c r="D9" s="2">
        <v>0.11100366714123699</v>
      </c>
      <c r="F9" s="2">
        <v>0.12242465499234</v>
      </c>
      <c r="H9" s="2">
        <v>0.111139071000262</v>
      </c>
      <c r="J9" s="2">
        <v>0.310718199018926</v>
      </c>
      <c r="Q9" s="2">
        <v>0.45854797115295398</v>
      </c>
      <c r="R9" s="2">
        <v>0.10497931806875101</v>
      </c>
      <c r="T9" s="2">
        <v>0.11578047038342799</v>
      </c>
      <c r="V9" s="2">
        <v>0.105408277874666</v>
      </c>
      <c r="W9" s="2">
        <f t="shared" si="0"/>
        <v>0.49064414268364542</v>
      </c>
      <c r="Y9" s="2">
        <v>0.29112922787240902</v>
      </c>
      <c r="Z9" s="2">
        <f t="shared" si="1"/>
        <v>0.40680011515906872</v>
      </c>
      <c r="AG9" s="2">
        <v>0.43759543903402198</v>
      </c>
      <c r="AH9" s="2">
        <v>0.206944273557648</v>
      </c>
      <c r="AI9" s="2" t="s">
        <v>30</v>
      </c>
    </row>
    <row r="10" spans="1:37" s="2" customFormat="1">
      <c r="A10" s="2" t="s">
        <v>63</v>
      </c>
      <c r="B10" s="2">
        <v>723</v>
      </c>
      <c r="C10" s="2">
        <v>785.88122136744698</v>
      </c>
      <c r="D10" s="2">
        <v>0.114504036102581</v>
      </c>
      <c r="F10" s="2">
        <v>0.219935919588156</v>
      </c>
      <c r="H10" s="2">
        <v>0.464697572626251</v>
      </c>
      <c r="J10" s="2">
        <v>0.72737521160356799</v>
      </c>
      <c r="Q10" s="2">
        <v>1.3226159988600199</v>
      </c>
      <c r="R10" s="2">
        <v>0.113278487114039</v>
      </c>
      <c r="T10" s="2">
        <v>0.21758192183427999</v>
      </c>
      <c r="V10" s="2">
        <v>0.46141777072929802</v>
      </c>
      <c r="W10" s="2">
        <f t="shared" si="0"/>
        <v>0.63105706121482141</v>
      </c>
      <c r="Y10" s="2">
        <v>0.71241195168460603</v>
      </c>
      <c r="Z10" s="2">
        <f t="shared" si="1"/>
        <v>0.43036576448980257</v>
      </c>
      <c r="AG10" s="2">
        <v>1.30499880412229</v>
      </c>
      <c r="AH10" s="2">
        <v>1.2506480602355801</v>
      </c>
      <c r="AI10" s="2" t="s">
        <v>31</v>
      </c>
    </row>
    <row r="11" spans="1:37" s="2" customFormat="1">
      <c r="A11" s="2" t="s">
        <v>32</v>
      </c>
      <c r="B11" s="2">
        <v>723</v>
      </c>
      <c r="C11" s="2">
        <v>811.82663583714998</v>
      </c>
      <c r="D11" s="2">
        <v>-0.68451425498119201</v>
      </c>
      <c r="F11" s="2">
        <v>-0.44302642149352001</v>
      </c>
      <c r="H11" s="2">
        <v>0.11179705525042199</v>
      </c>
      <c r="J11" s="2">
        <v>0.59758237722471097</v>
      </c>
      <c r="Q11" s="2">
        <v>1.2528784410843901</v>
      </c>
      <c r="R11" s="2">
        <v>-0.67658390816328295</v>
      </c>
      <c r="T11" s="2">
        <v>-0.43789379913193399</v>
      </c>
      <c r="V11" s="2">
        <v>0.10753765071044399</v>
      </c>
      <c r="W11" s="2">
        <f t="shared" si="0"/>
        <v>0.9149838088820651</v>
      </c>
      <c r="Y11" s="2">
        <v>0.58317546813700505</v>
      </c>
      <c r="Z11" s="2">
        <f t="shared" si="1"/>
        <v>0.53895815347571407</v>
      </c>
      <c r="AG11" s="2">
        <v>1.2304065828778701</v>
      </c>
      <c r="AH11" s="2">
        <v>1.26490788750189</v>
      </c>
      <c r="AI11" s="2" t="s">
        <v>33</v>
      </c>
    </row>
    <row r="12" spans="1:37" s="2" customFormat="1">
      <c r="A12" s="2" t="s">
        <v>34</v>
      </c>
      <c r="B12" s="2">
        <v>878</v>
      </c>
      <c r="C12" s="2">
        <v>1023</v>
      </c>
      <c r="D12" s="2">
        <v>0.119718045156126</v>
      </c>
      <c r="F12" s="2">
        <v>0.139517137352687</v>
      </c>
      <c r="H12" s="2">
        <v>0.151086488956231</v>
      </c>
      <c r="J12" s="2">
        <v>0.38363120159952102</v>
      </c>
      <c r="Q12" s="2">
        <v>0.62595318277345302</v>
      </c>
      <c r="R12" s="2">
        <v>0.115742832125585</v>
      </c>
      <c r="T12" s="2">
        <v>0.134884499543867</v>
      </c>
      <c r="V12" s="2">
        <v>0.14300503155139799</v>
      </c>
      <c r="W12" s="2">
        <f t="shared" si="0"/>
        <v>0.72446699439430917</v>
      </c>
      <c r="Y12" s="2">
        <v>0.35966985442212901</v>
      </c>
      <c r="Z12" s="2">
        <f t="shared" si="1"/>
        <v>0.30701098458153026</v>
      </c>
      <c r="AG12" s="2">
        <v>0.59800658991397604</v>
      </c>
      <c r="AH12" s="2">
        <v>0.519012345679012</v>
      </c>
      <c r="AI12" s="2" t="s">
        <v>35</v>
      </c>
    </row>
    <row r="13" spans="1:37" s="2" customFormat="1">
      <c r="A13" s="2" t="s">
        <v>36</v>
      </c>
      <c r="B13" s="2">
        <v>878</v>
      </c>
      <c r="C13" s="2">
        <v>1073</v>
      </c>
      <c r="D13" s="2">
        <v>0.188513710493246</v>
      </c>
      <c r="F13" s="2">
        <v>0.19057901154554499</v>
      </c>
      <c r="H13" s="2">
        <v>0.15917342728042</v>
      </c>
      <c r="J13" s="2">
        <v>0.36475139172742499</v>
      </c>
      <c r="Q13" s="2">
        <v>0.57924146182158398</v>
      </c>
      <c r="R13" s="2">
        <v>0.18133469433076599</v>
      </c>
      <c r="T13" s="2">
        <v>0.18332134418259799</v>
      </c>
      <c r="V13" s="2">
        <v>0.151181269098529</v>
      </c>
      <c r="W13" s="2">
        <f t="shared" si="0"/>
        <v>0.7025362344464714</v>
      </c>
      <c r="Y13" s="2">
        <v>0.33864101447663503</v>
      </c>
      <c r="Z13" s="2">
        <f t="shared" si="1"/>
        <v>0.33369105883456979</v>
      </c>
      <c r="AG13" s="2">
        <v>0.54654293386803399</v>
      </c>
      <c r="AH13" s="2">
        <v>0.50823423423423297</v>
      </c>
      <c r="AI13" s="2" t="s">
        <v>37</v>
      </c>
    </row>
    <row r="14" spans="1:37" s="2" customFormat="1">
      <c r="A14" s="2" t="s">
        <v>38</v>
      </c>
      <c r="B14" s="2">
        <v>878</v>
      </c>
      <c r="C14" s="2">
        <v>1073</v>
      </c>
      <c r="D14" s="2">
        <v>0.234236731349861</v>
      </c>
      <c r="F14" s="2">
        <v>0.21977531622907001</v>
      </c>
      <c r="H14" s="2">
        <v>0.17464563703389399</v>
      </c>
      <c r="J14" s="2">
        <v>0.34979073769636099</v>
      </c>
      <c r="Q14" s="2">
        <v>0.53252974086971405</v>
      </c>
      <c r="R14" s="2">
        <v>0.22647802811295401</v>
      </c>
      <c r="T14" s="2">
        <v>0.21249562338332201</v>
      </c>
      <c r="V14" s="2">
        <v>0.16870277158194399</v>
      </c>
      <c r="W14" s="2">
        <f t="shared" si="0"/>
        <v>0.57854411096587843</v>
      </c>
      <c r="Y14" s="2">
        <v>0.328531464474764</v>
      </c>
      <c r="Z14" s="2">
        <f t="shared" si="1"/>
        <v>0.17925758339637776</v>
      </c>
      <c r="AG14" s="2">
        <v>0.504394808775251</v>
      </c>
      <c r="AH14" s="2">
        <v>0.40028571428571402</v>
      </c>
      <c r="AI14" s="2" t="s">
        <v>39</v>
      </c>
    </row>
    <row r="15" spans="1:37" s="2" customFormat="1">
      <c r="A15" s="2" t="s">
        <v>63</v>
      </c>
      <c r="B15" s="2">
        <v>735</v>
      </c>
      <c r="C15" s="2">
        <v>785.88122136744698</v>
      </c>
      <c r="D15" s="2">
        <v>0.114504036102581</v>
      </c>
      <c r="F15" s="2">
        <v>0.219935919588156</v>
      </c>
      <c r="H15" s="2">
        <v>0.464697572626251</v>
      </c>
      <c r="J15" s="2">
        <v>0.72737521160356799</v>
      </c>
      <c r="L15" s="2">
        <v>0.72737521160356799</v>
      </c>
      <c r="Q15" s="2">
        <v>1.3226159988600199</v>
      </c>
      <c r="R15" s="2">
        <v>0.113278487114039</v>
      </c>
      <c r="T15" s="2">
        <v>0.21758192183427999</v>
      </c>
      <c r="V15" s="2">
        <v>0.46141777072929802</v>
      </c>
      <c r="W15" s="2">
        <f t="shared" si="0"/>
        <v>0.63105706121482141</v>
      </c>
      <c r="Y15" s="2">
        <v>0.71241195168460603</v>
      </c>
      <c r="Z15" s="2">
        <f t="shared" si="1"/>
        <v>0.43036576448980257</v>
      </c>
      <c r="AB15" s="2">
        <v>0.71241195168460603</v>
      </c>
      <c r="AG15" s="2">
        <v>1.30499880412229</v>
      </c>
      <c r="AH15" s="2">
        <v>1.2506480602355801</v>
      </c>
      <c r="AI15" s="2" t="s">
        <v>43</v>
      </c>
    </row>
    <row r="16" spans="1:37">
      <c r="A16" t="s">
        <v>21</v>
      </c>
      <c r="B16">
        <v>723</v>
      </c>
      <c r="C16">
        <v>884</v>
      </c>
      <c r="D16">
        <v>1.1694200634609</v>
      </c>
      <c r="F16">
        <v>1.0901410687791799</v>
      </c>
      <c r="H16">
        <v>1.0169507557437001</v>
      </c>
      <c r="J16">
        <v>0.81942428879552098</v>
      </c>
      <c r="Q16">
        <v>1.35444961686554</v>
      </c>
      <c r="R16">
        <v>1.1438209784587701</v>
      </c>
      <c r="T16">
        <v>1.0662774334988001</v>
      </c>
      <c r="V16">
        <v>0.99333380791119696</v>
      </c>
      <c r="W16">
        <f t="shared" si="0"/>
        <v>9.5706388990070029E-2</v>
      </c>
      <c r="Y16">
        <v>0.77570441935694301</v>
      </c>
      <c r="Z16">
        <f t="shared" si="1"/>
        <v>0.14435179645751153</v>
      </c>
      <c r="AG16">
        <v>1.31056502017601</v>
      </c>
      <c r="AH16">
        <v>0.90656933088322</v>
      </c>
      <c r="AI16" t="s">
        <v>22</v>
      </c>
    </row>
    <row r="17" spans="1:37">
      <c r="A17" t="s">
        <v>80</v>
      </c>
      <c r="B17">
        <v>733</v>
      </c>
      <c r="C17">
        <v>884</v>
      </c>
      <c r="D17">
        <v>1.13216387095465</v>
      </c>
      <c r="E17">
        <v>1.65454641513861</v>
      </c>
      <c r="F17">
        <v>1.0327876010572901</v>
      </c>
      <c r="G17">
        <v>1.5087681980661101</v>
      </c>
      <c r="H17">
        <v>1.0025336872584101</v>
      </c>
      <c r="I17">
        <v>1.51848599870652</v>
      </c>
      <c r="J17">
        <v>0.77455398713730195</v>
      </c>
      <c r="K17">
        <v>1.19487504696948</v>
      </c>
      <c r="R17">
        <v>1.1128791954030901</v>
      </c>
      <c r="S17">
        <v>1.6155238078743901</v>
      </c>
      <c r="T17">
        <v>1.015195647886</v>
      </c>
      <c r="U17">
        <v>1.47318378151111</v>
      </c>
      <c r="V17">
        <v>0.98447068021154305</v>
      </c>
      <c r="W17">
        <f t="shared" si="0"/>
        <v>8.0050057556671564E-2</v>
      </c>
      <c r="X17">
        <v>1.4811883216902499</v>
      </c>
      <c r="Y17">
        <v>0.74095938136264805</v>
      </c>
      <c r="Z17">
        <f t="shared" si="1"/>
        <v>0.18710304067570496</v>
      </c>
      <c r="AA17">
        <v>1.1045267110139001</v>
      </c>
      <c r="AH17">
        <v>0.91150467825412496</v>
      </c>
      <c r="AI17" t="s">
        <v>22</v>
      </c>
      <c r="AJ17">
        <v>1.1000000000000001</v>
      </c>
      <c r="AK17" t="s">
        <v>81</v>
      </c>
    </row>
    <row r="18" spans="1:37">
      <c r="A18" t="s">
        <v>40</v>
      </c>
      <c r="B18">
        <v>1000</v>
      </c>
      <c r="D18">
        <v>0.67334764686844395</v>
      </c>
      <c r="F18">
        <v>0.67819466691103902</v>
      </c>
      <c r="H18">
        <v>0.64214260840362103</v>
      </c>
      <c r="J18">
        <v>0.46849389713973499</v>
      </c>
      <c r="Q18">
        <v>0.73423486406761396</v>
      </c>
      <c r="R18">
        <v>0.67334764686844395</v>
      </c>
      <c r="T18">
        <v>0.67819466691103902</v>
      </c>
      <c r="V18">
        <v>0.64214260840362103</v>
      </c>
      <c r="W18">
        <f t="shared" si="0"/>
        <v>8.2653416566255619E-2</v>
      </c>
      <c r="Y18">
        <v>0.46849389713973499</v>
      </c>
      <c r="Z18">
        <f t="shared" si="1"/>
        <v>0.33072300408609284</v>
      </c>
      <c r="AG18">
        <v>0.73423486406761396</v>
      </c>
      <c r="AH18">
        <f>AJ18</f>
        <v>0.7</v>
      </c>
      <c r="AJ18">
        <v>0.7</v>
      </c>
      <c r="AK18" t="s">
        <v>41</v>
      </c>
    </row>
    <row r="19" spans="1:37">
      <c r="A19" t="s">
        <v>42</v>
      </c>
      <c r="B19">
        <v>735</v>
      </c>
      <c r="C19">
        <v>742.4</v>
      </c>
      <c r="D19">
        <v>0.75544862184204498</v>
      </c>
      <c r="F19">
        <v>0.76389433451710798</v>
      </c>
      <c r="G19">
        <v>1.0241817148185799</v>
      </c>
      <c r="H19">
        <v>0.69546259777516795</v>
      </c>
      <c r="I19">
        <v>0.90509686778680298</v>
      </c>
      <c r="J19">
        <v>0.65005468660002197</v>
      </c>
      <c r="K19">
        <v>0.77295464205475894</v>
      </c>
      <c r="Q19">
        <v>1.09938713445514</v>
      </c>
      <c r="R19">
        <v>0.75296021086501197</v>
      </c>
      <c r="T19">
        <v>0.76137810377375004</v>
      </c>
      <c r="U19">
        <v>1.02039393259144</v>
      </c>
      <c r="V19">
        <v>0.69317885535811896</v>
      </c>
      <c r="W19">
        <f t="shared" si="0"/>
        <v>0.12261059938198271</v>
      </c>
      <c r="X19">
        <v>0.901758710144691</v>
      </c>
      <c r="Y19">
        <v>0.64594060152309996</v>
      </c>
      <c r="Z19">
        <f t="shared" si="1"/>
        <v>0.18240230090054177</v>
      </c>
      <c r="AA19">
        <v>0.76685545577098702</v>
      </c>
      <c r="AG19">
        <v>1.0964289094488999</v>
      </c>
      <c r="AH19">
        <v>0.79004699038973603</v>
      </c>
      <c r="AI19" t="s">
        <v>43</v>
      </c>
    </row>
    <row r="20" spans="1:37">
      <c r="A20" t="s">
        <v>44</v>
      </c>
      <c r="B20">
        <v>700</v>
      </c>
      <c r="C20">
        <v>722.73280584297004</v>
      </c>
      <c r="D20">
        <v>0.42631827664473099</v>
      </c>
      <c r="F20">
        <v>0.39868606871807999</v>
      </c>
      <c r="G20">
        <v>0.35511103946348299</v>
      </c>
      <c r="H20">
        <v>0.393698281764152</v>
      </c>
      <c r="I20">
        <v>0.387446362771657</v>
      </c>
      <c r="J20">
        <v>0.34234495476531401</v>
      </c>
      <c r="Q20">
        <v>0.47430495802771899</v>
      </c>
      <c r="R20">
        <v>0.42244769212502797</v>
      </c>
      <c r="T20">
        <v>0.395066359664209</v>
      </c>
      <c r="U20">
        <v>0.35163380774701902</v>
      </c>
      <c r="V20">
        <v>0.39011154382422603</v>
      </c>
      <c r="W20">
        <f t="shared" si="0"/>
        <v>0.17217061684187418</v>
      </c>
      <c r="X20">
        <v>0.38364039576138398</v>
      </c>
      <c r="Y20">
        <v>0.33784078052696798</v>
      </c>
      <c r="Z20">
        <f t="shared" si="1"/>
        <v>0.28309087650245585</v>
      </c>
      <c r="AG20">
        <v>0.47038278170179998</v>
      </c>
      <c r="AH20">
        <v>0.47124631205523398</v>
      </c>
      <c r="AI20" t="s">
        <v>45</v>
      </c>
    </row>
    <row r="21" spans="1:37">
      <c r="A21" t="s">
        <v>64</v>
      </c>
      <c r="B21">
        <v>958</v>
      </c>
      <c r="C21">
        <v>993.01377726750798</v>
      </c>
      <c r="D21">
        <v>0.67791489617634204</v>
      </c>
      <c r="F21">
        <v>0.672611656850293</v>
      </c>
      <c r="H21">
        <v>0.57197134962562102</v>
      </c>
      <c r="I21">
        <v>0.59758620590054001</v>
      </c>
      <c r="J21">
        <v>0.48604519668468199</v>
      </c>
      <c r="K21">
        <v>0.49336010899981603</v>
      </c>
      <c r="Q21">
        <v>0.74453172698894998</v>
      </c>
      <c r="R21">
        <v>0.66907210830001695</v>
      </c>
      <c r="T21">
        <v>0.66383804494381704</v>
      </c>
      <c r="V21">
        <v>0.56448951322319196</v>
      </c>
      <c r="W21">
        <f t="shared" si="0"/>
        <v>0.26308813123132935</v>
      </c>
      <c r="X21">
        <v>0.58988275122899803</v>
      </c>
      <c r="Y21">
        <v>0.47418605647421902</v>
      </c>
      <c r="Z21">
        <f t="shared" si="1"/>
        <v>0.38097462426675471</v>
      </c>
      <c r="AA21">
        <v>0.482836787450316</v>
      </c>
      <c r="AG21">
        <v>0.73580725099084798</v>
      </c>
      <c r="AH21">
        <v>0.76602038472580902</v>
      </c>
      <c r="AI21" t="s">
        <v>46</v>
      </c>
    </row>
    <row r="22" spans="1:37">
      <c r="A22" t="s">
        <v>47</v>
      </c>
      <c r="B22">
        <v>883</v>
      </c>
      <c r="C22">
        <v>965.57734204792996</v>
      </c>
      <c r="D22">
        <v>0.68568905380067602</v>
      </c>
      <c r="F22">
        <v>0.72519296761788798</v>
      </c>
      <c r="H22">
        <v>0.68631947375037605</v>
      </c>
      <c r="J22">
        <v>0.41038418590950398</v>
      </c>
      <c r="Q22">
        <v>0.68524115415680797</v>
      </c>
      <c r="R22">
        <v>0.667318271847822</v>
      </c>
      <c r="T22">
        <v>0.70576380828100305</v>
      </c>
      <c r="V22">
        <v>0.66793180176935196</v>
      </c>
      <c r="W22">
        <f t="shared" si="0"/>
        <v>1.8943204800358195E-2</v>
      </c>
      <c r="Y22">
        <v>0.38684120382342102</v>
      </c>
      <c r="Z22">
        <f t="shared" si="1"/>
        <v>0.40986607475716746</v>
      </c>
      <c r="AG22">
        <v>0.666853482175784</v>
      </c>
      <c r="AH22">
        <v>0.65551426087602205</v>
      </c>
      <c r="AI22" t="s">
        <v>48</v>
      </c>
    </row>
    <row r="23" spans="1:37">
      <c r="A23" t="s">
        <v>49</v>
      </c>
      <c r="B23">
        <v>1073.8</v>
      </c>
      <c r="C23">
        <v>1169.4386694386601</v>
      </c>
      <c r="D23">
        <v>0.48765040999654702</v>
      </c>
      <c r="F23">
        <v>0.49299200468391502</v>
      </c>
      <c r="H23">
        <v>0.48681288142144602</v>
      </c>
      <c r="J23">
        <v>0.310170753406454</v>
      </c>
      <c r="Q23">
        <v>0.486734668471486</v>
      </c>
      <c r="R23">
        <v>0.46764533545626702</v>
      </c>
      <c r="T23">
        <v>0.472767799804167</v>
      </c>
      <c r="V23">
        <v>0.466842165145266</v>
      </c>
      <c r="W23">
        <f t="shared" si="0"/>
        <v>0.11307557132498924</v>
      </c>
      <c r="Y23">
        <v>0.28504924771650703</v>
      </c>
      <c r="Z23">
        <f t="shared" si="1"/>
        <v>0.45845264191906016</v>
      </c>
      <c r="AG23">
        <v>0.46682997060488102</v>
      </c>
      <c r="AH23">
        <v>0.52636070227842102</v>
      </c>
      <c r="AI23" t="s">
        <v>50</v>
      </c>
    </row>
    <row r="24" spans="1:37">
      <c r="A24" t="s">
        <v>51</v>
      </c>
      <c r="B24">
        <v>1042.7</v>
      </c>
      <c r="C24">
        <v>1052.1638776687801</v>
      </c>
      <c r="D24">
        <v>0.37448385514297</v>
      </c>
      <c r="F24">
        <v>0.39772401672316798</v>
      </c>
      <c r="H24">
        <v>0.37423569928907002</v>
      </c>
      <c r="J24">
        <v>0.26186834835755002</v>
      </c>
      <c r="Q24">
        <v>0.37411661147486303</v>
      </c>
      <c r="R24">
        <v>0.37273883886439402</v>
      </c>
      <c r="T24">
        <v>0.39587070616242998</v>
      </c>
      <c r="V24">
        <v>0.37249183936476299</v>
      </c>
      <c r="W24">
        <f t="shared" si="0"/>
        <v>1.3588159152982771E-2</v>
      </c>
      <c r="Y24">
        <v>0.25964866776244899</v>
      </c>
      <c r="Z24">
        <f t="shared" si="1"/>
        <v>0.29346958142041618</v>
      </c>
      <c r="AG24">
        <v>0.37237545813401701</v>
      </c>
      <c r="AH24">
        <v>0.36749821512915098</v>
      </c>
      <c r="AI24" t="s">
        <v>52</v>
      </c>
    </row>
    <row r="25" spans="1:37">
      <c r="A25" t="s">
        <v>53</v>
      </c>
      <c r="B25">
        <v>1121.2</v>
      </c>
      <c r="C25">
        <v>1121.2</v>
      </c>
      <c r="D25">
        <v>1.3492011992525701</v>
      </c>
      <c r="F25">
        <v>1.4344247043755101</v>
      </c>
      <c r="H25">
        <v>1.3498414938304</v>
      </c>
      <c r="J25">
        <v>0.80194503019063301</v>
      </c>
      <c r="Q25">
        <v>1.35697644485796</v>
      </c>
      <c r="R25">
        <v>1.3492011992525701</v>
      </c>
      <c r="T25">
        <v>1.4344247043755101</v>
      </c>
      <c r="V25">
        <v>1.3498414938304</v>
      </c>
      <c r="W25">
        <f t="shared" si="0"/>
        <v>7.1577209460329097E-2</v>
      </c>
      <c r="Y25">
        <v>0.80194503019063301</v>
      </c>
      <c r="Z25">
        <f t="shared" si="1"/>
        <v>0.36337264669963548</v>
      </c>
      <c r="AG25">
        <v>1.35697644485796</v>
      </c>
      <c r="AH25">
        <v>1.2596773073498</v>
      </c>
      <c r="AI25" t="s">
        <v>54</v>
      </c>
    </row>
    <row r="26" spans="1:37">
      <c r="A26" t="s">
        <v>55</v>
      </c>
      <c r="B26">
        <v>1268</v>
      </c>
      <c r="C26">
        <v>1276.21082621082</v>
      </c>
      <c r="D26">
        <v>0.84228950917194001</v>
      </c>
      <c r="F26">
        <v>0.90253851323448497</v>
      </c>
      <c r="H26">
        <v>0.842268101058265</v>
      </c>
      <c r="J26">
        <v>0.53047695960528096</v>
      </c>
      <c r="Q26">
        <v>0.84054676311417098</v>
      </c>
      <c r="R26">
        <v>0.83982795077986605</v>
      </c>
      <c r="T26">
        <v>0.89990087946696196</v>
      </c>
      <c r="V26">
        <v>0.83980660523057205</v>
      </c>
      <c r="W26">
        <f t="shared" si="0"/>
        <v>0.28778768741476363</v>
      </c>
      <c r="Y26">
        <v>0.52656452655946195</v>
      </c>
      <c r="Z26">
        <f t="shared" si="1"/>
        <v>0.55343797387340166</v>
      </c>
      <c r="AG26">
        <v>0.83809041270268603</v>
      </c>
      <c r="AH26">
        <v>1.17915204552163</v>
      </c>
      <c r="AI26" t="s">
        <v>95</v>
      </c>
    </row>
    <row r="27" spans="1:37">
      <c r="A27" t="s">
        <v>56</v>
      </c>
      <c r="B27">
        <v>1131.2</v>
      </c>
      <c r="C27">
        <v>1130.5970149253701</v>
      </c>
      <c r="D27">
        <v>0.58239324717060903</v>
      </c>
      <c r="F27">
        <v>0.56777343170887595</v>
      </c>
      <c r="H27">
        <v>0.58268227937308503</v>
      </c>
      <c r="J27">
        <v>0.36409719101091298</v>
      </c>
      <c r="Q27">
        <v>0.58236909026073802</v>
      </c>
      <c r="R27">
        <v>0.58239324717060903</v>
      </c>
      <c r="T27">
        <v>0.56777343170887595</v>
      </c>
      <c r="V27">
        <v>0.58268227937308503</v>
      </c>
      <c r="W27">
        <f t="shared" si="0"/>
        <v>6.4372614284336355E-2</v>
      </c>
      <c r="Y27">
        <v>0.36409719101091298</v>
      </c>
      <c r="Z27">
        <f t="shared" si="1"/>
        <v>0.41536011127972411</v>
      </c>
      <c r="AG27">
        <v>0.58236909026073802</v>
      </c>
      <c r="AH27">
        <v>0.62277172330456099</v>
      </c>
      <c r="AI27" t="s">
        <v>57</v>
      </c>
    </row>
    <row r="28" spans="1:37">
      <c r="A28" t="s">
        <v>58</v>
      </c>
      <c r="B28">
        <v>987</v>
      </c>
      <c r="C28">
        <v>986.86210640607999</v>
      </c>
      <c r="D28">
        <v>0.43829220504215799</v>
      </c>
      <c r="F28">
        <v>0.363487862637835</v>
      </c>
      <c r="H28">
        <v>0.43829220310135403</v>
      </c>
      <c r="J28">
        <v>0.28861057804145501</v>
      </c>
      <c r="Q28">
        <v>0.43829220310135403</v>
      </c>
      <c r="R28">
        <v>0.43829220504215799</v>
      </c>
      <c r="T28">
        <v>0.363487862637835</v>
      </c>
      <c r="V28">
        <v>0.43829220310135403</v>
      </c>
      <c r="W28">
        <f t="shared" si="0"/>
        <v>0.19417783246336415</v>
      </c>
      <c r="Y28">
        <v>0.28861057804145501</v>
      </c>
      <c r="Z28">
        <f t="shared" si="1"/>
        <v>0.46937499703232072</v>
      </c>
      <c r="AG28">
        <v>0.43829220310135403</v>
      </c>
      <c r="AH28">
        <v>0.54390685781354797</v>
      </c>
      <c r="AI28" t="s">
        <v>94</v>
      </c>
    </row>
    <row r="29" spans="1:37">
      <c r="A29" t="s">
        <v>59</v>
      </c>
      <c r="B29">
        <v>1534.2</v>
      </c>
      <c r="C29">
        <v>1554.2416452442101</v>
      </c>
      <c r="D29">
        <v>0.76994949433911597</v>
      </c>
      <c r="F29">
        <v>0.65134846570830895</v>
      </c>
      <c r="H29">
        <v>0.769949490929699</v>
      </c>
      <c r="J29">
        <v>0.55165642193242004</v>
      </c>
      <c r="Q29">
        <v>0.769949490929699</v>
      </c>
      <c r="R29">
        <v>0.76680974957054304</v>
      </c>
      <c r="T29">
        <v>0.648692359102926</v>
      </c>
      <c r="V29">
        <v>0.76680974617502995</v>
      </c>
      <c r="W29">
        <f t="shared" si="0"/>
        <v>9.1875730598472316E-2</v>
      </c>
      <c r="Y29">
        <v>0.54942631142670295</v>
      </c>
      <c r="Z29">
        <f t="shared" si="1"/>
        <v>0.21766088890826082</v>
      </c>
      <c r="AG29">
        <v>0.76680974617502995</v>
      </c>
      <c r="AH29">
        <v>0.70228664735933899</v>
      </c>
      <c r="AI29" t="s">
        <v>60</v>
      </c>
    </row>
    <row r="30" spans="1:37">
      <c r="A30" t="s">
        <v>61</v>
      </c>
      <c r="B30">
        <v>1692</v>
      </c>
      <c r="C30">
        <v>1697.8471474703899</v>
      </c>
      <c r="D30">
        <v>0.53240327298093204</v>
      </c>
      <c r="F30">
        <v>0.56536851936820998</v>
      </c>
      <c r="H30">
        <v>0.53240327062339499</v>
      </c>
      <c r="J30">
        <v>0.428106642994455</v>
      </c>
      <c r="Q30">
        <v>0.53240327062339499</v>
      </c>
      <c r="R30">
        <v>0.53209375735480802</v>
      </c>
      <c r="T30">
        <v>0.56503983921137502</v>
      </c>
      <c r="V30">
        <v>0.53209375499864198</v>
      </c>
      <c r="W30">
        <f t="shared" si="0"/>
        <v>0.10256457606708892</v>
      </c>
      <c r="Y30">
        <v>0.427744101475241</v>
      </c>
      <c r="Z30">
        <f t="shared" si="1"/>
        <v>0.27856189734229303</v>
      </c>
      <c r="AG30">
        <v>0.53209375499864198</v>
      </c>
      <c r="AH30">
        <v>0.59290478268263602</v>
      </c>
      <c r="AI30" t="s">
        <v>62</v>
      </c>
    </row>
    <row r="35" spans="2:26">
      <c r="U35" t="s">
        <v>82</v>
      </c>
      <c r="V35" t="s">
        <v>86</v>
      </c>
      <c r="X35" t="s">
        <v>89</v>
      </c>
    </row>
    <row r="36" spans="2:26">
      <c r="S36" t="s">
        <v>85</v>
      </c>
      <c r="T36" t="s">
        <v>83</v>
      </c>
      <c r="U36">
        <f>AVERAGE(W6:W15)</f>
        <v>0.55680469113133069</v>
      </c>
      <c r="V36">
        <f>AVERAGE(Z6:Z15)</f>
        <v>0.28725646147352202</v>
      </c>
      <c r="X36" t="s">
        <v>90</v>
      </c>
      <c r="Z36" t="s">
        <v>196</v>
      </c>
    </row>
    <row r="37" spans="2:26">
      <c r="T37" t="s">
        <v>84</v>
      </c>
      <c r="U37">
        <f>AVERAGE(W16:W30)</f>
        <v>0.11828278640899122</v>
      </c>
      <c r="V37">
        <f>AVERAGE(Z16:Z30)</f>
        <v>0.33121349707475611</v>
      </c>
      <c r="X37" t="s">
        <v>91</v>
      </c>
      <c r="Z37" t="s">
        <v>195</v>
      </c>
    </row>
    <row r="38" spans="2:26">
      <c r="X38" t="s">
        <v>92</v>
      </c>
    </row>
    <row r="39" spans="2:26">
      <c r="U39" t="s">
        <v>88</v>
      </c>
      <c r="X39" t="s">
        <v>93</v>
      </c>
    </row>
    <row r="40" spans="2:26">
      <c r="T40">
        <v>0</v>
      </c>
      <c r="U40">
        <v>1.1499999999999999</v>
      </c>
    </row>
    <row r="41" spans="2:26">
      <c r="T41">
        <v>0</v>
      </c>
      <c r="U41">
        <v>0.85</v>
      </c>
    </row>
    <row r="42" spans="2:26">
      <c r="C42" t="s">
        <v>290</v>
      </c>
    </row>
    <row r="44" spans="2:26">
      <c r="B44" t="s">
        <v>287</v>
      </c>
    </row>
    <row r="67" spans="2:2">
      <c r="B67" t="s">
        <v>288</v>
      </c>
    </row>
    <row r="98" spans="2:2">
      <c r="B98" t="s">
        <v>289</v>
      </c>
    </row>
    <row r="118" spans="2:2">
      <c r="B118" t="s">
        <v>317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F976-B61B-4940-B8AB-B4C326399655}">
  <dimension ref="A4:AK41"/>
  <sheetViews>
    <sheetView workbookViewId="0"/>
  </sheetViews>
  <sheetFormatPr defaultRowHeight="14.25"/>
  <cols>
    <col min="1" max="1" width="37.375" customWidth="1"/>
    <col min="4" max="17" width="9" hidden="1" customWidth="1"/>
    <col min="28" max="33" width="0" hidden="1" customWidth="1"/>
  </cols>
  <sheetData>
    <row r="4" spans="1:37">
      <c r="R4" t="s">
        <v>65</v>
      </c>
    </row>
    <row r="5" spans="1:37" s="1" customFormat="1" ht="85.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66</v>
      </c>
      <c r="S5" s="1" t="s">
        <v>79</v>
      </c>
      <c r="T5" s="1" t="s">
        <v>67</v>
      </c>
      <c r="U5" s="1" t="s">
        <v>68</v>
      </c>
      <c r="V5" s="1" t="s">
        <v>77</v>
      </c>
      <c r="W5" s="1" t="s">
        <v>87</v>
      </c>
      <c r="X5" s="1" t="s">
        <v>69</v>
      </c>
      <c r="Y5" s="1" t="s">
        <v>78</v>
      </c>
      <c r="Z5" s="1" t="s">
        <v>87</v>
      </c>
      <c r="AA5" s="1" t="s">
        <v>70</v>
      </c>
      <c r="AB5" s="1" t="s">
        <v>71</v>
      </c>
      <c r="AC5" s="1" t="s">
        <v>72</v>
      </c>
      <c r="AD5" s="1" t="s">
        <v>73</v>
      </c>
      <c r="AE5" s="1" t="s">
        <v>74</v>
      </c>
      <c r="AF5" s="1" t="s">
        <v>75</v>
      </c>
      <c r="AG5" s="1" t="s">
        <v>76</v>
      </c>
      <c r="AH5" s="1" t="s">
        <v>17</v>
      </c>
      <c r="AI5" s="1" t="s">
        <v>18</v>
      </c>
      <c r="AJ5" s="1" t="s">
        <v>19</v>
      </c>
      <c r="AK5" s="1" t="s">
        <v>20</v>
      </c>
    </row>
    <row r="6" spans="1:37" s="2" customFormat="1">
      <c r="A6" s="2" t="s">
        <v>23</v>
      </c>
      <c r="B6" s="2">
        <v>723</v>
      </c>
      <c r="C6" s="2">
        <v>882</v>
      </c>
      <c r="D6" s="2">
        <v>0.36678342471560199</v>
      </c>
      <c r="F6" s="2">
        <v>0.39875169128872301</v>
      </c>
      <c r="H6" s="2">
        <v>0.695358716399609</v>
      </c>
      <c r="J6" s="2">
        <v>0.78147754931424596</v>
      </c>
      <c r="Q6" s="2">
        <v>1.3452379426836001</v>
      </c>
      <c r="R6" s="2">
        <v>0.35881390033581001</v>
      </c>
      <c r="T6" s="2">
        <v>0.39008755569515502</v>
      </c>
      <c r="V6" s="2">
        <v>0.67741220740497099</v>
      </c>
      <c r="W6" s="2">
        <f t="shared" ref="W6:W30" si="0">ABS(($AH6-V6)/$AH6)</f>
        <v>0.11985885261520829</v>
      </c>
      <c r="Y6" s="2">
        <v>0.74096562545436895</v>
      </c>
      <c r="Z6" s="2">
        <f t="shared" ref="Z6:Z30" si="1">ABS(($AH6-Y6)/$AH6)</f>
        <v>3.7285822972737193E-2</v>
      </c>
      <c r="AG6" s="2">
        <v>1.3016118610924901</v>
      </c>
      <c r="AH6" s="2">
        <v>0.76966314939120895</v>
      </c>
      <c r="AI6" s="2" t="s">
        <v>24</v>
      </c>
    </row>
    <row r="7" spans="1:37" s="2" customFormat="1">
      <c r="A7" s="2" t="s">
        <v>25</v>
      </c>
      <c r="B7" s="2">
        <v>723</v>
      </c>
      <c r="C7" s="2">
        <v>832</v>
      </c>
      <c r="D7" s="2">
        <v>-0.137604798898426</v>
      </c>
      <c r="F7" s="2">
        <v>-3.02773841369459E-2</v>
      </c>
      <c r="H7" s="2">
        <v>0.566700784352692</v>
      </c>
      <c r="J7" s="2">
        <v>0.748207688416204</v>
      </c>
      <c r="Q7" s="2">
        <v>1.33602626850166</v>
      </c>
      <c r="R7" s="2">
        <v>-0.13553534323826999</v>
      </c>
      <c r="T7" s="2">
        <v>-2.9822038796677799E-2</v>
      </c>
      <c r="V7" s="2">
        <v>0.55550594201447301</v>
      </c>
      <c r="W7" s="2">
        <f t="shared" si="0"/>
        <v>0.22326749517467082</v>
      </c>
      <c r="Y7" s="2">
        <v>0.72228652104409496</v>
      </c>
      <c r="Z7" s="2">
        <f t="shared" si="1"/>
        <v>9.9323450216774797E-3</v>
      </c>
      <c r="AG7" s="2">
        <v>1.3058003888249301</v>
      </c>
      <c r="AH7" s="2">
        <v>0.71518307597979902</v>
      </c>
      <c r="AI7" s="2" t="s">
        <v>26</v>
      </c>
    </row>
    <row r="8" spans="1:37" s="2" customFormat="1">
      <c r="A8" s="2" t="s">
        <v>27</v>
      </c>
      <c r="B8" s="2">
        <v>750</v>
      </c>
      <c r="C8" s="2">
        <v>802</v>
      </c>
      <c r="D8" s="2">
        <v>0.12623784991613901</v>
      </c>
      <c r="F8" s="2">
        <v>0.13414681095127401</v>
      </c>
      <c r="H8" s="2">
        <v>0.114694475226989</v>
      </c>
      <c r="J8" s="2">
        <v>0.30786467925441302</v>
      </c>
      <c r="Q8" s="2">
        <v>0.45071801880511603</v>
      </c>
      <c r="R8" s="2">
        <v>0.12332464809185199</v>
      </c>
      <c r="T8" s="2">
        <v>0.13105109334640999</v>
      </c>
      <c r="V8" s="2">
        <v>0.112148952119888</v>
      </c>
      <c r="W8" s="2">
        <f t="shared" si="0"/>
        <v>0.55163114972141569</v>
      </c>
      <c r="Y8" s="2">
        <v>0.29987597191156701</v>
      </c>
      <c r="Z8" s="2">
        <f t="shared" si="1"/>
        <v>0.19889702231393963</v>
      </c>
      <c r="AG8" s="2">
        <v>0.44198046322358298</v>
      </c>
      <c r="AH8" s="2">
        <v>0.25012654659262501</v>
      </c>
      <c r="AI8" s="2" t="s">
        <v>28</v>
      </c>
    </row>
    <row r="9" spans="1:37" s="2" customFormat="1">
      <c r="A9" s="2" t="s">
        <v>29</v>
      </c>
      <c r="B9" s="2">
        <v>750</v>
      </c>
      <c r="C9" s="2">
        <v>869.15</v>
      </c>
      <c r="D9" s="2">
        <v>0.11100366714123699</v>
      </c>
      <c r="F9" s="2">
        <v>0.12242465499234</v>
      </c>
      <c r="H9" s="2">
        <v>0.111139071000262</v>
      </c>
      <c r="J9" s="2">
        <v>0.310718199018926</v>
      </c>
      <c r="Q9" s="2">
        <v>0.45854797115295398</v>
      </c>
      <c r="R9" s="2">
        <v>0.10497931806875101</v>
      </c>
      <c r="T9" s="2">
        <v>0.11578047038342799</v>
      </c>
      <c r="V9" s="2">
        <v>0.105408277874666</v>
      </c>
      <c r="W9" s="2">
        <f t="shared" si="0"/>
        <v>0.49064414268364542</v>
      </c>
      <c r="Y9" s="2">
        <v>0.29112922787240902</v>
      </c>
      <c r="Z9" s="2">
        <f t="shared" si="1"/>
        <v>0.40680011515906872</v>
      </c>
      <c r="AG9" s="2">
        <v>0.43759543903402198</v>
      </c>
      <c r="AH9" s="2">
        <v>0.206944273557648</v>
      </c>
      <c r="AI9" s="2" t="s">
        <v>30</v>
      </c>
    </row>
    <row r="10" spans="1:37" s="2" customFormat="1">
      <c r="A10" s="2" t="s">
        <v>63</v>
      </c>
      <c r="B10" s="2">
        <v>723</v>
      </c>
      <c r="C10" s="2">
        <v>785.88122136744698</v>
      </c>
      <c r="D10" s="2">
        <v>0.114504036102581</v>
      </c>
      <c r="F10" s="2">
        <v>0.219935919588156</v>
      </c>
      <c r="H10" s="2">
        <v>0.464697572626251</v>
      </c>
      <c r="J10" s="2">
        <v>0.72737521160356799</v>
      </c>
      <c r="Q10" s="2">
        <v>1.3226159988600199</v>
      </c>
      <c r="R10" s="2">
        <v>0.113278487114039</v>
      </c>
      <c r="T10" s="2">
        <v>0.21758192183427999</v>
      </c>
      <c r="V10" s="2">
        <v>0.46141777072929802</v>
      </c>
      <c r="W10" s="2">
        <f t="shared" si="0"/>
        <v>0.63105706121482141</v>
      </c>
      <c r="Y10" s="2">
        <v>0.71241195168460603</v>
      </c>
      <c r="Z10" s="2">
        <f t="shared" si="1"/>
        <v>0.43036576448980257</v>
      </c>
      <c r="AG10" s="2">
        <v>1.30499880412229</v>
      </c>
      <c r="AH10" s="2">
        <v>1.2506480602355801</v>
      </c>
      <c r="AI10" s="2" t="s">
        <v>31</v>
      </c>
    </row>
    <row r="11" spans="1:37" s="2" customFormat="1">
      <c r="A11" s="2" t="s">
        <v>32</v>
      </c>
      <c r="B11" s="2">
        <v>723</v>
      </c>
      <c r="C11" s="2">
        <v>811.82663583714998</v>
      </c>
      <c r="D11" s="2">
        <v>-0.68451425498119201</v>
      </c>
      <c r="F11" s="2">
        <v>-0.44302642149352001</v>
      </c>
      <c r="H11" s="2">
        <v>0.11179705525042199</v>
      </c>
      <c r="J11" s="2">
        <v>0.59758237722471097</v>
      </c>
      <c r="Q11" s="2">
        <v>1.2528784410843901</v>
      </c>
      <c r="R11" s="2">
        <v>-0.67658390816328295</v>
      </c>
      <c r="T11" s="2">
        <v>-0.43789379913193399</v>
      </c>
      <c r="V11" s="2">
        <v>0.10753765071044399</v>
      </c>
      <c r="W11" s="2">
        <f t="shared" si="0"/>
        <v>0.9149838088820651</v>
      </c>
      <c r="Y11" s="2">
        <v>0.58317546813700505</v>
      </c>
      <c r="Z11" s="2">
        <f t="shared" si="1"/>
        <v>0.53895815347571407</v>
      </c>
      <c r="AG11" s="2">
        <v>1.2304065828778701</v>
      </c>
      <c r="AH11" s="2">
        <v>1.26490788750189</v>
      </c>
      <c r="AI11" s="2" t="s">
        <v>33</v>
      </c>
    </row>
    <row r="12" spans="1:37" s="2" customFormat="1">
      <c r="A12" s="2" t="s">
        <v>34</v>
      </c>
      <c r="B12" s="2">
        <v>878</v>
      </c>
      <c r="C12" s="2">
        <v>1023</v>
      </c>
      <c r="D12" s="2">
        <v>0.119718045156126</v>
      </c>
      <c r="F12" s="2">
        <v>0.139517137352687</v>
      </c>
      <c r="H12" s="2">
        <v>0.151086488956231</v>
      </c>
      <c r="J12" s="2">
        <v>0.38363120159952102</v>
      </c>
      <c r="Q12" s="2">
        <v>0.62595318277345302</v>
      </c>
      <c r="R12" s="2">
        <v>0.115742832125585</v>
      </c>
      <c r="T12" s="2">
        <v>0.134884499543867</v>
      </c>
      <c r="V12" s="2">
        <v>0.14300503155139799</v>
      </c>
      <c r="W12" s="2">
        <f t="shared" si="0"/>
        <v>0.72446699439430917</v>
      </c>
      <c r="Y12" s="2">
        <v>0.35966985442212901</v>
      </c>
      <c r="Z12" s="2">
        <f t="shared" si="1"/>
        <v>0.30701098458153026</v>
      </c>
      <c r="AG12" s="2">
        <v>0.59800658991397604</v>
      </c>
      <c r="AH12" s="2">
        <v>0.519012345679012</v>
      </c>
      <c r="AI12" s="2" t="s">
        <v>35</v>
      </c>
    </row>
    <row r="13" spans="1:37" s="2" customFormat="1">
      <c r="A13" s="2" t="s">
        <v>36</v>
      </c>
      <c r="B13" s="2">
        <v>878</v>
      </c>
      <c r="C13" s="2">
        <v>1073</v>
      </c>
      <c r="D13" s="2">
        <v>0.188513710493246</v>
      </c>
      <c r="F13" s="2">
        <v>0.19057901154554499</v>
      </c>
      <c r="H13" s="2">
        <v>0.15917342728042</v>
      </c>
      <c r="J13" s="2">
        <v>0.36475139172742499</v>
      </c>
      <c r="Q13" s="2">
        <v>0.57924146182158398</v>
      </c>
      <c r="R13" s="2">
        <v>0.18133469433076599</v>
      </c>
      <c r="T13" s="2">
        <v>0.18332134418259799</v>
      </c>
      <c r="V13" s="2">
        <v>0.151181269098529</v>
      </c>
      <c r="W13" s="2">
        <f t="shared" si="0"/>
        <v>0.7025362344464714</v>
      </c>
      <c r="Y13" s="2">
        <v>0.33864101447663503</v>
      </c>
      <c r="Z13" s="2">
        <f t="shared" si="1"/>
        <v>0.33369105883456979</v>
      </c>
      <c r="AG13" s="2">
        <v>0.54654293386803399</v>
      </c>
      <c r="AH13" s="2">
        <v>0.50823423423423297</v>
      </c>
      <c r="AI13" s="2" t="s">
        <v>37</v>
      </c>
    </row>
    <row r="14" spans="1:37" s="2" customFormat="1">
      <c r="A14" s="2" t="s">
        <v>38</v>
      </c>
      <c r="B14" s="2">
        <v>878</v>
      </c>
      <c r="C14" s="2">
        <v>1073</v>
      </c>
      <c r="D14" s="2">
        <v>0.234236731349861</v>
      </c>
      <c r="F14" s="2">
        <v>0.21977531622907001</v>
      </c>
      <c r="H14" s="2">
        <v>0.17464563703389399</v>
      </c>
      <c r="J14" s="2">
        <v>0.34979073769636099</v>
      </c>
      <c r="Q14" s="2">
        <v>0.53252974086971405</v>
      </c>
      <c r="R14" s="2">
        <v>0.22647802811295401</v>
      </c>
      <c r="T14" s="2">
        <v>0.21249562338332201</v>
      </c>
      <c r="V14" s="2">
        <v>0.16870277158194399</v>
      </c>
      <c r="W14" s="2">
        <f t="shared" si="0"/>
        <v>0.57854411096587843</v>
      </c>
      <c r="Y14" s="2">
        <v>0.328531464474764</v>
      </c>
      <c r="Z14" s="2">
        <f t="shared" si="1"/>
        <v>0.17925758339637776</v>
      </c>
      <c r="AG14" s="2">
        <v>0.504394808775251</v>
      </c>
      <c r="AH14" s="2">
        <v>0.40028571428571402</v>
      </c>
      <c r="AI14" s="2" t="s">
        <v>39</v>
      </c>
    </row>
    <row r="15" spans="1:37" s="2" customFormat="1">
      <c r="A15" s="2" t="s">
        <v>63</v>
      </c>
      <c r="B15" s="2">
        <v>735</v>
      </c>
      <c r="C15" s="2">
        <v>785.88122136744698</v>
      </c>
      <c r="D15" s="2">
        <v>0.114504036102581</v>
      </c>
      <c r="F15" s="2">
        <v>0.219935919588156</v>
      </c>
      <c r="H15" s="2">
        <v>0.464697572626251</v>
      </c>
      <c r="J15" s="2">
        <v>0.72737521160356799</v>
      </c>
      <c r="L15" s="2">
        <v>0.72737521160356799</v>
      </c>
      <c r="Q15" s="2">
        <v>1.3226159988600199</v>
      </c>
      <c r="R15" s="2">
        <v>0.113278487114039</v>
      </c>
      <c r="T15" s="2">
        <v>0.21758192183427999</v>
      </c>
      <c r="V15" s="2">
        <v>0.46141777072929802</v>
      </c>
      <c r="W15" s="2">
        <f t="shared" si="0"/>
        <v>0.63105706121482141</v>
      </c>
      <c r="Y15" s="2">
        <v>0.71241195168460603</v>
      </c>
      <c r="Z15" s="2">
        <f t="shared" si="1"/>
        <v>0.43036576448980257</v>
      </c>
      <c r="AB15" s="2">
        <v>0.71241195168460603</v>
      </c>
      <c r="AG15" s="2">
        <v>1.30499880412229</v>
      </c>
      <c r="AH15" s="2">
        <v>1.2506480602355801</v>
      </c>
      <c r="AI15" s="2" t="s">
        <v>43</v>
      </c>
    </row>
    <row r="16" spans="1:37">
      <c r="A16" t="s">
        <v>21</v>
      </c>
      <c r="B16">
        <v>723</v>
      </c>
      <c r="C16">
        <v>884</v>
      </c>
      <c r="D16">
        <v>1.1694200634609</v>
      </c>
      <c r="F16">
        <v>1.0901410687791799</v>
      </c>
      <c r="H16">
        <v>1.0169507557437001</v>
      </c>
      <c r="J16">
        <v>0.81942428879552098</v>
      </c>
      <c r="Q16">
        <v>1.35444961686554</v>
      </c>
      <c r="R16">
        <v>1.1438209784587701</v>
      </c>
      <c r="T16">
        <v>1.0662774334988001</v>
      </c>
      <c r="V16">
        <v>0.99333380791119696</v>
      </c>
      <c r="W16">
        <f t="shared" si="0"/>
        <v>9.5706388990070029E-2</v>
      </c>
      <c r="Y16">
        <v>0.77570441935694301</v>
      </c>
      <c r="Z16">
        <f t="shared" si="1"/>
        <v>0.14435179645751153</v>
      </c>
      <c r="AG16">
        <v>1.31056502017601</v>
      </c>
      <c r="AH16">
        <v>0.90656933088322</v>
      </c>
      <c r="AI16" t="s">
        <v>22</v>
      </c>
    </row>
    <row r="17" spans="1:37">
      <c r="A17" t="s">
        <v>80</v>
      </c>
      <c r="B17">
        <v>733</v>
      </c>
      <c r="C17">
        <v>884</v>
      </c>
      <c r="D17">
        <v>1.13216387095465</v>
      </c>
      <c r="E17">
        <v>1.65454641513861</v>
      </c>
      <c r="F17">
        <v>1.0327876010572901</v>
      </c>
      <c r="G17">
        <v>1.5087681980661101</v>
      </c>
      <c r="H17">
        <v>1.0025336872584101</v>
      </c>
      <c r="I17">
        <v>1.51848599870652</v>
      </c>
      <c r="J17">
        <v>0.77455398713730195</v>
      </c>
      <c r="K17">
        <v>1.19487504696948</v>
      </c>
      <c r="R17">
        <v>1.1128791954030901</v>
      </c>
      <c r="S17">
        <v>1.6155238078743901</v>
      </c>
      <c r="T17">
        <v>1.015195647886</v>
      </c>
      <c r="U17">
        <v>1.47318378151111</v>
      </c>
      <c r="V17">
        <v>0.98447068021154305</v>
      </c>
      <c r="W17">
        <f t="shared" si="0"/>
        <v>8.0050057556671564E-2</v>
      </c>
      <c r="X17">
        <v>1.4811883216902499</v>
      </c>
      <c r="Y17">
        <v>0.74095938136264805</v>
      </c>
      <c r="Z17">
        <f t="shared" si="1"/>
        <v>0.18710304067570496</v>
      </c>
      <c r="AA17">
        <v>1.1045267110139001</v>
      </c>
      <c r="AH17">
        <v>0.91150467825412496</v>
      </c>
      <c r="AI17" t="s">
        <v>22</v>
      </c>
      <c r="AJ17">
        <v>1.1000000000000001</v>
      </c>
      <c r="AK17" t="s">
        <v>81</v>
      </c>
    </row>
    <row r="18" spans="1:37">
      <c r="A18" t="s">
        <v>40</v>
      </c>
      <c r="B18">
        <v>1000</v>
      </c>
      <c r="D18">
        <v>0.67334764686844395</v>
      </c>
      <c r="F18">
        <v>0.67819466691103902</v>
      </c>
      <c r="H18">
        <v>0.64214260840362103</v>
      </c>
      <c r="J18">
        <v>0.46849389713973499</v>
      </c>
      <c r="Q18">
        <v>0.73423486406761396</v>
      </c>
      <c r="R18">
        <v>0.67334764686844395</v>
      </c>
      <c r="T18">
        <v>0.67819466691103902</v>
      </c>
      <c r="V18">
        <v>0.64214260840362103</v>
      </c>
      <c r="W18">
        <f t="shared" si="0"/>
        <v>8.2653416566255619E-2</v>
      </c>
      <c r="Y18">
        <v>0.46849389713973499</v>
      </c>
      <c r="Z18">
        <f t="shared" si="1"/>
        <v>0.33072300408609284</v>
      </c>
      <c r="AG18">
        <v>0.73423486406761396</v>
      </c>
      <c r="AH18">
        <f>AJ18</f>
        <v>0.7</v>
      </c>
      <c r="AJ18">
        <v>0.7</v>
      </c>
      <c r="AK18" t="s">
        <v>41</v>
      </c>
    </row>
    <row r="19" spans="1:37">
      <c r="A19" t="s">
        <v>42</v>
      </c>
      <c r="B19">
        <v>735</v>
      </c>
      <c r="C19">
        <v>742.4</v>
      </c>
      <c r="D19">
        <v>0.75544862184204498</v>
      </c>
      <c r="F19">
        <v>0.76389433451710798</v>
      </c>
      <c r="G19">
        <v>1.0241817148185799</v>
      </c>
      <c r="H19">
        <v>0.69546259777516795</v>
      </c>
      <c r="I19">
        <v>0.90509686778680298</v>
      </c>
      <c r="J19">
        <v>0.65005468660002197</v>
      </c>
      <c r="K19">
        <v>0.77295464205475894</v>
      </c>
      <c r="Q19">
        <v>1.09938713445514</v>
      </c>
      <c r="R19">
        <v>0.75296021086501197</v>
      </c>
      <c r="T19">
        <v>0.76137810377375004</v>
      </c>
      <c r="U19">
        <v>1.02039393259144</v>
      </c>
      <c r="V19">
        <v>0.69317885535811896</v>
      </c>
      <c r="W19">
        <f t="shared" si="0"/>
        <v>0.12261059938198271</v>
      </c>
      <c r="X19">
        <v>0.901758710144691</v>
      </c>
      <c r="Y19">
        <v>0.64594060152309996</v>
      </c>
      <c r="Z19">
        <f t="shared" si="1"/>
        <v>0.18240230090054177</v>
      </c>
      <c r="AA19">
        <v>0.76685545577098702</v>
      </c>
      <c r="AG19">
        <v>1.0964289094488999</v>
      </c>
      <c r="AH19">
        <v>0.79004699038973603</v>
      </c>
      <c r="AI19" t="s">
        <v>43</v>
      </c>
    </row>
    <row r="20" spans="1:37">
      <c r="A20" t="s">
        <v>44</v>
      </c>
      <c r="B20">
        <v>700</v>
      </c>
      <c r="C20">
        <v>722.73280584297004</v>
      </c>
      <c r="D20">
        <v>0.42631827664473099</v>
      </c>
      <c r="F20">
        <v>0.39868606871807999</v>
      </c>
      <c r="G20">
        <v>0.35511103946348299</v>
      </c>
      <c r="H20">
        <v>0.393698281764152</v>
      </c>
      <c r="I20">
        <v>0.387446362771657</v>
      </c>
      <c r="J20">
        <v>0.34234495476531401</v>
      </c>
      <c r="Q20">
        <v>0.47430495802771899</v>
      </c>
      <c r="R20">
        <v>0.42244769212502797</v>
      </c>
      <c r="T20">
        <v>0.395066359664209</v>
      </c>
      <c r="U20">
        <v>0.35163380774701902</v>
      </c>
      <c r="V20">
        <v>0.39011154382422603</v>
      </c>
      <c r="W20">
        <f t="shared" si="0"/>
        <v>0.17217061684187418</v>
      </c>
      <c r="X20">
        <v>0.38364039576138398</v>
      </c>
      <c r="Y20">
        <v>0.33784078052696798</v>
      </c>
      <c r="Z20">
        <f t="shared" si="1"/>
        <v>0.28309087650245585</v>
      </c>
      <c r="AG20">
        <v>0.47038278170179998</v>
      </c>
      <c r="AH20">
        <v>0.47124631205523398</v>
      </c>
      <c r="AI20" t="s">
        <v>45</v>
      </c>
    </row>
    <row r="21" spans="1:37">
      <c r="A21" t="s">
        <v>64</v>
      </c>
      <c r="B21">
        <v>958</v>
      </c>
      <c r="C21">
        <v>993.01377726750798</v>
      </c>
      <c r="D21">
        <v>0.67791489617634204</v>
      </c>
      <c r="F21">
        <v>0.672611656850293</v>
      </c>
      <c r="H21">
        <v>0.57197134962562102</v>
      </c>
      <c r="I21">
        <v>0.59758620590054001</v>
      </c>
      <c r="J21">
        <v>0.48604519668468199</v>
      </c>
      <c r="K21">
        <v>0.49336010899981603</v>
      </c>
      <c r="Q21">
        <v>0.74453172698894998</v>
      </c>
      <c r="R21">
        <v>0.66907210830001695</v>
      </c>
      <c r="T21">
        <v>0.66383804494381704</v>
      </c>
      <c r="V21">
        <v>0.56448951322319196</v>
      </c>
      <c r="W21">
        <f t="shared" si="0"/>
        <v>0.26308813123132935</v>
      </c>
      <c r="X21">
        <v>0.58988275122899803</v>
      </c>
      <c r="Y21">
        <v>0.47418605647421902</v>
      </c>
      <c r="Z21">
        <f t="shared" si="1"/>
        <v>0.38097462426675471</v>
      </c>
      <c r="AA21">
        <v>0.482836787450316</v>
      </c>
      <c r="AG21">
        <v>0.73580725099084798</v>
      </c>
      <c r="AH21">
        <v>0.76602038472580902</v>
      </c>
      <c r="AI21" t="s">
        <v>46</v>
      </c>
    </row>
    <row r="22" spans="1:37">
      <c r="A22" t="s">
        <v>47</v>
      </c>
      <c r="B22">
        <v>883</v>
      </c>
      <c r="C22">
        <v>965.57734204792996</v>
      </c>
      <c r="D22">
        <v>0.68568905380067602</v>
      </c>
      <c r="F22">
        <v>0.72519296761788798</v>
      </c>
      <c r="H22">
        <v>0.68631947375037605</v>
      </c>
      <c r="J22">
        <v>0.41038418590950398</v>
      </c>
      <c r="Q22">
        <v>0.68524115415680797</v>
      </c>
      <c r="R22">
        <v>0.667318271847822</v>
      </c>
      <c r="T22">
        <v>0.70576380828100305</v>
      </c>
      <c r="V22">
        <v>0.66793180176935196</v>
      </c>
      <c r="W22">
        <f t="shared" si="0"/>
        <v>1.8943204800358195E-2</v>
      </c>
      <c r="Y22">
        <v>0.38684120382342102</v>
      </c>
      <c r="Z22">
        <f t="shared" si="1"/>
        <v>0.40986607475716746</v>
      </c>
      <c r="AG22">
        <v>0.666853482175784</v>
      </c>
      <c r="AH22">
        <v>0.65551426087602205</v>
      </c>
      <c r="AI22" t="s">
        <v>48</v>
      </c>
    </row>
    <row r="23" spans="1:37">
      <c r="A23" t="s">
        <v>49</v>
      </c>
      <c r="B23">
        <v>1073.8</v>
      </c>
      <c r="C23">
        <v>1169.4386694386601</v>
      </c>
      <c r="D23">
        <v>0.48765040999654702</v>
      </c>
      <c r="F23">
        <v>0.49299200468391502</v>
      </c>
      <c r="H23">
        <v>0.48681288142144602</v>
      </c>
      <c r="J23">
        <v>0.310170753406454</v>
      </c>
      <c r="Q23">
        <v>0.486734668471486</v>
      </c>
      <c r="R23">
        <v>0.46764533545626702</v>
      </c>
      <c r="T23">
        <v>0.472767799804167</v>
      </c>
      <c r="V23">
        <v>0.466842165145266</v>
      </c>
      <c r="W23">
        <f t="shared" si="0"/>
        <v>0.11307557132498924</v>
      </c>
      <c r="Y23">
        <v>0.28504924771650703</v>
      </c>
      <c r="Z23">
        <f t="shared" si="1"/>
        <v>0.45845264191906016</v>
      </c>
      <c r="AG23">
        <v>0.46682997060488102</v>
      </c>
      <c r="AH23">
        <v>0.52636070227842102</v>
      </c>
      <c r="AI23" t="s">
        <v>50</v>
      </c>
    </row>
    <row r="24" spans="1:37">
      <c r="A24" t="s">
        <v>51</v>
      </c>
      <c r="B24">
        <v>1042.7</v>
      </c>
      <c r="C24">
        <v>1052.1638776687801</v>
      </c>
      <c r="D24">
        <v>0.37448385514297</v>
      </c>
      <c r="F24">
        <v>0.39772401672316798</v>
      </c>
      <c r="H24">
        <v>0.37423569928907002</v>
      </c>
      <c r="J24">
        <v>0.26186834835755002</v>
      </c>
      <c r="Q24">
        <v>0.37411661147486303</v>
      </c>
      <c r="R24">
        <v>0.37273883886439402</v>
      </c>
      <c r="T24">
        <v>0.39587070616242998</v>
      </c>
      <c r="V24">
        <v>0.37249183936476299</v>
      </c>
      <c r="W24">
        <f t="shared" si="0"/>
        <v>1.3588159152982771E-2</v>
      </c>
      <c r="Y24">
        <v>0.25964866776244899</v>
      </c>
      <c r="Z24">
        <f t="shared" si="1"/>
        <v>0.29346958142041618</v>
      </c>
      <c r="AG24">
        <v>0.37237545813401701</v>
      </c>
      <c r="AH24">
        <v>0.36749821512915098</v>
      </c>
      <c r="AI24" t="s">
        <v>52</v>
      </c>
    </row>
    <row r="25" spans="1:37">
      <c r="A25" t="s">
        <v>53</v>
      </c>
      <c r="B25">
        <v>1121.2</v>
      </c>
      <c r="C25">
        <v>1121.2</v>
      </c>
      <c r="D25">
        <v>1.3492011992525701</v>
      </c>
      <c r="F25">
        <v>1.4344247043755101</v>
      </c>
      <c r="H25">
        <v>1.3498414938304</v>
      </c>
      <c r="J25">
        <v>0.80194503019063301</v>
      </c>
      <c r="Q25">
        <v>1.35697644485796</v>
      </c>
      <c r="R25">
        <v>1.3492011992525701</v>
      </c>
      <c r="T25">
        <v>1.4344247043755101</v>
      </c>
      <c r="V25">
        <v>1.3498414938304</v>
      </c>
      <c r="W25">
        <f t="shared" si="0"/>
        <v>7.1577209460329097E-2</v>
      </c>
      <c r="Y25">
        <v>0.80194503019063301</v>
      </c>
      <c r="Z25">
        <f t="shared" si="1"/>
        <v>0.36337264669963548</v>
      </c>
      <c r="AG25">
        <v>1.35697644485796</v>
      </c>
      <c r="AH25">
        <v>1.2596773073498</v>
      </c>
      <c r="AI25" t="s">
        <v>54</v>
      </c>
    </row>
    <row r="26" spans="1:37">
      <c r="A26" t="s">
        <v>55</v>
      </c>
      <c r="B26">
        <v>1268</v>
      </c>
      <c r="C26">
        <v>1276.21082621082</v>
      </c>
      <c r="D26">
        <v>0.84228950917194001</v>
      </c>
      <c r="F26">
        <v>0.90253851323448497</v>
      </c>
      <c r="H26">
        <v>0.842268101058265</v>
      </c>
      <c r="J26">
        <v>0.53047695960528096</v>
      </c>
      <c r="Q26">
        <v>0.84054676311417098</v>
      </c>
      <c r="R26">
        <v>0.83982795077986605</v>
      </c>
      <c r="T26">
        <v>0.89990087946696196</v>
      </c>
      <c r="V26">
        <v>0.83980660523057205</v>
      </c>
      <c r="W26">
        <f t="shared" si="0"/>
        <v>0.28778768741476363</v>
      </c>
      <c r="Y26">
        <v>0.52656452655946195</v>
      </c>
      <c r="Z26">
        <f t="shared" si="1"/>
        <v>0.55343797387340166</v>
      </c>
      <c r="AG26">
        <v>0.83809041270268603</v>
      </c>
      <c r="AH26">
        <v>1.17915204552163</v>
      </c>
      <c r="AI26" t="s">
        <v>95</v>
      </c>
    </row>
    <row r="27" spans="1:37">
      <c r="A27" t="s">
        <v>56</v>
      </c>
      <c r="B27">
        <v>1131.2</v>
      </c>
      <c r="C27">
        <v>1130.5970149253701</v>
      </c>
      <c r="D27">
        <v>0.58239324717060903</v>
      </c>
      <c r="F27">
        <v>0.56777343170887595</v>
      </c>
      <c r="H27">
        <v>0.58268227937308503</v>
      </c>
      <c r="J27">
        <v>0.36409719101091298</v>
      </c>
      <c r="Q27">
        <v>0.58236909026073802</v>
      </c>
      <c r="R27">
        <v>0.58239324717060903</v>
      </c>
      <c r="T27">
        <v>0.56777343170887595</v>
      </c>
      <c r="V27">
        <v>0.58268227937308503</v>
      </c>
      <c r="W27">
        <f t="shared" si="0"/>
        <v>6.4372614284336355E-2</v>
      </c>
      <c r="Y27">
        <v>0.36409719101091298</v>
      </c>
      <c r="Z27">
        <f t="shared" si="1"/>
        <v>0.41536011127972411</v>
      </c>
      <c r="AG27">
        <v>0.58236909026073802</v>
      </c>
      <c r="AH27">
        <v>0.62277172330456099</v>
      </c>
      <c r="AI27" t="s">
        <v>57</v>
      </c>
    </row>
    <row r="28" spans="1:37">
      <c r="A28" t="s">
        <v>58</v>
      </c>
      <c r="B28">
        <v>987</v>
      </c>
      <c r="C28">
        <v>986.86210640607999</v>
      </c>
      <c r="D28">
        <v>0.43829220504215799</v>
      </c>
      <c r="F28">
        <v>0.363487862637835</v>
      </c>
      <c r="H28">
        <v>0.43829220310135403</v>
      </c>
      <c r="J28">
        <v>0.28861057804145501</v>
      </c>
      <c r="Q28">
        <v>0.43829220310135403</v>
      </c>
      <c r="R28">
        <v>0.43829220504215799</v>
      </c>
      <c r="T28">
        <v>0.363487862637835</v>
      </c>
      <c r="V28">
        <v>0.43829220310135403</v>
      </c>
      <c r="W28">
        <f t="shared" si="0"/>
        <v>0.19417783246336415</v>
      </c>
      <c r="Y28">
        <v>0.28861057804145501</v>
      </c>
      <c r="Z28">
        <f t="shared" si="1"/>
        <v>0.46937499703232072</v>
      </c>
      <c r="AG28">
        <v>0.43829220310135403</v>
      </c>
      <c r="AH28">
        <v>0.54390685781354797</v>
      </c>
      <c r="AI28" t="s">
        <v>94</v>
      </c>
    </row>
    <row r="29" spans="1:37">
      <c r="A29" t="s">
        <v>59</v>
      </c>
      <c r="B29">
        <v>1534.2</v>
      </c>
      <c r="C29">
        <v>1554.2416452442101</v>
      </c>
      <c r="D29">
        <v>0.76994949433911597</v>
      </c>
      <c r="F29">
        <v>0.65134846570830895</v>
      </c>
      <c r="H29">
        <v>0.769949490929699</v>
      </c>
      <c r="J29">
        <v>0.55165642193242004</v>
      </c>
      <c r="Q29">
        <v>0.769949490929699</v>
      </c>
      <c r="R29">
        <v>0.76680974957054304</v>
      </c>
      <c r="T29">
        <v>0.648692359102926</v>
      </c>
      <c r="V29">
        <v>0.76680974617502995</v>
      </c>
      <c r="W29">
        <f t="shared" si="0"/>
        <v>9.1875730598472316E-2</v>
      </c>
      <c r="Y29">
        <v>0.54942631142670295</v>
      </c>
      <c r="Z29">
        <f t="shared" si="1"/>
        <v>0.21766088890826082</v>
      </c>
      <c r="AG29">
        <v>0.76680974617502995</v>
      </c>
      <c r="AH29">
        <v>0.70228664735933899</v>
      </c>
      <c r="AI29" t="s">
        <v>60</v>
      </c>
    </row>
    <row r="30" spans="1:37">
      <c r="A30" t="s">
        <v>61</v>
      </c>
      <c r="B30">
        <v>1692</v>
      </c>
      <c r="C30">
        <v>1697.8471474703899</v>
      </c>
      <c r="D30">
        <v>0.53240327298093204</v>
      </c>
      <c r="F30">
        <v>0.56536851936820998</v>
      </c>
      <c r="H30">
        <v>0.53240327062339499</v>
      </c>
      <c r="J30">
        <v>0.428106642994455</v>
      </c>
      <c r="Q30">
        <v>0.53240327062339499</v>
      </c>
      <c r="R30">
        <v>0.53209375735480802</v>
      </c>
      <c r="T30">
        <v>0.56503983921137502</v>
      </c>
      <c r="V30">
        <v>0.53209375499864198</v>
      </c>
      <c r="W30">
        <f t="shared" si="0"/>
        <v>0.10256457606708892</v>
      </c>
      <c r="Y30">
        <v>0.427744101475241</v>
      </c>
      <c r="Z30">
        <f t="shared" si="1"/>
        <v>0.27856189734229303</v>
      </c>
      <c r="AG30">
        <v>0.53209375499864198</v>
      </c>
      <c r="AH30">
        <v>0.59290478268263602</v>
      </c>
      <c r="AI30" t="s">
        <v>62</v>
      </c>
    </row>
    <row r="35" spans="19:26">
      <c r="U35" t="s">
        <v>82</v>
      </c>
      <c r="V35" t="s">
        <v>86</v>
      </c>
      <c r="X35" t="s">
        <v>89</v>
      </c>
    </row>
    <row r="36" spans="19:26">
      <c r="S36" t="s">
        <v>85</v>
      </c>
      <c r="T36" t="s">
        <v>83</v>
      </c>
      <c r="U36">
        <f>AVERAGE(W6:W15)</f>
        <v>0.55680469113133069</v>
      </c>
      <c r="V36">
        <f>AVERAGE(Z6:Z15)</f>
        <v>0.28725646147352202</v>
      </c>
      <c r="X36" t="s">
        <v>90</v>
      </c>
      <c r="Z36" t="s">
        <v>196</v>
      </c>
    </row>
    <row r="37" spans="19:26">
      <c r="T37" t="s">
        <v>84</v>
      </c>
      <c r="U37">
        <f>AVERAGE(W16:W30)</f>
        <v>0.11828278640899122</v>
      </c>
      <c r="V37">
        <f>AVERAGE(Z16:Z30)</f>
        <v>0.33121349707475611</v>
      </c>
      <c r="X37" t="s">
        <v>91</v>
      </c>
      <c r="Z37" t="s">
        <v>195</v>
      </c>
    </row>
    <row r="38" spans="19:26">
      <c r="X38" t="s">
        <v>92</v>
      </c>
    </row>
    <row r="39" spans="19:26">
      <c r="U39" t="s">
        <v>88</v>
      </c>
      <c r="X39" t="s">
        <v>93</v>
      </c>
    </row>
    <row r="40" spans="19:26">
      <c r="T40">
        <v>0</v>
      </c>
      <c r="U40">
        <v>1.1499999999999999</v>
      </c>
    </row>
    <row r="41" spans="19:26">
      <c r="T41">
        <v>0</v>
      </c>
      <c r="U41">
        <v>0.85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ACFF-F044-4190-98A6-D58162A57868}">
  <sheetPr>
    <outlinePr summaryBelow="0"/>
  </sheetPr>
  <dimension ref="A1:CB55"/>
  <sheetViews>
    <sheetView tabSelected="1" zoomScale="77" zoomScaleNormal="77" workbookViewId="0">
      <pane xSplit="1" topLeftCell="AC1" activePane="topRight" state="frozen"/>
      <selection pane="topRight" activeCell="A2" sqref="A2"/>
    </sheetView>
  </sheetViews>
  <sheetFormatPr defaultColWidth="9.125" defaultRowHeight="14.25"/>
  <cols>
    <col min="1" max="1" width="40.125" style="73" customWidth="1"/>
    <col min="2" max="2" width="7.875" style="73" customWidth="1"/>
    <col min="3" max="3" width="6.375" style="73" customWidth="1"/>
    <col min="4" max="4" width="8.375" style="73" customWidth="1"/>
    <col min="5" max="5" width="9" style="73" customWidth="1"/>
    <col min="6" max="6" width="10.375" style="73" customWidth="1"/>
    <col min="7" max="7" width="11.125" style="73" customWidth="1"/>
    <col min="8" max="8" width="12.75" style="73" customWidth="1"/>
    <col min="9" max="9" width="13" style="73" customWidth="1"/>
    <col min="10" max="10" width="10.625" style="73" customWidth="1"/>
    <col min="11" max="11" width="12.125" style="58" customWidth="1"/>
    <col min="12" max="12" width="11.75" style="58" customWidth="1"/>
    <col min="13" max="13" width="2.375" style="62" customWidth="1"/>
    <col min="14" max="14" width="14.625" style="62" customWidth="1"/>
    <col min="15" max="15" width="13.125" style="62" customWidth="1"/>
    <col min="16" max="16" width="2.25" style="62" customWidth="1"/>
    <col min="17" max="17" width="8.125" customWidth="1"/>
    <col min="18" max="19" width="2.25" style="62" customWidth="1"/>
    <col min="20" max="24" width="12" style="62" customWidth="1"/>
    <col min="25" max="25" width="12.125" style="24" customWidth="1"/>
    <col min="26" max="26" width="10.125" style="28" customWidth="1"/>
    <col min="27" max="27" width="7.625" style="28" customWidth="1"/>
    <col min="28" max="28" width="6.25" style="28" customWidth="1"/>
    <col min="29" max="33" width="8.375" style="28" customWidth="1"/>
    <col min="34" max="34" width="7.875" style="28" customWidth="1"/>
    <col min="35" max="35" width="6.125" style="28" customWidth="1"/>
    <col min="36" max="37" width="8.875" style="28" customWidth="1"/>
    <col min="38" max="38" width="14.875" style="78" customWidth="1"/>
    <col min="39" max="42" width="14.875" style="78" hidden="1" customWidth="1"/>
    <col min="43" max="43" width="19" style="78" hidden="1" customWidth="1"/>
    <col min="44" max="44" width="8.75" style="78" hidden="1" customWidth="1"/>
    <col min="45" max="45" width="15.25" style="78" hidden="1" customWidth="1"/>
    <col min="46" max="46" width="14.875" style="78" hidden="1" customWidth="1"/>
    <col min="47" max="47" width="15.625" style="78" hidden="1" customWidth="1"/>
    <col min="48" max="48" width="10.125" style="78" hidden="1" customWidth="1"/>
    <col min="49" max="49" width="13.75" style="78" hidden="1" customWidth="1"/>
    <col min="50" max="51" width="14.375" style="78" hidden="1" customWidth="1"/>
    <col min="52" max="52" width="15.375" style="78" hidden="1" customWidth="1"/>
    <col min="53" max="53" width="11.125" style="79" hidden="1" customWidth="1"/>
    <col min="54" max="54" width="10.625" style="78" hidden="1" customWidth="1"/>
    <col min="55" max="55" width="10.625" style="78" customWidth="1"/>
    <col min="56" max="56" width="10.625" style="78" hidden="1" customWidth="1"/>
    <col min="57" max="57" width="18" style="78" hidden="1" customWidth="1"/>
    <col min="58" max="58" width="11" style="80" hidden="1" customWidth="1"/>
    <col min="59" max="59" width="15.25" style="80" hidden="1" customWidth="1"/>
    <col min="60" max="60" width="14.25" style="78" hidden="1" customWidth="1"/>
    <col min="61" max="63" width="14.25" style="78" customWidth="1"/>
    <col min="64" max="64" width="13.75" style="81" customWidth="1"/>
    <col min="65" max="66" width="9.125" hidden="1" customWidth="1"/>
    <col min="67" max="68" width="15.125" customWidth="1"/>
    <col min="69" max="69" width="13.75" customWidth="1"/>
    <col min="70" max="71" width="11.875" style="28" customWidth="1"/>
    <col min="72" max="72" width="9.125" style="28"/>
    <col min="73" max="78" width="9.125" style="28" customWidth="1"/>
    <col min="79" max="79" width="11.75" style="28" customWidth="1"/>
    <col min="80" max="16384" width="9.125" style="28"/>
  </cols>
  <sheetData>
    <row r="1" spans="1:80" s="10" customFormat="1" ht="20.25" customHeight="1" thickBot="1">
      <c r="A1" s="3" t="s">
        <v>96</v>
      </c>
      <c r="B1" s="4" t="s">
        <v>97</v>
      </c>
      <c r="C1" s="3" t="s">
        <v>98</v>
      </c>
      <c r="D1" s="3" t="s">
        <v>99</v>
      </c>
      <c r="E1" s="3" t="s">
        <v>100</v>
      </c>
      <c r="F1" s="5" t="s">
        <v>101</v>
      </c>
      <c r="G1" s="5" t="s">
        <v>102</v>
      </c>
      <c r="H1" s="3" t="s">
        <v>103</v>
      </c>
      <c r="I1" s="3" t="s">
        <v>104</v>
      </c>
      <c r="J1" s="3" t="s">
        <v>105</v>
      </c>
      <c r="K1" s="6" t="s">
        <v>106</v>
      </c>
      <c r="L1" s="6" t="s">
        <v>107</v>
      </c>
      <c r="M1" s="7" t="s">
        <v>108</v>
      </c>
      <c r="N1" s="7" t="s">
        <v>109</v>
      </c>
      <c r="O1" s="7" t="s">
        <v>110</v>
      </c>
      <c r="P1" s="8" t="s">
        <v>111</v>
      </c>
      <c r="Q1" s="4" t="s">
        <v>440</v>
      </c>
      <c r="R1" s="7" t="s">
        <v>112</v>
      </c>
      <c r="S1" s="7" t="s">
        <v>113</v>
      </c>
      <c r="T1" s="7" t="s">
        <v>114</v>
      </c>
      <c r="U1" s="7" t="s">
        <v>438</v>
      </c>
      <c r="V1" s="7" t="s">
        <v>134</v>
      </c>
      <c r="W1" s="7" t="s">
        <v>294</v>
      </c>
      <c r="X1" s="83" t="s">
        <v>197</v>
      </c>
      <c r="Y1" s="9" t="s">
        <v>115</v>
      </c>
      <c r="Z1" s="10" t="s">
        <v>116</v>
      </c>
      <c r="AA1" s="10" t="s">
        <v>117</v>
      </c>
      <c r="AB1" s="10" t="s">
        <v>118</v>
      </c>
      <c r="AC1" s="10" t="s">
        <v>119</v>
      </c>
      <c r="AD1" s="10" t="s">
        <v>320</v>
      </c>
      <c r="AE1" s="10" t="s">
        <v>321</v>
      </c>
      <c r="AF1" s="10" t="s">
        <v>322</v>
      </c>
      <c r="AH1" s="10" t="s">
        <v>120</v>
      </c>
      <c r="AI1" s="10" t="s">
        <v>121</v>
      </c>
      <c r="AJ1" s="10" t="s">
        <v>122</v>
      </c>
      <c r="AK1" s="10" t="s">
        <v>442</v>
      </c>
      <c r="AL1" s="11" t="s">
        <v>123</v>
      </c>
      <c r="AM1" s="11" t="s">
        <v>124</v>
      </c>
      <c r="AN1" s="11" t="s">
        <v>125</v>
      </c>
      <c r="AO1" s="11" t="s">
        <v>126</v>
      </c>
      <c r="AP1" s="11" t="s">
        <v>127</v>
      </c>
      <c r="AQ1" s="11" t="s">
        <v>128</v>
      </c>
      <c r="AR1" s="11" t="s">
        <v>129</v>
      </c>
      <c r="AS1" s="11" t="s">
        <v>130</v>
      </c>
      <c r="AT1" s="11" t="s">
        <v>131</v>
      </c>
      <c r="AU1" s="12" t="s">
        <v>132</v>
      </c>
      <c r="AV1" s="13" t="s">
        <v>133</v>
      </c>
      <c r="AW1" s="13" t="s">
        <v>134</v>
      </c>
      <c r="AX1" s="13" t="s">
        <v>135</v>
      </c>
      <c r="AY1" s="14" t="s">
        <v>136</v>
      </c>
      <c r="AZ1" s="13" t="s">
        <v>137</v>
      </c>
      <c r="BA1" s="13" t="s">
        <v>138</v>
      </c>
      <c r="BB1" s="15" t="s">
        <v>139</v>
      </c>
      <c r="BC1" s="16" t="s">
        <v>140</v>
      </c>
      <c r="BD1" s="16" t="s">
        <v>141</v>
      </c>
      <c r="BE1" s="17" t="s">
        <v>142</v>
      </c>
      <c r="BF1" s="17" t="s">
        <v>143</v>
      </c>
      <c r="BG1" s="18" t="s">
        <v>144</v>
      </c>
      <c r="BH1" s="19" t="s">
        <v>145</v>
      </c>
      <c r="BI1" s="19" t="s">
        <v>441</v>
      </c>
      <c r="BJ1" s="19" t="s">
        <v>443</v>
      </c>
      <c r="BK1" s="19" t="s">
        <v>285</v>
      </c>
      <c r="BL1" s="19" t="s">
        <v>146</v>
      </c>
      <c r="BM1" s="20" t="s">
        <v>147</v>
      </c>
      <c r="BN1" s="21" t="s">
        <v>148</v>
      </c>
      <c r="BO1" s="4" t="s">
        <v>149</v>
      </c>
      <c r="BP1" s="82" t="s">
        <v>197</v>
      </c>
      <c r="BQ1" s="4" t="s">
        <v>150</v>
      </c>
      <c r="BR1" s="4" t="s">
        <v>284</v>
      </c>
      <c r="BS1" s="4" t="s">
        <v>235</v>
      </c>
      <c r="BT1" s="4" t="s">
        <v>291</v>
      </c>
      <c r="BU1" s="4" t="s">
        <v>292</v>
      </c>
      <c r="BV1" s="4" t="s">
        <v>296</v>
      </c>
      <c r="BW1" s="4" t="s">
        <v>295</v>
      </c>
      <c r="BX1" s="4" t="s">
        <v>292</v>
      </c>
      <c r="BY1" s="4" t="s">
        <v>286</v>
      </c>
      <c r="BZ1" s="4" t="s">
        <v>293</v>
      </c>
      <c r="CA1" s="10" t="s">
        <v>151</v>
      </c>
    </row>
    <row r="2" spans="1:80" ht="20.25" customHeight="1">
      <c r="A2" s="22" t="s">
        <v>152</v>
      </c>
      <c r="B2" s="23">
        <v>9.9499999999999993</v>
      </c>
      <c r="C2" s="22">
        <v>1</v>
      </c>
      <c r="D2" s="22">
        <v>12</v>
      </c>
      <c r="E2" s="22">
        <v>12</v>
      </c>
      <c r="F2" s="24">
        <f t="shared" ref="F2:F37" si="0">D2*1.6726219E-27</f>
        <v>2.0071462799999999E-26</v>
      </c>
      <c r="G2" s="24">
        <f t="shared" ref="G2:G41" si="1">E2*9.1093856E-31</f>
        <v>1.0931262719999999E-29</v>
      </c>
      <c r="H2" s="25">
        <f>((F2*D2)/(G2*E2))</f>
        <v>1836.1522647586683</v>
      </c>
      <c r="I2" s="25">
        <f>D2/E2</f>
        <v>1</v>
      </c>
      <c r="J2" s="26">
        <f>(F2)-(G2)</f>
        <v>2.0060531537279999E-26</v>
      </c>
      <c r="K2" s="27">
        <v>25.939</v>
      </c>
      <c r="L2" s="28">
        <f>0.115*EXP(27000/(8.3144598*N2))/1000</f>
        <v>2.0988673196732184E-3</v>
      </c>
      <c r="M2" s="29">
        <f>N2^-1</f>
        <v>8.9433439162902998E-4</v>
      </c>
      <c r="N2" s="27">
        <v>1118.1500000000001</v>
      </c>
      <c r="O2" s="30">
        <v>1.42E-5</v>
      </c>
      <c r="P2" s="30">
        <v>2.6800000000000001E-4</v>
      </c>
      <c r="Q2">
        <f>6.02214076E+23/O2</f>
        <v>4.2409441971830986E+28</v>
      </c>
      <c r="R2" s="31">
        <v>7.5999999999999996E-11</v>
      </c>
      <c r="S2" s="31">
        <v>1.3300000000000001E-10</v>
      </c>
      <c r="T2" s="31">
        <f>S2+R2</f>
        <v>2.09E-10</v>
      </c>
      <c r="U2" s="31">
        <f>(( (O2/6.02214076E+23)^(1/3)) + (T2)) / 2</f>
        <v>2.4787798908718191E-10</v>
      </c>
      <c r="V2" s="31">
        <v>1.8774500000000001</v>
      </c>
      <c r="W2" s="31">
        <f>S2/R2</f>
        <v>1.7500000000000002</v>
      </c>
      <c r="X2" s="31">
        <f>T2*10000000000</f>
        <v>2.09</v>
      </c>
      <c r="Y2" s="31">
        <v>1810000</v>
      </c>
      <c r="Z2" s="32">
        <v>2547.8000000000002</v>
      </c>
      <c r="AA2" s="28">
        <v>0</v>
      </c>
      <c r="AB2" s="24">
        <v>2.3580999999999999</v>
      </c>
      <c r="AC2" s="24">
        <v>-4.9019999999999999E-4</v>
      </c>
      <c r="AD2" s="89">
        <v>6.9409999999999998</v>
      </c>
      <c r="AE2" s="90">
        <v>18.998403</v>
      </c>
      <c r="AF2" s="90">
        <f>ABS(AE2-AD2)</f>
        <v>12.057403000000001</v>
      </c>
      <c r="AG2" s="90">
        <f>K2/BR2</f>
        <v>5.1023950904962554</v>
      </c>
      <c r="AH2" s="28">
        <v>1</v>
      </c>
      <c r="AI2" s="28">
        <v>1</v>
      </c>
      <c r="AJ2" s="28">
        <f>AH2+AI2</f>
        <v>2</v>
      </c>
      <c r="AK2" s="28">
        <f>1+AH2/AI2</f>
        <v>2</v>
      </c>
      <c r="AL2" s="33">
        <v>1.33125</v>
      </c>
      <c r="AM2" s="33">
        <f t="shared" ref="AM2:AM41" si="2">1/3*BL2*BC2*T2</f>
        <v>0.80248523098591562</v>
      </c>
      <c r="AN2" s="33">
        <f>ABS((AL2-AM2)/AL2)</f>
        <v>0.39719419268663619</v>
      </c>
      <c r="AO2" s="33">
        <f t="shared" ref="AO2:AO9" si="3">1/3*BL2*BC2*AW2</f>
        <v>0.72246877793114617</v>
      </c>
      <c r="AP2" s="33">
        <f>1/3*BL2*BC2*AX2</f>
        <v>0.90368250947301099</v>
      </c>
      <c r="AQ2" s="33">
        <v>0.79448872327487496</v>
      </c>
      <c r="AR2" s="34">
        <f>(AL2-AQ2)/AL2</f>
        <v>0.40320095904234748</v>
      </c>
      <c r="AS2" s="34">
        <f t="shared" ref="AS2:AS41" si="4">AL2/(1/3*BC2*T2)</f>
        <v>7500138.0307092983</v>
      </c>
      <c r="AT2" s="34">
        <f t="shared" ref="AT2:AT41" si="5">AL2/(1/3*BC2*AY2)</f>
        <v>4521126.760563381</v>
      </c>
      <c r="AU2" s="35">
        <v>3801381451.0759559</v>
      </c>
      <c r="AV2" s="36">
        <f>AQ2/AU2</f>
        <v>2.0900000000000005E-10</v>
      </c>
      <c r="AW2" s="36">
        <v>1.8816044053807599E-10</v>
      </c>
      <c r="AX2" s="36">
        <v>2.3535591333913802E-10</v>
      </c>
      <c r="AY2" s="37">
        <f t="shared" ref="AY2:AY41" si="6">AL2/(1/3*BL2*BC2)</f>
        <v>3.4671198827942447E-10</v>
      </c>
      <c r="AZ2" s="36">
        <f>AL2/AU2</f>
        <v>3.5020163515113658E-10</v>
      </c>
      <c r="BA2" s="36">
        <f>(AZ2-AV2)/AV2</f>
        <v>0.67560590981405022</v>
      </c>
      <c r="BB2" s="38">
        <f>AQ2/BC2</f>
        <v>3.1183323780315365E-4</v>
      </c>
      <c r="BC2" s="39">
        <f t="shared" ref="BC2:BC37" si="7">Z2+AA2*N2</f>
        <v>2547.8000000000002</v>
      </c>
      <c r="BD2" s="39">
        <v>3500</v>
      </c>
      <c r="BE2" s="40">
        <f>AL2/BB2</f>
        <v>4269.1087370242376</v>
      </c>
      <c r="BF2" s="40">
        <f>(BE2-BC2)/BC2</f>
        <v>0.67560590981405033</v>
      </c>
      <c r="BG2" s="41">
        <f t="shared" ref="BG2:BG41" si="8">AQ2/BH2</f>
        <v>1.2375213758175622E-2</v>
      </c>
      <c r="BH2" s="42">
        <v>64.2</v>
      </c>
      <c r="BI2" s="42">
        <f>1.380649E-23*Q2</f>
        <v>585525.53648966481</v>
      </c>
      <c r="BJ2" s="42">
        <f>BI2*AK2</f>
        <v>1171051.0729793296</v>
      </c>
      <c r="BK2" s="42">
        <f>BL2/1000000</f>
        <v>4.5211267605633809</v>
      </c>
      <c r="BL2" s="42">
        <f t="shared" ref="BL2:BL41" si="9">BH2/O2</f>
        <v>4521126.760563381</v>
      </c>
      <c r="BM2" s="43">
        <f>AL2/(BG2)</f>
        <v>107.57389941006203</v>
      </c>
      <c r="BN2" s="44">
        <f>(BM2-BH2)/BH2</f>
        <v>0.67560590981405022</v>
      </c>
      <c r="BO2" s="45">
        <f t="shared" ref="BO2:BO41" si="10">BC2*BL2</f>
        <v>11518926760.563383</v>
      </c>
      <c r="BP2" s="45">
        <f>BO2*0.0000000001</f>
        <v>1.1518926760563384</v>
      </c>
      <c r="BQ2" s="45">
        <f t="shared" ref="BQ2:BQ41" si="11">BO2*T2</f>
        <v>2.4074556929577473</v>
      </c>
      <c r="BR2">
        <v>5.083691</v>
      </c>
      <c r="BS2">
        <v>-6.5464268762555351E-5</v>
      </c>
      <c r="BT2">
        <v>0.87109135993301767</v>
      </c>
      <c r="BU2">
        <f>SQRT(BT2/BR2)</f>
        <v>0.41394465624042837</v>
      </c>
      <c r="BV2">
        <f>SQRT(1/BR2)</f>
        <v>0.44351715976809863</v>
      </c>
      <c r="BW2">
        <v>1.8399999999999998E-10</v>
      </c>
      <c r="BX2">
        <f>BW2*SQRT(BT2/BR2)</f>
        <v>7.6165816748238807E-11</v>
      </c>
      <c r="BY2">
        <f>SQRT(ABS(BS2))/BR2</f>
        <v>1.5915599991741989E-3</v>
      </c>
      <c r="BZ2">
        <f>BC2^(2/3)*O2</f>
        <v>2.6488979866403852E-3</v>
      </c>
      <c r="CA2" s="24">
        <f t="shared" ref="CA2:CA9" si="12">L2/(Y2/1000*(Z2+AA2*N2))</f>
        <v>4.5513588360128237E-10</v>
      </c>
      <c r="CB2" s="24"/>
    </row>
    <row r="3" spans="1:80" ht="20.25" customHeight="1">
      <c r="A3" s="22" t="s">
        <v>153</v>
      </c>
      <c r="B3" s="23">
        <v>6.9</v>
      </c>
      <c r="C3" s="22">
        <v>1</v>
      </c>
      <c r="D3" s="22">
        <v>20</v>
      </c>
      <c r="E3" s="22">
        <v>20</v>
      </c>
      <c r="F3" s="24">
        <f t="shared" si="0"/>
        <v>3.3452438000000001E-26</v>
      </c>
      <c r="G3" s="24">
        <f t="shared" si="1"/>
        <v>1.82187712E-29</v>
      </c>
      <c r="H3" s="25">
        <f t="shared" ref="H3:H41" si="13">((F3*D3)/(G3*E3))</f>
        <v>1836.1522647586683</v>
      </c>
      <c r="I3" s="25">
        <f t="shared" ref="I3:I41" si="14">D3/E3</f>
        <v>1</v>
      </c>
      <c r="J3" s="26">
        <f t="shared" ref="J3:J41" si="15">(F3)-(G3)</f>
        <v>3.3434219228800004E-26</v>
      </c>
      <c r="K3" s="27">
        <v>41.988</v>
      </c>
      <c r="L3" s="28">
        <f>0.12*EXP(26500/(8.3144598*N3))/1000</f>
        <v>1.4814456494713717E-3</v>
      </c>
      <c r="M3" s="29">
        <f t="shared" ref="M3:M41" si="16">N3^-1</f>
        <v>7.885502503647044E-4</v>
      </c>
      <c r="N3" s="27">
        <v>1268.1500000000001</v>
      </c>
      <c r="O3" s="30">
        <v>2.16E-5</v>
      </c>
      <c r="P3" s="30">
        <v>2.8800000000000001E-4</v>
      </c>
      <c r="Q3">
        <f t="shared" ref="Q3:Q41" si="17">6.02214076E+23/O3</f>
        <v>2.7880281296296295E+28</v>
      </c>
      <c r="R3" s="31">
        <v>1.02E-10</v>
      </c>
      <c r="S3" s="31">
        <v>1.3300000000000001E-10</v>
      </c>
      <c r="T3" s="31">
        <f t="shared" ref="T3:T22" si="18">S3+R3</f>
        <v>2.3500000000000002E-10</v>
      </c>
      <c r="U3" s="31">
        <f t="shared" ref="U3:U41" si="19">(( (O3/6.02214076E+23)^(1/3)) + (T3)) / 2</f>
        <v>2.823937851016027E-10</v>
      </c>
      <c r="V3" s="31">
        <v>2.1667700000000001</v>
      </c>
      <c r="W3" s="31">
        <f t="shared" ref="W3:W22" si="20">S3/R3</f>
        <v>1.303921568627451</v>
      </c>
      <c r="X3" s="31">
        <f t="shared" ref="X3:X41" si="21">T3*10000000000</f>
        <v>2.35</v>
      </c>
      <c r="Y3" s="31">
        <v>1950000</v>
      </c>
      <c r="Z3" s="32">
        <v>2085.5</v>
      </c>
      <c r="AA3" s="28">
        <v>0</v>
      </c>
      <c r="AB3" s="24">
        <v>2.7549999999999999</v>
      </c>
      <c r="AC3" s="28">
        <v>-6.3599999999999996E-4</v>
      </c>
      <c r="AD3" s="89">
        <v>22.989768999999999</v>
      </c>
      <c r="AE3" s="90">
        <v>18.998403</v>
      </c>
      <c r="AF3" s="90">
        <f t="shared" ref="AF3:AF22" si="22">ABS(AE3-AD3)</f>
        <v>3.9913659999999993</v>
      </c>
      <c r="AG3" s="90">
        <f t="shared" ref="AG3:AG22" si="23">K3/BR3</f>
        <v>4.0364580955027831</v>
      </c>
      <c r="AH3" s="28">
        <v>1</v>
      </c>
      <c r="AI3" s="28">
        <v>1</v>
      </c>
      <c r="AJ3" s="28">
        <f t="shared" ref="AJ3:AJ40" si="24">AH3+AI3</f>
        <v>2</v>
      </c>
      <c r="AK3" s="28">
        <f t="shared" ref="AK3:AK23" si="25">1+AH3/AI3</f>
        <v>2</v>
      </c>
      <c r="AL3" s="46">
        <v>0.82789999999999997</v>
      </c>
      <c r="AM3" s="33">
        <f t="shared" si="2"/>
        <v>0.53093354166666662</v>
      </c>
      <c r="AN3" s="33">
        <f t="shared" ref="AN3:AN41" si="26">ABS((AL3-AM3)/AL3)</f>
        <v>0.3586984639851834</v>
      </c>
      <c r="AO3" s="33">
        <f t="shared" si="3"/>
        <v>0.49109756053584946</v>
      </c>
      <c r="AP3" s="33">
        <f>1/3*BL3*BC3*AX3</f>
        <v>0.59812175800891498</v>
      </c>
      <c r="AQ3" s="46">
        <v>0.53220717521206062</v>
      </c>
      <c r="AR3" s="47">
        <f>(AL3-AQ3)/AL3</f>
        <v>0.35716007342425338</v>
      </c>
      <c r="AS3" s="34">
        <f t="shared" si="4"/>
        <v>5067818.8301188033</v>
      </c>
      <c r="AT3" s="34">
        <f t="shared" si="5"/>
        <v>3250000</v>
      </c>
      <c r="AU3" s="48">
        <v>2264711383.8811092</v>
      </c>
      <c r="AV3" s="49">
        <f>AQ3/AU3</f>
        <v>2.3499999999999996E-10</v>
      </c>
      <c r="AW3" s="49">
        <v>2.1736793340206901E-10</v>
      </c>
      <c r="AX3" s="49">
        <v>2.6473861999915091E-10</v>
      </c>
      <c r="AY3" s="37">
        <f t="shared" si="6"/>
        <v>3.6644228463935967E-10</v>
      </c>
      <c r="AZ3" s="49">
        <f>AL3/AU3</f>
        <v>3.6556534571800534E-10</v>
      </c>
      <c r="BA3" s="49">
        <f>(AZ3-AV3)/AV3</f>
        <v>0.55559721582129951</v>
      </c>
      <c r="BB3" s="50">
        <f>AQ3/BC3</f>
        <v>2.5519404229779941E-4</v>
      </c>
      <c r="BC3" s="51">
        <f t="shared" si="7"/>
        <v>2085.5</v>
      </c>
      <c r="BD3" s="51">
        <v>2720</v>
      </c>
      <c r="BE3" s="52">
        <f>AL3/BB3</f>
        <v>3244.1979935953195</v>
      </c>
      <c r="BF3" s="52">
        <f t="shared" ref="BF3:BF41" si="27">(BE3-BC3)/BC3</f>
        <v>0.55559721582129917</v>
      </c>
      <c r="BG3" s="53">
        <f t="shared" si="8"/>
        <v>7.5812987921945957E-3</v>
      </c>
      <c r="BH3" s="54">
        <v>70.2</v>
      </c>
      <c r="BI3" s="42">
        <f t="shared" ref="BI3:BI41" si="28">1.380649E-23*Q3</f>
        <v>384928.82491450186</v>
      </c>
      <c r="BJ3" s="42">
        <f t="shared" ref="BJ3:BJ21" si="29">BI3*AK3</f>
        <v>769857.64982900373</v>
      </c>
      <c r="BK3" s="42">
        <f t="shared" ref="BK3:BK41" si="30">BL3/1000000</f>
        <v>3.25</v>
      </c>
      <c r="BL3" s="42">
        <f t="shared" si="9"/>
        <v>3250000</v>
      </c>
      <c r="BM3" s="55">
        <f>AL3/(BG3)</f>
        <v>109.20292455065521</v>
      </c>
      <c r="BN3" s="56">
        <f>(BM3-BH3)/BH3</f>
        <v>0.55559721582129928</v>
      </c>
      <c r="BO3" s="45">
        <f t="shared" si="10"/>
        <v>6777875000</v>
      </c>
      <c r="BP3" s="45">
        <f t="shared" ref="BP3:BP41" si="31">BO3*0.0000000001</f>
        <v>0.67778749999999999</v>
      </c>
      <c r="BQ3" s="45">
        <f t="shared" si="11"/>
        <v>1.5928006250000002</v>
      </c>
      <c r="BR3">
        <v>10.402189</v>
      </c>
      <c r="BS3">
        <v>-6.4235936444315676E-4</v>
      </c>
      <c r="BT3">
        <v>0.88236536112326003</v>
      </c>
      <c r="BU3">
        <f t="shared" ref="BU3:BU37" si="32">SQRT(BT3/BR3)</f>
        <v>0.29124726463980749</v>
      </c>
      <c r="BV3">
        <f t="shared" ref="BV3:BV40" si="33">SQRT(1/BR3)</f>
        <v>0.31005420796575117</v>
      </c>
      <c r="BW3">
        <v>2.1399999999999998E-10</v>
      </c>
      <c r="BX3">
        <f>BW3*SQRT(BT3/BR3)</f>
        <v>6.2326914632918805E-11</v>
      </c>
      <c r="BY3">
        <f t="shared" ref="BY3:BY22" si="34">SQRT(ABS(BS3))/BR3</f>
        <v>2.4364880717093313E-3</v>
      </c>
      <c r="BZ3">
        <f t="shared" ref="BZ3:BZ22" si="35">BC3^(2/3)*O3</f>
        <v>3.5258233312235833E-3</v>
      </c>
      <c r="CA3" s="24">
        <f t="shared" si="12"/>
        <v>3.6428468840931505E-10</v>
      </c>
      <c r="CB3" s="24"/>
    </row>
    <row r="4" spans="1:80" ht="20.25" customHeight="1">
      <c r="A4" s="22" t="s">
        <v>154</v>
      </c>
      <c r="B4" s="57">
        <v>5.0999999999999996</v>
      </c>
      <c r="C4" s="22">
        <v>1</v>
      </c>
      <c r="D4" s="22">
        <v>28</v>
      </c>
      <c r="E4" s="22">
        <v>28</v>
      </c>
      <c r="F4" s="24">
        <f t="shared" si="0"/>
        <v>4.6833413199999998E-26</v>
      </c>
      <c r="G4" s="24">
        <f t="shared" si="1"/>
        <v>2.5506279679999997E-29</v>
      </c>
      <c r="H4" s="25">
        <f t="shared" si="13"/>
        <v>1836.1522647586683</v>
      </c>
      <c r="I4" s="25">
        <f t="shared" si="14"/>
        <v>1</v>
      </c>
      <c r="J4" s="26">
        <f t="shared" si="15"/>
        <v>4.680790692032E-26</v>
      </c>
      <c r="K4" s="27">
        <v>58.097000000000001</v>
      </c>
      <c r="L4" s="28">
        <f>0.107*EXP(23800/(8.3144598*N4))/1000</f>
        <v>1.3500630387524655E-3</v>
      </c>
      <c r="M4" s="29">
        <f t="shared" si="16"/>
        <v>8.856219279989372E-4</v>
      </c>
      <c r="N4" s="27">
        <v>1129.1500000000001</v>
      </c>
      <c r="O4" s="30">
        <v>3.04E-5</v>
      </c>
      <c r="P4" s="30">
        <v>3.4099999999999999E-4</v>
      </c>
      <c r="Q4">
        <f t="shared" si="17"/>
        <v>1.9809673552631577E+28</v>
      </c>
      <c r="R4" s="31">
        <v>1.3799999999999999E-10</v>
      </c>
      <c r="S4" s="31">
        <v>1.3300000000000001E-10</v>
      </c>
      <c r="T4" s="31">
        <f t="shared" si="18"/>
        <v>2.7099999999999999E-10</v>
      </c>
      <c r="U4" s="31">
        <f t="shared" si="19"/>
        <v>3.2028961674852713E-10</v>
      </c>
      <c r="V4" s="31">
        <v>2.4819399999999998</v>
      </c>
      <c r="W4" s="31">
        <f t="shared" si="20"/>
        <v>0.96376811594202916</v>
      </c>
      <c r="X4" s="31">
        <f t="shared" si="21"/>
        <v>2.71</v>
      </c>
      <c r="Y4" s="31">
        <v>1910000</v>
      </c>
      <c r="Z4" s="32">
        <v>1816.4</v>
      </c>
      <c r="AA4" s="28">
        <v>0</v>
      </c>
      <c r="AB4" s="28">
        <v>2.6463999999999999</v>
      </c>
      <c r="AC4" s="28">
        <v>-6.5149999999999995E-4</v>
      </c>
      <c r="AD4" s="89">
        <v>39.098300000000002</v>
      </c>
      <c r="AE4" s="90">
        <v>18.998403</v>
      </c>
      <c r="AF4" s="90">
        <f t="shared" si="22"/>
        <v>20.099897000000002</v>
      </c>
      <c r="AG4" s="90">
        <f t="shared" si="23"/>
        <v>4.5439151800414059</v>
      </c>
      <c r="AH4" s="28">
        <v>1</v>
      </c>
      <c r="AI4" s="28">
        <v>1</v>
      </c>
      <c r="AJ4" s="28">
        <f t="shared" si="24"/>
        <v>2</v>
      </c>
      <c r="AK4" s="28">
        <f t="shared" si="25"/>
        <v>2</v>
      </c>
      <c r="AL4" s="46">
        <v>0.56999999999999995</v>
      </c>
      <c r="AM4" s="33">
        <f t="shared" si="2"/>
        <v>0.36108717500000004</v>
      </c>
      <c r="AN4" s="33">
        <f t="shared" si="26"/>
        <v>0.36651372807017529</v>
      </c>
      <c r="AO4" s="33">
        <f t="shared" si="3"/>
        <v>0.32961603483108115</v>
      </c>
      <c r="AP4" s="33">
        <f>1/3*BL4*BC4*AX4</f>
        <v>0.40376310518547792</v>
      </c>
      <c r="AQ4" s="46">
        <v>0.3607730892591835</v>
      </c>
      <c r="AR4" s="47">
        <f>(AL4-AQ4)/AL4</f>
        <v>0.36706475568564295</v>
      </c>
      <c r="AS4" s="34">
        <f t="shared" si="4"/>
        <v>3473884.1112260493</v>
      </c>
      <c r="AT4" s="34">
        <f t="shared" si="5"/>
        <v>2200657.8947368423</v>
      </c>
      <c r="AU4" s="48">
        <v>1331266012.0265069</v>
      </c>
      <c r="AV4" s="49">
        <f>AQ4/AU4</f>
        <v>2.710000000000001E-10</v>
      </c>
      <c r="AW4" s="49">
        <v>2.4738055412580903E-10</v>
      </c>
      <c r="AX4" s="49">
        <v>3.0302876723678847E-10</v>
      </c>
      <c r="AY4" s="37">
        <f t="shared" si="6"/>
        <v>4.277914329136723E-10</v>
      </c>
      <c r="AZ4" s="49">
        <f>AL4/AU4</f>
        <v>4.2816386420947E-10</v>
      </c>
      <c r="BA4" s="49">
        <f>(AZ4-AV4)/AV4</f>
        <v>0.57994045833752716</v>
      </c>
      <c r="BB4" s="50">
        <f>AQ4/BC4</f>
        <v>1.9861984654216225E-4</v>
      </c>
      <c r="BC4" s="51">
        <f t="shared" si="7"/>
        <v>1816.4</v>
      </c>
      <c r="BD4" s="51">
        <v>2360</v>
      </c>
      <c r="BE4" s="52">
        <f>AL4/BB4</f>
        <v>2869.8038485242841</v>
      </c>
      <c r="BF4" s="52">
        <f t="shared" si="27"/>
        <v>0.57994045833752694</v>
      </c>
      <c r="BG4" s="53">
        <f t="shared" si="8"/>
        <v>5.3927218125438487E-3</v>
      </c>
      <c r="BH4" s="54">
        <v>66.900000000000006</v>
      </c>
      <c r="BI4" s="42">
        <f t="shared" si="28"/>
        <v>273502.05980767234</v>
      </c>
      <c r="BJ4" s="42">
        <f t="shared" si="29"/>
        <v>547004.11961534468</v>
      </c>
      <c r="BK4" s="42">
        <f t="shared" si="30"/>
        <v>2.200657894736842</v>
      </c>
      <c r="BL4" s="42">
        <f t="shared" si="9"/>
        <v>2200657.8947368423</v>
      </c>
      <c r="BM4" s="55">
        <f>AL4/(BG4)</f>
        <v>105.69801666278057</v>
      </c>
      <c r="BN4" s="56">
        <f>(BM4-BH4)/BH4</f>
        <v>0.57994045833752716</v>
      </c>
      <c r="BO4" s="45">
        <f t="shared" si="10"/>
        <v>3997275000.0000005</v>
      </c>
      <c r="BP4" s="45">
        <f t="shared" si="31"/>
        <v>0.39972750000000007</v>
      </c>
      <c r="BQ4" s="45">
        <f t="shared" si="11"/>
        <v>1.0832615250000002</v>
      </c>
      <c r="BR4">
        <v>12.78567</v>
      </c>
      <c r="BS4">
        <v>-1.3975067443463746E-3</v>
      </c>
      <c r="BT4">
        <v>0.88025103225420376</v>
      </c>
      <c r="BU4">
        <f t="shared" si="32"/>
        <v>0.26238652387925293</v>
      </c>
      <c r="BV4">
        <f t="shared" si="33"/>
        <v>0.27966508792953987</v>
      </c>
      <c r="BW4">
        <v>2.4399999999999998E-10</v>
      </c>
      <c r="BX4">
        <f>BW4*SQRT(BT4/BR4)</f>
        <v>6.4022311826537711E-11</v>
      </c>
      <c r="BY4">
        <f t="shared" si="34"/>
        <v>2.9238390706646461E-3</v>
      </c>
      <c r="BZ4">
        <f t="shared" si="35"/>
        <v>4.5256529371538283E-3</v>
      </c>
      <c r="CA4" s="24">
        <f t="shared" si="12"/>
        <v>3.8914296812648964E-10</v>
      </c>
      <c r="CB4" s="24"/>
    </row>
    <row r="5" spans="1:80" ht="20.25" customHeight="1">
      <c r="A5" s="22" t="s">
        <v>155</v>
      </c>
      <c r="B5" s="57"/>
      <c r="C5" s="22">
        <v>1</v>
      </c>
      <c r="D5" s="22">
        <v>46</v>
      </c>
      <c r="E5" s="22">
        <v>46</v>
      </c>
      <c r="F5" s="24">
        <f t="shared" si="0"/>
        <v>7.6940607399999996E-26</v>
      </c>
      <c r="G5" s="24">
        <f t="shared" si="1"/>
        <v>4.1903173759999999E-29</v>
      </c>
      <c r="H5" s="25">
        <f t="shared" si="13"/>
        <v>1836.1522647586683</v>
      </c>
      <c r="I5" s="25">
        <f t="shared" si="14"/>
        <v>1</v>
      </c>
      <c r="J5" s="26">
        <f t="shared" si="15"/>
        <v>7.689870422624E-26</v>
      </c>
      <c r="K5" s="58">
        <v>104.4662</v>
      </c>
      <c r="L5" s="28">
        <f>0.115*EXP(27000/(8.3144598*N5))/1000</f>
        <v>2.5481160758264749E-3</v>
      </c>
      <c r="M5" s="29">
        <f t="shared" si="16"/>
        <v>9.5406191861851825E-4</v>
      </c>
      <c r="N5" s="28">
        <v>1048.1500000000001</v>
      </c>
      <c r="O5" s="30">
        <v>3.57E-5</v>
      </c>
      <c r="P5" s="30">
        <v>3.4900000000000003E-4</v>
      </c>
      <c r="Q5">
        <f t="shared" si="17"/>
        <v>1.6868741624649858E+28</v>
      </c>
      <c r="R5" s="31">
        <v>1.5199999999999999E-10</v>
      </c>
      <c r="S5" s="31">
        <v>1.3300000000000001E-10</v>
      </c>
      <c r="T5" s="31">
        <f t="shared" si="18"/>
        <v>2.85E-10</v>
      </c>
      <c r="U5" s="31">
        <f t="shared" si="19"/>
        <v>3.3745862008012236E-10</v>
      </c>
      <c r="V5" s="31"/>
      <c r="W5" s="31">
        <f t="shared" si="20"/>
        <v>0.87500000000000011</v>
      </c>
      <c r="X5" s="31">
        <f t="shared" si="21"/>
        <v>2.85</v>
      </c>
      <c r="Y5" s="31">
        <f>K5/O5</f>
        <v>2926224.0896358541</v>
      </c>
      <c r="Z5" s="32">
        <v>1760.4</v>
      </c>
      <c r="AA5" s="28">
        <v>0</v>
      </c>
      <c r="AB5" s="31">
        <f>Y5*100^3/1000</f>
        <v>2926224089.6358538</v>
      </c>
      <c r="AC5" s="28">
        <v>0</v>
      </c>
      <c r="AD5" s="89">
        <v>85.467799999999997</v>
      </c>
      <c r="AE5" s="90">
        <v>18.998403</v>
      </c>
      <c r="AF5" s="90">
        <f t="shared" si="22"/>
        <v>66.469397000000001</v>
      </c>
      <c r="AG5" s="90">
        <f t="shared" si="23"/>
        <v>6.7209703769226667</v>
      </c>
      <c r="AH5" s="28">
        <v>1</v>
      </c>
      <c r="AI5" s="28">
        <v>1</v>
      </c>
      <c r="AK5" s="28">
        <f t="shared" si="25"/>
        <v>2</v>
      </c>
      <c r="AL5" s="46">
        <v>0.48965000000000003</v>
      </c>
      <c r="AM5" s="33">
        <f t="shared" si="2"/>
        <v>0.32557537815126053</v>
      </c>
      <c r="AN5" s="33">
        <f t="shared" si="26"/>
        <v>0.33508551383383944</v>
      </c>
      <c r="AO5" s="33">
        <f t="shared" si="3"/>
        <v>0.29579640687862813</v>
      </c>
      <c r="AP5" s="33"/>
      <c r="AQ5" s="46"/>
      <c r="AR5" s="47"/>
      <c r="AS5" s="34">
        <f t="shared" si="4"/>
        <v>2927863.2846601852</v>
      </c>
      <c r="AT5" s="34">
        <f t="shared" si="5"/>
        <v>1946778.7114845938</v>
      </c>
      <c r="AU5" s="48"/>
      <c r="AV5" s="49"/>
      <c r="AW5" s="49">
        <v>2.5893228302185304E-10</v>
      </c>
      <c r="AX5" s="49"/>
      <c r="AY5" s="37">
        <f t="shared" si="6"/>
        <v>4.2862654661546839E-10</v>
      </c>
      <c r="AZ5" s="49">
        <v>2.5893228302185304E-10</v>
      </c>
      <c r="BA5" s="49"/>
      <c r="BB5" s="50"/>
      <c r="BC5" s="51">
        <f t="shared" si="7"/>
        <v>1760.4</v>
      </c>
      <c r="BD5" s="51"/>
      <c r="BE5" s="52"/>
      <c r="BF5" s="52"/>
      <c r="BG5" s="53">
        <f t="shared" si="8"/>
        <v>0</v>
      </c>
      <c r="BH5" s="54">
        <v>69.5</v>
      </c>
      <c r="BI5" s="42">
        <f t="shared" si="28"/>
        <v>232898.11255331204</v>
      </c>
      <c r="BJ5" s="42">
        <f t="shared" si="29"/>
        <v>465796.22510662407</v>
      </c>
      <c r="BK5" s="42">
        <f t="shared" si="30"/>
        <v>1.9467787114845938</v>
      </c>
      <c r="BL5" s="42">
        <f t="shared" si="9"/>
        <v>1946778.7114845938</v>
      </c>
      <c r="BM5" s="55"/>
      <c r="BN5" s="56"/>
      <c r="BO5" s="45">
        <f t="shared" si="10"/>
        <v>3427109243.6974792</v>
      </c>
      <c r="BP5" s="45">
        <f t="shared" si="31"/>
        <v>0.34271092436974793</v>
      </c>
      <c r="BQ5" s="45">
        <f t="shared" si="11"/>
        <v>0.97672613445378154</v>
      </c>
      <c r="BR5">
        <v>15.543321000000001</v>
      </c>
      <c r="BS5">
        <v>-1.8393987211277479E-3</v>
      </c>
      <c r="BT5"/>
      <c r="BU5"/>
      <c r="BV5">
        <f t="shared" si="33"/>
        <v>0.25364604325163281</v>
      </c>
      <c r="BW5">
        <v>2.5599999999999999E-10</v>
      </c>
      <c r="BX5" s="45">
        <f>T5*SQRT(0.9/BR5)</f>
        <v>6.8579482982085351E-11</v>
      </c>
      <c r="BY5">
        <f t="shared" si="34"/>
        <v>2.7592695224777789E-3</v>
      </c>
      <c r="BZ5">
        <f t="shared" si="35"/>
        <v>5.2048608428600122E-3</v>
      </c>
      <c r="CA5" s="24">
        <f t="shared" si="12"/>
        <v>4.94652566383765E-10</v>
      </c>
      <c r="CB5" s="24"/>
    </row>
    <row r="6" spans="1:80" ht="20.25" customHeight="1">
      <c r="A6" s="22" t="s">
        <v>156</v>
      </c>
      <c r="B6" s="57"/>
      <c r="C6" s="22">
        <v>1</v>
      </c>
      <c r="D6" s="22">
        <v>64</v>
      </c>
      <c r="E6" s="22">
        <v>64</v>
      </c>
      <c r="F6" s="24">
        <f t="shared" si="0"/>
        <v>1.070478016E-25</v>
      </c>
      <c r="G6" s="24">
        <f t="shared" si="1"/>
        <v>5.8300067839999996E-29</v>
      </c>
      <c r="H6" s="25">
        <f t="shared" si="13"/>
        <v>1836.1522647586685</v>
      </c>
      <c r="I6" s="25">
        <f t="shared" si="14"/>
        <v>1</v>
      </c>
      <c r="J6" s="26">
        <f t="shared" si="15"/>
        <v>1.0698950153215999E-25</v>
      </c>
      <c r="K6" s="27">
        <v>58.44</v>
      </c>
      <c r="L6" s="28">
        <f>0.115*EXP(27000/(8.3144598*N6))/1000</f>
        <v>3.4453112314492135E-3</v>
      </c>
      <c r="M6" s="29">
        <f t="shared" si="16"/>
        <v>1.0469559755012302E-3</v>
      </c>
      <c r="N6" s="27">
        <v>955.15</v>
      </c>
      <c r="O6" s="30">
        <v>4.57E-5</v>
      </c>
      <c r="P6" s="30">
        <v>3.8499999999999998E-4</v>
      </c>
      <c r="Q6">
        <f t="shared" si="17"/>
        <v>1.3177550897155361E+28</v>
      </c>
      <c r="R6" s="31">
        <v>1.6699999999999999E-10</v>
      </c>
      <c r="S6" s="31">
        <v>1.3300000000000001E-10</v>
      </c>
      <c r="T6" s="31">
        <f t="shared" si="18"/>
        <v>3E-10</v>
      </c>
      <c r="U6" s="31">
        <f t="shared" si="19"/>
        <v>3.6168582142103137E-10</v>
      </c>
      <c r="V6" s="31"/>
      <c r="W6" s="31">
        <f t="shared" si="20"/>
        <v>0.79640718562874258</v>
      </c>
      <c r="X6" s="31">
        <f t="shared" si="21"/>
        <v>3</v>
      </c>
      <c r="Y6" s="31">
        <v>2196977.25</v>
      </c>
      <c r="Z6" s="28">
        <v>2732.9322499999998</v>
      </c>
      <c r="AA6" s="28">
        <v>-0.91500000000000004</v>
      </c>
      <c r="AB6" s="28">
        <v>4.8985000000000003</v>
      </c>
      <c r="AC6" s="28">
        <v>-5.4299999999999997E-4</v>
      </c>
      <c r="AD6" s="89">
        <v>132.905452</v>
      </c>
      <c r="AE6" s="90">
        <v>18.998403</v>
      </c>
      <c r="AF6" s="90">
        <f t="shared" si="22"/>
        <v>113.907049</v>
      </c>
      <c r="AG6" s="90">
        <f t="shared" si="23"/>
        <v>3.5157591618343522</v>
      </c>
      <c r="AH6" s="28">
        <v>1</v>
      </c>
      <c r="AI6" s="28">
        <v>1</v>
      </c>
      <c r="AK6" s="28">
        <f t="shared" si="25"/>
        <v>2</v>
      </c>
      <c r="AL6" s="46">
        <v>0.36715000000000003</v>
      </c>
      <c r="AM6" s="33">
        <f t="shared" si="2"/>
        <v>0.301421612691466</v>
      </c>
      <c r="AN6" s="33">
        <f t="shared" si="26"/>
        <v>0.17902325291715654</v>
      </c>
      <c r="AO6" s="33">
        <f t="shared" si="3"/>
        <v>0.28095436645910149</v>
      </c>
      <c r="AP6" s="33"/>
      <c r="AQ6" s="46"/>
      <c r="AR6" s="47"/>
      <c r="AS6" s="34">
        <f t="shared" si="4"/>
        <v>1975018.424181133</v>
      </c>
      <c r="AT6" s="34">
        <f t="shared" si="5"/>
        <v>1621444.2013129101</v>
      </c>
      <c r="AU6" s="48"/>
      <c r="AV6" s="49"/>
      <c r="AW6" s="49">
        <v>2.7962928465917803E-10</v>
      </c>
      <c r="AX6" s="49"/>
      <c r="AY6" s="37">
        <f t="shared" si="6"/>
        <v>3.6541838860355382E-10</v>
      </c>
      <c r="AZ6" s="49">
        <v>2.7962928465917803E-10</v>
      </c>
      <c r="BA6" s="49"/>
      <c r="BB6" s="50"/>
      <c r="BC6" s="51">
        <f t="shared" si="7"/>
        <v>1858.9699999999998</v>
      </c>
      <c r="BD6" s="51"/>
      <c r="BE6" s="52"/>
      <c r="BF6" s="52"/>
      <c r="BG6" s="53">
        <f t="shared" si="8"/>
        <v>0</v>
      </c>
      <c r="BH6" s="54">
        <v>74.099999999999994</v>
      </c>
      <c r="BI6" s="42">
        <f t="shared" si="28"/>
        <v>181935.72468606653</v>
      </c>
      <c r="BJ6" s="42">
        <f t="shared" si="29"/>
        <v>363871.44937213307</v>
      </c>
      <c r="BK6" s="42">
        <f t="shared" si="30"/>
        <v>1.62144420131291</v>
      </c>
      <c r="BL6" s="42">
        <f t="shared" si="9"/>
        <v>1621444.2013129101</v>
      </c>
      <c r="BM6" s="55"/>
      <c r="BN6" s="56"/>
      <c r="BO6" s="45">
        <f t="shared" si="10"/>
        <v>3014216126.91466</v>
      </c>
      <c r="BP6" s="45">
        <f t="shared" si="31"/>
        <v>0.301421612691466</v>
      </c>
      <c r="BQ6" s="45">
        <f t="shared" si="11"/>
        <v>0.90426483807439795</v>
      </c>
      <c r="BR6">
        <v>16.622299000000002</v>
      </c>
      <c r="BS6">
        <v>-2.9196880729902793E-3</v>
      </c>
      <c r="BT6"/>
      <c r="BU6"/>
      <c r="BV6">
        <f t="shared" si="33"/>
        <v>0.24527566110138047</v>
      </c>
      <c r="BW6">
        <v>2.7599999999999998E-10</v>
      </c>
      <c r="BX6" s="45">
        <f>T6*SQRT(0.9/BR6)</f>
        <v>6.9806676931553328E-11</v>
      </c>
      <c r="BY6">
        <f t="shared" si="34"/>
        <v>3.2507018453460713E-3</v>
      </c>
      <c r="BZ6">
        <f t="shared" si="35"/>
        <v>6.9092533991300187E-3</v>
      </c>
      <c r="CA6" s="24">
        <f t="shared" si="12"/>
        <v>8.4358824408450485E-10</v>
      </c>
      <c r="CB6" s="24"/>
    </row>
    <row r="7" spans="1:80" ht="20.25" customHeight="1">
      <c r="A7" s="22" t="s">
        <v>157</v>
      </c>
      <c r="B7" s="57">
        <v>3.67</v>
      </c>
      <c r="C7" s="22">
        <v>1</v>
      </c>
      <c r="D7" s="22">
        <v>20</v>
      </c>
      <c r="E7" s="22">
        <v>20</v>
      </c>
      <c r="F7" s="24">
        <f t="shared" si="0"/>
        <v>3.3452438000000001E-26</v>
      </c>
      <c r="G7" s="24">
        <f t="shared" si="1"/>
        <v>1.82187712E-29</v>
      </c>
      <c r="H7" s="25">
        <f t="shared" si="13"/>
        <v>1836.1522647586683</v>
      </c>
      <c r="I7" s="25">
        <f t="shared" si="14"/>
        <v>1</v>
      </c>
      <c r="J7" s="26">
        <f t="shared" si="15"/>
        <v>3.3434219228800004E-26</v>
      </c>
      <c r="K7" s="27">
        <v>42.393999999999998</v>
      </c>
      <c r="L7" s="28">
        <f>0.0726*EXP(22400/(8.3144598*N7))/1000</f>
        <v>1.5609788980515524E-3</v>
      </c>
      <c r="M7" s="29">
        <f t="shared" si="16"/>
        <v>1.1388224575788635E-3</v>
      </c>
      <c r="N7" s="27">
        <v>878.1</v>
      </c>
      <c r="O7" s="30">
        <f>K7/Y7</f>
        <v>2.828152101400934E-5</v>
      </c>
      <c r="P7" s="30">
        <v>2.8800000000000001E-4</v>
      </c>
      <c r="Q7">
        <f t="shared" si="17"/>
        <v>2.1293553331226117E+28</v>
      </c>
      <c r="R7" s="31">
        <v>7.5999999999999996E-11</v>
      </c>
      <c r="S7" s="31">
        <v>1.81E-10</v>
      </c>
      <c r="T7" s="31">
        <f t="shared" si="18"/>
        <v>2.5699999999999999E-10</v>
      </c>
      <c r="U7" s="31">
        <f t="shared" si="19"/>
        <v>3.0889339182744056E-10</v>
      </c>
      <c r="V7" s="31">
        <v>2.3729399999999998</v>
      </c>
      <c r="W7" s="31">
        <f t="shared" si="20"/>
        <v>2.3815789473684212</v>
      </c>
      <c r="X7" s="31">
        <f t="shared" si="21"/>
        <v>2.57</v>
      </c>
      <c r="Y7" s="31">
        <v>1499000</v>
      </c>
      <c r="Z7" s="28">
        <v>2787.9043499999998</v>
      </c>
      <c r="AA7" s="28">
        <v>-0.84899999999999998</v>
      </c>
      <c r="AB7" s="28">
        <v>1.8842000000000001</v>
      </c>
      <c r="AC7" s="28">
        <v>-4.328E-4</v>
      </c>
      <c r="AD7" s="89">
        <v>6.9409999999999998</v>
      </c>
      <c r="AE7" s="90">
        <v>35.450000000000003</v>
      </c>
      <c r="AF7" s="90">
        <f t="shared" si="22"/>
        <v>28.509000000000004</v>
      </c>
      <c r="AG7" s="90">
        <f t="shared" si="23"/>
        <v>7.3036474995163232</v>
      </c>
      <c r="AH7" s="28">
        <v>1</v>
      </c>
      <c r="AI7" s="28">
        <v>1</v>
      </c>
      <c r="AJ7" s="28">
        <f t="shared" si="24"/>
        <v>2</v>
      </c>
      <c r="AK7" s="28">
        <f t="shared" si="25"/>
        <v>2</v>
      </c>
      <c r="AL7" s="46">
        <v>0.61260000000000003</v>
      </c>
      <c r="AM7" s="33">
        <f t="shared" si="2"/>
        <v>0.40225025742942672</v>
      </c>
      <c r="AN7" s="33">
        <f t="shared" si="26"/>
        <v>0.34337209038617911</v>
      </c>
      <c r="AO7" s="33">
        <f t="shared" si="3"/>
        <v>0.37226977205251366</v>
      </c>
      <c r="AP7" s="59">
        <f>1/3*BL7*BC7*AX7</f>
        <v>0.467412663978306</v>
      </c>
      <c r="AQ7" s="46">
        <v>0.40224439226966308</v>
      </c>
      <c r="AR7" s="47">
        <f t="shared" ref="AR7:AR14" si="36">(AL7-AQ7)/AL7</f>
        <v>0.34338166459408576</v>
      </c>
      <c r="AS7" s="34">
        <f t="shared" si="4"/>
        <v>3501264.0476249694</v>
      </c>
      <c r="AT7" s="34">
        <f t="shared" si="5"/>
        <v>2299027.692598009</v>
      </c>
      <c r="AU7" s="48">
        <v>1565153277.313864</v>
      </c>
      <c r="AV7" s="49">
        <f t="shared" ref="AV7:AV14" si="37">AQ7/AU7</f>
        <v>2.5700000000000004E-10</v>
      </c>
      <c r="AW7" s="49">
        <v>2.3784529568456903E-10</v>
      </c>
      <c r="AX7" s="49">
        <v>2.9863263583740558E-10</v>
      </c>
      <c r="AY7" s="37">
        <f t="shared" si="6"/>
        <v>3.9139365877875649E-10</v>
      </c>
      <c r="AZ7" s="49">
        <f t="shared" ref="AZ7:AZ14" si="38">AL7/AU7</f>
        <v>3.9139936572305044E-10</v>
      </c>
      <c r="BA7" s="49">
        <f t="shared" ref="BA7:BA14" si="39">(AZ7-AV7)/AV7</f>
        <v>0.52295473043988472</v>
      </c>
      <c r="BB7" s="50">
        <f t="shared" ref="BB7:BB14" si="40">AQ7/BC7</f>
        <v>1.969471672957989E-4</v>
      </c>
      <c r="BC7" s="51">
        <f t="shared" si="7"/>
        <v>2042.3974499999999</v>
      </c>
      <c r="BD7" s="51">
        <v>3500</v>
      </c>
      <c r="BE7" s="52">
        <f t="shared" ref="BE7:BE14" si="41">AL7/BB7</f>
        <v>3110.478857915858</v>
      </c>
      <c r="BF7" s="52">
        <f t="shared" si="27"/>
        <v>0.52295473043988483</v>
      </c>
      <c r="BG7" s="53">
        <f t="shared" si="8"/>
        <v>6.1864717359222257E-3</v>
      </c>
      <c r="BH7" s="54">
        <v>65.02</v>
      </c>
      <c r="BI7" s="42">
        <f t="shared" si="28"/>
        <v>293989.23113204009</v>
      </c>
      <c r="BJ7" s="42">
        <f t="shared" si="29"/>
        <v>587978.46226408018</v>
      </c>
      <c r="BK7" s="42">
        <f t="shared" si="30"/>
        <v>2.2990276925980089</v>
      </c>
      <c r="BL7" s="42">
        <f t="shared" si="9"/>
        <v>2299027.692598009</v>
      </c>
      <c r="BM7" s="55">
        <f t="shared" ref="BM7:BM14" si="42">AL7/(BG7)</f>
        <v>99.022516573201301</v>
      </c>
      <c r="BN7" s="56">
        <f t="shared" ref="BN7:BN14" si="43">(BM7-BH7)/BH7</f>
        <v>0.52295473043988472</v>
      </c>
      <c r="BO7" s="45">
        <f t="shared" si="10"/>
        <v>4695528296.8415575</v>
      </c>
      <c r="BP7" s="45">
        <f t="shared" si="31"/>
        <v>0.46955282968415579</v>
      </c>
      <c r="BQ7" s="45">
        <f t="shared" si="11"/>
        <v>1.2067507722882802</v>
      </c>
      <c r="BR7">
        <v>5.8044969999999996</v>
      </c>
      <c r="BS7">
        <v>-4.4547220629326256E-4</v>
      </c>
      <c r="BT7">
        <v>0.8885485145267803</v>
      </c>
      <c r="BU7">
        <f t="shared" si="32"/>
        <v>0.39125353733723539</v>
      </c>
      <c r="BV7">
        <f t="shared" si="33"/>
        <v>0.4150665206068388</v>
      </c>
      <c r="BW7">
        <v>2.3600000000000001E-10</v>
      </c>
      <c r="BX7">
        <f t="shared" ref="BX7:BX16" si="44">BW7*SQRT(BT7/BR7)</f>
        <v>9.233583481158756E-11</v>
      </c>
      <c r="BY7">
        <f t="shared" si="34"/>
        <v>3.6361828604085907E-3</v>
      </c>
      <c r="BZ7">
        <f t="shared" si="35"/>
        <v>4.5526360777696315E-3</v>
      </c>
      <c r="CA7" s="24">
        <f t="shared" si="12"/>
        <v>5.0986492855295244E-10</v>
      </c>
      <c r="CB7" s="24"/>
    </row>
    <row r="8" spans="1:80" ht="20.25" customHeight="1">
      <c r="A8" s="22" t="s">
        <v>158</v>
      </c>
      <c r="B8" s="57">
        <v>3.94</v>
      </c>
      <c r="C8" s="22">
        <v>1</v>
      </c>
      <c r="D8" s="22">
        <v>28</v>
      </c>
      <c r="E8" s="22">
        <v>28</v>
      </c>
      <c r="F8" s="24">
        <f t="shared" si="0"/>
        <v>4.6833413199999998E-26</v>
      </c>
      <c r="G8" s="24">
        <f t="shared" si="1"/>
        <v>2.5506279679999997E-29</v>
      </c>
      <c r="H8" s="25">
        <f t="shared" si="13"/>
        <v>1836.1522647586683</v>
      </c>
      <c r="I8" s="25">
        <f t="shared" si="14"/>
        <v>1</v>
      </c>
      <c r="J8" s="26">
        <f t="shared" si="15"/>
        <v>4.680790692032E-26</v>
      </c>
      <c r="K8" s="27">
        <v>58.44</v>
      </c>
      <c r="L8" s="28">
        <f>0.0893*EXP(22000/(8.3144598*N8))/1000</f>
        <v>1.0321390978018604E-3</v>
      </c>
      <c r="M8" s="29">
        <f t="shared" si="16"/>
        <v>9.2494103500901812E-4</v>
      </c>
      <c r="N8" s="27">
        <v>1081.1500000000001</v>
      </c>
      <c r="O8" s="30">
        <v>3.765E-5</v>
      </c>
      <c r="P8" s="30">
        <v>3.5E-4</v>
      </c>
      <c r="Q8">
        <f t="shared" si="17"/>
        <v>1.5995061779548472E+28</v>
      </c>
      <c r="R8" s="31">
        <v>1.02E-10</v>
      </c>
      <c r="S8" s="31">
        <v>1.81E-10</v>
      </c>
      <c r="T8" s="31">
        <f t="shared" si="18"/>
        <v>2.8300000000000001E-10</v>
      </c>
      <c r="U8" s="31">
        <f t="shared" si="19"/>
        <v>3.3994554959409769E-10</v>
      </c>
      <c r="V8" s="31">
        <v>2.6590099999999999</v>
      </c>
      <c r="W8" s="31">
        <f t="shared" si="20"/>
        <v>1.7745098039215685</v>
      </c>
      <c r="X8" s="31">
        <f t="shared" si="21"/>
        <v>2.83</v>
      </c>
      <c r="Y8" s="31">
        <v>1560000</v>
      </c>
      <c r="Z8" s="28">
        <v>2732.9322499999998</v>
      </c>
      <c r="AA8" s="28">
        <v>-0.91500000000000004</v>
      </c>
      <c r="AB8" s="28">
        <v>2.1393</v>
      </c>
      <c r="AC8" s="28">
        <v>-5.4299999999999997E-4</v>
      </c>
      <c r="AD8" s="89">
        <v>22.989768999999999</v>
      </c>
      <c r="AE8" s="90">
        <v>35.450000000000003</v>
      </c>
      <c r="AF8" s="90">
        <f t="shared" si="22"/>
        <v>12.460231000000004</v>
      </c>
      <c r="AG8" s="90">
        <f t="shared" si="23"/>
        <v>4.1905191869704392</v>
      </c>
      <c r="AH8" s="28">
        <v>1</v>
      </c>
      <c r="AI8" s="28">
        <v>1</v>
      </c>
      <c r="AJ8" s="28">
        <f t="shared" si="24"/>
        <v>2</v>
      </c>
      <c r="AK8" s="28">
        <f t="shared" si="25"/>
        <v>2</v>
      </c>
      <c r="AL8" s="46">
        <v>0.46649999999999997</v>
      </c>
      <c r="AM8" s="33">
        <f t="shared" si="2"/>
        <v>0.30415923375652942</v>
      </c>
      <c r="AN8" s="33">
        <f t="shared" si="26"/>
        <v>0.34799735529146958</v>
      </c>
      <c r="AO8" s="33">
        <f t="shared" si="3"/>
        <v>0.28617343538334455</v>
      </c>
      <c r="AP8" s="33">
        <f>1/3*BL8*BC8*AX8</f>
        <v>0.346144472817148</v>
      </c>
      <c r="AQ8" s="46">
        <v>0.30612615309310248</v>
      </c>
      <c r="AR8" s="47">
        <f t="shared" si="36"/>
        <v>0.34378102230846197</v>
      </c>
      <c r="AS8" s="34">
        <f t="shared" si="4"/>
        <v>2836087.8612926682</v>
      </c>
      <c r="AT8" s="34">
        <f t="shared" si="5"/>
        <v>1849136.7861885792</v>
      </c>
      <c r="AU8" s="48">
        <v>1081717855.4526589</v>
      </c>
      <c r="AV8" s="49">
        <f t="shared" si="37"/>
        <v>2.8300000000000001E-10</v>
      </c>
      <c r="AW8" s="49">
        <v>2.66265407146292E-10</v>
      </c>
      <c r="AX8" s="49">
        <v>3.220644811515606E-10</v>
      </c>
      <c r="AY8" s="37">
        <f t="shared" si="6"/>
        <v>4.3404731912784125E-10</v>
      </c>
      <c r="AZ8" s="49">
        <f t="shared" si="38"/>
        <v>4.3125848172746209E-10</v>
      </c>
      <c r="BA8" s="49">
        <f t="shared" si="39"/>
        <v>0.52388156087442428</v>
      </c>
      <c r="BB8" s="50">
        <f t="shared" si="40"/>
        <v>1.7556326452852731E-4</v>
      </c>
      <c r="BC8" s="51">
        <f t="shared" si="7"/>
        <v>1743.6799999999998</v>
      </c>
      <c r="BD8" s="51">
        <v>2720</v>
      </c>
      <c r="BE8" s="52">
        <f t="shared" si="41"/>
        <v>2657.1618000655158</v>
      </c>
      <c r="BF8" s="52">
        <f t="shared" si="27"/>
        <v>0.52388156087442417</v>
      </c>
      <c r="BG8" s="53">
        <f t="shared" si="8"/>
        <v>4.3971007338854135E-3</v>
      </c>
      <c r="BH8" s="54">
        <v>69.62</v>
      </c>
      <c r="BI8" s="42">
        <f t="shared" si="28"/>
        <v>220835.6605087182</v>
      </c>
      <c r="BJ8" s="42">
        <f t="shared" si="29"/>
        <v>441671.32101743639</v>
      </c>
      <c r="BK8" s="42">
        <f t="shared" si="30"/>
        <v>1.8491367861885792</v>
      </c>
      <c r="BL8" s="42">
        <f t="shared" si="9"/>
        <v>1849136.7861885792</v>
      </c>
      <c r="BM8" s="55">
        <f t="shared" si="42"/>
        <v>106.09263426807742</v>
      </c>
      <c r="BN8" s="56">
        <f t="shared" si="43"/>
        <v>0.52388156087442417</v>
      </c>
      <c r="BO8" s="45">
        <f t="shared" si="10"/>
        <v>3224302831.3413014</v>
      </c>
      <c r="BP8" s="45">
        <f t="shared" si="31"/>
        <v>0.32243028313413014</v>
      </c>
      <c r="BQ8" s="45">
        <f t="shared" si="11"/>
        <v>0.91247770126958827</v>
      </c>
      <c r="BR8">
        <v>13.945766000000001</v>
      </c>
      <c r="BS8">
        <v>-2.378214772284633E-3</v>
      </c>
      <c r="BT8">
        <v>0.89095701224060653</v>
      </c>
      <c r="BU8">
        <f t="shared" si="32"/>
        <v>0.25275932578655919</v>
      </c>
      <c r="BV8">
        <f t="shared" si="33"/>
        <v>0.2677804167426549</v>
      </c>
      <c r="BW8">
        <v>2.6400000000000002E-10</v>
      </c>
      <c r="BX8">
        <f t="shared" si="44"/>
        <v>6.672846200765163E-11</v>
      </c>
      <c r="BY8">
        <f t="shared" si="34"/>
        <v>3.4968995921769589E-3</v>
      </c>
      <c r="BZ8">
        <f t="shared" si="35"/>
        <v>5.4543479314120812E-3</v>
      </c>
      <c r="CA8" s="24">
        <f t="shared" si="12"/>
        <v>3.7944326183477726E-10</v>
      </c>
      <c r="CB8" s="24"/>
    </row>
    <row r="9" spans="1:80" ht="20.25" customHeight="1">
      <c r="A9" s="22" t="s">
        <v>159</v>
      </c>
      <c r="B9" s="57">
        <v>3.34</v>
      </c>
      <c r="C9" s="22">
        <v>1</v>
      </c>
      <c r="D9" s="22">
        <v>36</v>
      </c>
      <c r="E9" s="22">
        <v>36</v>
      </c>
      <c r="F9" s="24">
        <f t="shared" si="0"/>
        <v>6.0214388399999996E-26</v>
      </c>
      <c r="G9" s="24">
        <f t="shared" si="1"/>
        <v>3.2793788159999999E-29</v>
      </c>
      <c r="H9" s="25">
        <f t="shared" si="13"/>
        <v>1836.1522647586683</v>
      </c>
      <c r="I9" s="25">
        <f t="shared" si="14"/>
        <v>1</v>
      </c>
      <c r="J9" s="26">
        <f t="shared" si="15"/>
        <v>6.0181594611840001E-26</v>
      </c>
      <c r="K9" s="27">
        <v>74.551299999999998</v>
      </c>
      <c r="L9" s="28">
        <f>0.0708*EXP(23900/(8.3144598*N9))/1000</f>
        <v>1.1078669041234444E-3</v>
      </c>
      <c r="M9" s="29">
        <f t="shared" si="16"/>
        <v>9.5680045926422035E-4</v>
      </c>
      <c r="N9" s="27">
        <v>1045.1500000000001</v>
      </c>
      <c r="O9" s="30">
        <v>4.884E-5</v>
      </c>
      <c r="P9" s="30">
        <v>3.8200000000000002E-4</v>
      </c>
      <c r="Q9">
        <f t="shared" si="17"/>
        <v>1.2330345536445536E+28</v>
      </c>
      <c r="R9" s="31">
        <v>1.3799999999999999E-10</v>
      </c>
      <c r="S9" s="31">
        <v>1.81E-10</v>
      </c>
      <c r="T9" s="31">
        <f>S9+R9</f>
        <v>3.1899999999999998E-10</v>
      </c>
      <c r="U9" s="31">
        <f t="shared" si="19"/>
        <v>3.7592707430901029E-10</v>
      </c>
      <c r="V9" s="31">
        <v>2.98522</v>
      </c>
      <c r="W9" s="31">
        <f t="shared" si="20"/>
        <v>1.3115942028985508</v>
      </c>
      <c r="X9" s="31">
        <f t="shared" si="21"/>
        <v>3.19</v>
      </c>
      <c r="Y9" s="31">
        <v>1530000</v>
      </c>
      <c r="Z9" s="28">
        <v>2514.8256999999999</v>
      </c>
      <c r="AA9" s="28">
        <v>-0.878</v>
      </c>
      <c r="AB9" s="28">
        <v>2.1358999999999999</v>
      </c>
      <c r="AC9" s="28">
        <v>-5.8310000000000002E-4</v>
      </c>
      <c r="AD9" s="89">
        <v>39.098300000000002</v>
      </c>
      <c r="AE9" s="90">
        <v>35.450000000000003</v>
      </c>
      <c r="AF9" s="90">
        <f t="shared" si="22"/>
        <v>3.648299999999999</v>
      </c>
      <c r="AG9" s="90">
        <f t="shared" si="23"/>
        <v>4.0097643993883754</v>
      </c>
      <c r="AH9" s="28">
        <v>1</v>
      </c>
      <c r="AI9" s="28">
        <v>1</v>
      </c>
      <c r="AJ9" s="28">
        <f t="shared" si="24"/>
        <v>2</v>
      </c>
      <c r="AK9" s="28">
        <f t="shared" si="25"/>
        <v>2</v>
      </c>
      <c r="AL9" s="46">
        <v>0.35505000000000003</v>
      </c>
      <c r="AM9" s="33">
        <f t="shared" si="2"/>
        <v>0.25593314786786775</v>
      </c>
      <c r="AN9" s="33">
        <f t="shared" si="26"/>
        <v>0.27916308162831227</v>
      </c>
      <c r="AO9" s="33">
        <f t="shared" si="3"/>
        <v>0.2397757949166118</v>
      </c>
      <c r="AP9" s="33">
        <f>1/3*BL9*BC9*AX9</f>
        <v>0.28781059971565698</v>
      </c>
      <c r="AQ9" s="46">
        <v>0.25652333922633108</v>
      </c>
      <c r="AR9" s="47">
        <f t="shared" si="36"/>
        <v>0.27750080488288675</v>
      </c>
      <c r="AS9" s="34">
        <f t="shared" si="4"/>
        <v>2090572.0400192747</v>
      </c>
      <c r="AT9" s="34">
        <f t="shared" si="5"/>
        <v>1506961.5069615068</v>
      </c>
      <c r="AU9" s="48">
        <v>804148398.82862413</v>
      </c>
      <c r="AV9" s="49">
        <f t="shared" si="37"/>
        <v>3.1899999999999998E-10</v>
      </c>
      <c r="AW9" s="49">
        <v>2.9886116439238405E-10</v>
      </c>
      <c r="AX9" s="49">
        <v>3.5873266934807023E-10</v>
      </c>
      <c r="AY9" s="37">
        <f t="shared" si="6"/>
        <v>4.4254115163884105E-10</v>
      </c>
      <c r="AZ9" s="49">
        <f t="shared" si="38"/>
        <v>4.4152298321701493E-10</v>
      </c>
      <c r="BA9" s="49">
        <f t="shared" si="39"/>
        <v>0.38408458688719421</v>
      </c>
      <c r="BB9" s="50">
        <f t="shared" si="40"/>
        <v>1.6060976019439908E-4</v>
      </c>
      <c r="BC9" s="51">
        <f t="shared" si="7"/>
        <v>1597.1839999999997</v>
      </c>
      <c r="BD9" s="51">
        <v>2360</v>
      </c>
      <c r="BE9" s="52">
        <f t="shared" si="41"/>
        <v>2210.6377568228363</v>
      </c>
      <c r="BF9" s="52">
        <f t="shared" si="27"/>
        <v>0.38408458688719438</v>
      </c>
      <c r="BG9" s="53">
        <f t="shared" si="8"/>
        <v>3.4853714568794988E-3</v>
      </c>
      <c r="BH9" s="54">
        <v>73.599999999999994</v>
      </c>
      <c r="BI9" s="42">
        <f t="shared" si="28"/>
        <v>170238.79234547995</v>
      </c>
      <c r="BJ9" s="42">
        <f t="shared" si="29"/>
        <v>340477.58469095989</v>
      </c>
      <c r="BK9" s="42">
        <f t="shared" si="30"/>
        <v>1.5069615069615068</v>
      </c>
      <c r="BL9" s="42">
        <f t="shared" si="9"/>
        <v>1506961.5069615068</v>
      </c>
      <c r="BM9" s="55">
        <f t="shared" si="42"/>
        <v>101.86862559489748</v>
      </c>
      <c r="BN9" s="56">
        <f t="shared" si="43"/>
        <v>0.38408458688719416</v>
      </c>
      <c r="BO9" s="45">
        <f t="shared" si="10"/>
        <v>2406894807.5348067</v>
      </c>
      <c r="BP9" s="45">
        <f t="shared" si="31"/>
        <v>0.24068948075348068</v>
      </c>
      <c r="BQ9" s="45">
        <f t="shared" si="11"/>
        <v>0.7677994436036033</v>
      </c>
      <c r="BR9">
        <v>18.592438999999999</v>
      </c>
      <c r="BS9">
        <v>-3.6120436037413097E-3</v>
      </c>
      <c r="BT9">
        <v>0.89098630427858583</v>
      </c>
      <c r="BU9">
        <f t="shared" si="32"/>
        <v>0.21891087231062725</v>
      </c>
      <c r="BV9">
        <f t="shared" si="33"/>
        <v>0.23191659034190587</v>
      </c>
      <c r="BW9">
        <v>2.9600000000000001E-10</v>
      </c>
      <c r="BX9">
        <f t="shared" si="44"/>
        <v>6.4797618203945665E-11</v>
      </c>
      <c r="BY9">
        <f t="shared" si="34"/>
        <v>3.2325118595029575E-3</v>
      </c>
      <c r="BZ9">
        <f t="shared" si="35"/>
        <v>6.6733764217190364E-3</v>
      </c>
      <c r="CA9" s="24">
        <f t="shared" si="12"/>
        <v>4.5335791979318428E-10</v>
      </c>
      <c r="CB9" s="24"/>
    </row>
    <row r="10" spans="1:80" ht="20.25" customHeight="1">
      <c r="A10" s="22" t="s">
        <v>160</v>
      </c>
      <c r="B10" s="57">
        <v>0.52</v>
      </c>
      <c r="C10" s="22">
        <v>1</v>
      </c>
      <c r="D10" s="22">
        <v>13</v>
      </c>
      <c r="E10" s="22">
        <v>12</v>
      </c>
      <c r="F10" s="24">
        <f t="shared" si="0"/>
        <v>2.17440847E-26</v>
      </c>
      <c r="G10" s="24">
        <f t="shared" si="1"/>
        <v>1.0931262719999999E-29</v>
      </c>
      <c r="H10" s="25">
        <f t="shared" si="13"/>
        <v>2154.9286996126039</v>
      </c>
      <c r="I10" s="25">
        <f t="shared" si="14"/>
        <v>1.0833333333333333</v>
      </c>
      <c r="J10" s="26">
        <f t="shared" si="15"/>
        <v>2.1733153437280001E-26</v>
      </c>
      <c r="K10" s="27">
        <v>47.01</v>
      </c>
      <c r="L10" s="58">
        <f>10^(-8.12+11500/N10+639000/N10^2)/1000</f>
        <v>1.5280162636820758</v>
      </c>
      <c r="M10" s="29">
        <f t="shared" si="16"/>
        <v>9.3444844180722323E-4</v>
      </c>
      <c r="N10" s="27">
        <v>1070.1500000000001</v>
      </c>
      <c r="O10" s="30">
        <v>2.4000000000000001E-5</v>
      </c>
      <c r="P10" s="30">
        <v>7.4200000000000001E-6</v>
      </c>
      <c r="Q10">
        <f t="shared" si="17"/>
        <v>2.5092253166666664E+28</v>
      </c>
      <c r="R10" s="60">
        <v>3.3999999999999999E-11</v>
      </c>
      <c r="S10" s="31">
        <v>1.3300000000000001E-10</v>
      </c>
      <c r="T10" s="31">
        <f t="shared" si="18"/>
        <v>1.6699999999999999E-10</v>
      </c>
      <c r="U10" s="31">
        <f t="shared" si="19"/>
        <v>2.5428777636582281E-10</v>
      </c>
      <c r="V10" s="31"/>
      <c r="W10" s="31">
        <f t="shared" si="20"/>
        <v>3.9117647058823533</v>
      </c>
      <c r="X10" s="31">
        <f t="shared" si="21"/>
        <v>1.67</v>
      </c>
      <c r="Y10" s="31">
        <v>1960000</v>
      </c>
      <c r="Z10" s="32">
        <v>2547.8000000000002</v>
      </c>
      <c r="AA10" s="28">
        <v>0</v>
      </c>
      <c r="AB10" s="28">
        <v>1.972</v>
      </c>
      <c r="AC10" s="24">
        <v>-1.45E-5</v>
      </c>
      <c r="AD10" s="89">
        <v>9.0121830000000003</v>
      </c>
      <c r="AE10" s="90">
        <v>18.998403</v>
      </c>
      <c r="AF10" s="90">
        <f t="shared" si="22"/>
        <v>9.9862199999999994</v>
      </c>
      <c r="AG10" s="90">
        <f t="shared" si="23"/>
        <v>7.6906905998035198</v>
      </c>
      <c r="AH10" s="28">
        <v>1</v>
      </c>
      <c r="AI10" s="28">
        <v>2</v>
      </c>
      <c r="AJ10" s="28">
        <f t="shared" si="24"/>
        <v>3</v>
      </c>
      <c r="AK10" s="28">
        <f t="shared" si="25"/>
        <v>1.5</v>
      </c>
      <c r="AL10" s="46">
        <v>0.79925905600000002</v>
      </c>
      <c r="AM10" s="33">
        <f t="shared" si="2"/>
        <v>0.51944334083333332</v>
      </c>
      <c r="AN10" s="33">
        <f t="shared" si="26"/>
        <v>0.35009389392100509</v>
      </c>
      <c r="AO10" s="33"/>
      <c r="AP10" s="33"/>
      <c r="AQ10" s="46">
        <v>0.51979938659180325</v>
      </c>
      <c r="AR10" s="47">
        <f t="shared" si="36"/>
        <v>0.34964842413771385</v>
      </c>
      <c r="AS10" s="34">
        <f t="shared" si="4"/>
        <v>5635429.4347171905</v>
      </c>
      <c r="AT10" s="34">
        <f t="shared" si="5"/>
        <v>3662499.9999999995</v>
      </c>
      <c r="AU10" s="48">
        <v>3112571177.1964269</v>
      </c>
      <c r="AV10" s="49">
        <f t="shared" si="37"/>
        <v>1.6699999999999999E-10</v>
      </c>
      <c r="AW10" s="49"/>
      <c r="AX10" s="49"/>
      <c r="AY10" s="37">
        <f t="shared" si="6"/>
        <v>2.5696019538505687E-10</v>
      </c>
      <c r="AZ10" s="49">
        <f t="shared" si="38"/>
        <v>2.5678418596676501E-10</v>
      </c>
      <c r="BA10" s="49">
        <f t="shared" si="39"/>
        <v>0.53762985608841329</v>
      </c>
      <c r="BB10" s="50">
        <f t="shared" si="40"/>
        <v>2.0401891301978303E-4</v>
      </c>
      <c r="BC10" s="51">
        <f t="shared" si="7"/>
        <v>2547.8000000000002</v>
      </c>
      <c r="BD10" s="51"/>
      <c r="BE10" s="52">
        <f t="shared" si="41"/>
        <v>3917.5733473420601</v>
      </c>
      <c r="BF10" s="52">
        <f t="shared" si="27"/>
        <v>0.5376298560884134</v>
      </c>
      <c r="BG10" s="53">
        <f t="shared" si="8"/>
        <v>5.9135311330125511E-3</v>
      </c>
      <c r="BH10" s="54">
        <v>87.9</v>
      </c>
      <c r="BI10" s="42">
        <f t="shared" si="28"/>
        <v>346435.94242305163</v>
      </c>
      <c r="BJ10" s="42">
        <f t="shared" si="29"/>
        <v>519653.91363457742</v>
      </c>
      <c r="BK10" s="42">
        <f t="shared" si="30"/>
        <v>3.6625000000000001</v>
      </c>
      <c r="BL10" s="42">
        <f t="shared" si="9"/>
        <v>3662500</v>
      </c>
      <c r="BM10" s="55">
        <f t="shared" si="42"/>
        <v>135.15766435017156</v>
      </c>
      <c r="BN10" s="56">
        <f t="shared" si="43"/>
        <v>0.53762985608841352</v>
      </c>
      <c r="BO10" s="45">
        <f t="shared" si="10"/>
        <v>9331317500</v>
      </c>
      <c r="BP10" s="45">
        <f t="shared" si="31"/>
        <v>0.93313175000000004</v>
      </c>
      <c r="BQ10" s="45">
        <f t="shared" si="11"/>
        <v>1.5583300224999999</v>
      </c>
      <c r="BR10">
        <v>6.1125850000000002</v>
      </c>
      <c r="BS10">
        <v>-4.1051312559396724E-6</v>
      </c>
      <c r="BU10"/>
      <c r="BV10">
        <f t="shared" si="33"/>
        <v>0.40447114487547259</v>
      </c>
      <c r="BW10"/>
      <c r="BX10" s="45">
        <f>T10*SQRT(0.9/BR10)</f>
        <v>6.4080408287683998E-11</v>
      </c>
      <c r="BY10">
        <f t="shared" si="34"/>
        <v>3.3146571381431714E-4</v>
      </c>
      <c r="BZ10">
        <f t="shared" si="35"/>
        <v>4.4770106816457217E-3</v>
      </c>
      <c r="CA10" s="24"/>
      <c r="CB10" s="24"/>
    </row>
    <row r="11" spans="1:80" ht="20.25" customHeight="1">
      <c r="A11" s="22" t="s">
        <v>161</v>
      </c>
      <c r="B11" s="57">
        <v>0.02</v>
      </c>
      <c r="C11" s="22">
        <v>1</v>
      </c>
      <c r="D11" s="22">
        <v>21</v>
      </c>
      <c r="E11" s="22">
        <v>20</v>
      </c>
      <c r="F11" s="24">
        <f t="shared" si="0"/>
        <v>3.51250599E-26</v>
      </c>
      <c r="G11" s="24">
        <f t="shared" si="1"/>
        <v>1.82187712E-29</v>
      </c>
      <c r="H11" s="25">
        <f t="shared" si="13"/>
        <v>2024.3578718964318</v>
      </c>
      <c r="I11" s="25">
        <f t="shared" si="14"/>
        <v>1.05</v>
      </c>
      <c r="J11" s="26">
        <f t="shared" si="15"/>
        <v>3.5106841128800003E-26</v>
      </c>
      <c r="K11" s="28">
        <v>62.3018</v>
      </c>
      <c r="L11" s="28">
        <f>0.187*EXP(32100/(8.3144598*N11))/1000</f>
        <v>2.3159210132636244E-3</v>
      </c>
      <c r="M11" s="29">
        <f t="shared" si="16"/>
        <v>6.5180550123843041E-4</v>
      </c>
      <c r="N11" s="28">
        <v>1534.2</v>
      </c>
      <c r="O11" s="30">
        <f t="shared" ref="O11:O16" si="45">K11/Y11</f>
        <v>2.5574620069823672E-5</v>
      </c>
      <c r="P11" s="30">
        <v>2.1599999999999999E-4</v>
      </c>
      <c r="Q11">
        <f t="shared" si="17"/>
        <v>2.3547332251890301E+28</v>
      </c>
      <c r="R11" s="31">
        <v>7.1999999999999997E-11</v>
      </c>
      <c r="S11" s="31">
        <v>1.3300000000000001E-10</v>
      </c>
      <c r="T11" s="31">
        <f t="shared" si="18"/>
        <v>2.0500000000000002E-10</v>
      </c>
      <c r="U11" s="31">
        <f t="shared" si="19"/>
        <v>2.7694402568390251E-10</v>
      </c>
      <c r="V11" s="31"/>
      <c r="W11" s="31">
        <f t="shared" si="20"/>
        <v>1.8472222222222223</v>
      </c>
      <c r="X11" s="31">
        <f t="shared" si="21"/>
        <v>2.0500000000000003</v>
      </c>
      <c r="Y11" s="31">
        <f t="shared" ref="Y11:Y18" si="46">(AB11+N11*AC11)*1000000</f>
        <v>2436079.2000000002</v>
      </c>
      <c r="Z11" s="32">
        <v>2175.6</v>
      </c>
      <c r="AA11" s="28">
        <v>0</v>
      </c>
      <c r="AB11" s="24">
        <v>3.24</v>
      </c>
      <c r="AC11" s="24">
        <v>-5.2400000000000005E-4</v>
      </c>
      <c r="AD11" s="89">
        <v>24.305</v>
      </c>
      <c r="AE11" s="90">
        <v>18.998403</v>
      </c>
      <c r="AF11" s="90">
        <f t="shared" si="22"/>
        <v>5.306597</v>
      </c>
      <c r="AG11" s="90">
        <f t="shared" si="23"/>
        <v>5.84265043475847</v>
      </c>
      <c r="AH11" s="28">
        <v>1</v>
      </c>
      <c r="AI11" s="28">
        <v>2</v>
      </c>
      <c r="AJ11" s="28">
        <f t="shared" si="24"/>
        <v>3</v>
      </c>
      <c r="AK11" s="28">
        <f t="shared" si="25"/>
        <v>1.5</v>
      </c>
      <c r="AL11" s="46">
        <v>0.65067779999999997</v>
      </c>
      <c r="AM11" s="33">
        <f t="shared" si="2"/>
        <v>0.55165642193242059</v>
      </c>
      <c r="AN11" s="33">
        <f t="shared" si="26"/>
        <v>0.15218189104896368</v>
      </c>
      <c r="AO11" s="33"/>
      <c r="AP11" s="33"/>
      <c r="AQ11" s="46">
        <v>0.55165642193242048</v>
      </c>
      <c r="AR11" s="47">
        <f t="shared" si="36"/>
        <v>0.15218189104896385</v>
      </c>
      <c r="AS11" s="34">
        <f t="shared" si="4"/>
        <v>4376776.1290409379</v>
      </c>
      <c r="AT11" s="34">
        <f t="shared" si="5"/>
        <v>3710710.061025525</v>
      </c>
      <c r="AU11" s="48">
        <v>2691006936.2557101</v>
      </c>
      <c r="AV11" s="49">
        <f t="shared" si="37"/>
        <v>2.0499999999999996E-10</v>
      </c>
      <c r="AW11" s="49"/>
      <c r="AX11" s="49"/>
      <c r="AY11" s="37">
        <f t="shared" si="6"/>
        <v>2.4179714709519052E-10</v>
      </c>
      <c r="AZ11" s="49">
        <f t="shared" si="38"/>
        <v>2.4179714709519052E-10</v>
      </c>
      <c r="BA11" s="49">
        <f t="shared" si="39"/>
        <v>0.17949827851312469</v>
      </c>
      <c r="BB11" s="50">
        <f t="shared" si="40"/>
        <v>2.5356518750341078E-4</v>
      </c>
      <c r="BC11" s="51">
        <f t="shared" si="7"/>
        <v>2175.6</v>
      </c>
      <c r="BD11" s="51"/>
      <c r="BE11" s="52">
        <f t="shared" si="41"/>
        <v>2566.1164547331541</v>
      </c>
      <c r="BF11" s="52">
        <f t="shared" si="27"/>
        <v>0.17949827851312475</v>
      </c>
      <c r="BG11" s="53">
        <f t="shared" si="8"/>
        <v>5.8130286821119117E-3</v>
      </c>
      <c r="BH11" s="54">
        <v>94.9</v>
      </c>
      <c r="BI11" s="42">
        <f t="shared" si="28"/>
        <v>325106.00726240093</v>
      </c>
      <c r="BJ11" s="42">
        <f t="shared" si="29"/>
        <v>487659.0108936014</v>
      </c>
      <c r="BK11" s="42">
        <f t="shared" si="30"/>
        <v>3.7107100610255244</v>
      </c>
      <c r="BL11" s="42">
        <f t="shared" si="9"/>
        <v>3710710.0610255245</v>
      </c>
      <c r="BM11" s="55">
        <f t="shared" si="42"/>
        <v>111.93438663089556</v>
      </c>
      <c r="BN11" s="56">
        <f t="shared" si="43"/>
        <v>0.17949827851312489</v>
      </c>
      <c r="BO11" s="45">
        <f t="shared" si="10"/>
        <v>8073020808.7671309</v>
      </c>
      <c r="BP11" s="45">
        <f t="shared" si="31"/>
        <v>0.80730208087671307</v>
      </c>
      <c r="BQ11" s="45">
        <f t="shared" si="11"/>
        <v>1.6549692657972619</v>
      </c>
      <c r="BR11">
        <v>10.663277000000001</v>
      </c>
      <c r="BS11">
        <v>-4.9421529829090682E-5</v>
      </c>
      <c r="BU11"/>
      <c r="BV11">
        <f t="shared" si="33"/>
        <v>0.30623487956556078</v>
      </c>
      <c r="BW11"/>
      <c r="BX11" s="45">
        <f>T11*SQRT(0.9/BR11)</f>
        <v>5.9556582682493414E-11</v>
      </c>
      <c r="BY11">
        <f t="shared" si="34"/>
        <v>6.5927620521040833E-4</v>
      </c>
      <c r="BZ11">
        <f t="shared" si="35"/>
        <v>4.2939985233993883E-3</v>
      </c>
      <c r="CA11" s="24">
        <f t="shared" ref="CA11:CA16" si="47">L11/(Y11/1000*(Z11+AA11*N11))</f>
        <v>4.369716780765129E-10</v>
      </c>
      <c r="CB11" s="24"/>
    </row>
    <row r="12" spans="1:80" ht="20.25" customHeight="1">
      <c r="A12" s="22" t="s">
        <v>162</v>
      </c>
      <c r="B12" s="57">
        <v>0.12</v>
      </c>
      <c r="C12" s="22">
        <v>1</v>
      </c>
      <c r="D12" s="22">
        <v>29</v>
      </c>
      <c r="E12" s="22">
        <v>28</v>
      </c>
      <c r="F12" s="24">
        <f t="shared" si="0"/>
        <v>4.8506035099999997E-26</v>
      </c>
      <c r="G12" s="24">
        <f t="shared" si="1"/>
        <v>2.5506279679999997E-29</v>
      </c>
      <c r="H12" s="25">
        <f t="shared" si="13"/>
        <v>1969.6480289056633</v>
      </c>
      <c r="I12" s="25">
        <f t="shared" si="14"/>
        <v>1.0357142857142858</v>
      </c>
      <c r="J12" s="26">
        <f t="shared" si="15"/>
        <v>4.8480528820319999E-26</v>
      </c>
      <c r="K12" s="28">
        <v>78.074799999999996</v>
      </c>
      <c r="L12" s="28">
        <f>0.1*EXP(47600/(8.3144598*N12))/1000</f>
        <v>2.9475212895614506E-3</v>
      </c>
      <c r="M12" s="29">
        <f t="shared" si="16"/>
        <v>5.9101654846335696E-4</v>
      </c>
      <c r="N12" s="28">
        <v>1692</v>
      </c>
      <c r="O12" s="30">
        <f t="shared" si="45"/>
        <v>3.1001402462170846E-5</v>
      </c>
      <c r="P12" s="30">
        <v>1.55E-4</v>
      </c>
      <c r="Q12">
        <f t="shared" si="17"/>
        <v>1.9425381697968204E+28</v>
      </c>
      <c r="R12" s="31">
        <v>1E-10</v>
      </c>
      <c r="S12" s="31">
        <v>1.3300000000000001E-10</v>
      </c>
      <c r="T12" s="31">
        <f t="shared" si="18"/>
        <v>2.3300000000000002E-10</v>
      </c>
      <c r="U12" s="31">
        <f t="shared" si="19"/>
        <v>3.0250023115072981E-10</v>
      </c>
      <c r="V12" s="31"/>
      <c r="W12" s="31">
        <f t="shared" si="20"/>
        <v>1.33</v>
      </c>
      <c r="X12" s="31">
        <f t="shared" si="21"/>
        <v>2.33</v>
      </c>
      <c r="Y12" s="31">
        <f t="shared" si="46"/>
        <v>2518428</v>
      </c>
      <c r="Z12" s="32">
        <v>1710.3</v>
      </c>
      <c r="AA12" s="28">
        <v>0</v>
      </c>
      <c r="AB12" s="24">
        <v>3.18</v>
      </c>
      <c r="AC12" s="24">
        <v>-3.9100000000000002E-4</v>
      </c>
      <c r="AD12" s="89">
        <v>40.078000000000003</v>
      </c>
      <c r="AE12" s="90">
        <v>18.998403</v>
      </c>
      <c r="AF12" s="90">
        <f t="shared" si="22"/>
        <v>21.079597000000003</v>
      </c>
      <c r="AG12" s="90">
        <f t="shared" si="23"/>
        <v>6.0576168316134931</v>
      </c>
      <c r="AH12" s="28">
        <v>1</v>
      </c>
      <c r="AI12" s="28">
        <v>2</v>
      </c>
      <c r="AJ12" s="28">
        <f t="shared" si="24"/>
        <v>3</v>
      </c>
      <c r="AK12" s="28">
        <f t="shared" si="25"/>
        <v>1.5</v>
      </c>
      <c r="AL12" s="46">
        <v>0.56480320000000006</v>
      </c>
      <c r="AM12" s="33">
        <f t="shared" si="2"/>
        <v>0.42810664299445522</v>
      </c>
      <c r="AN12" s="33">
        <f t="shared" si="26"/>
        <v>0.24202511070324109</v>
      </c>
      <c r="AO12" s="33"/>
      <c r="AP12" s="33"/>
      <c r="AQ12" s="46">
        <v>0.42810664299445522</v>
      </c>
      <c r="AR12" s="47">
        <f t="shared" si="36"/>
        <v>0.24202511070324109</v>
      </c>
      <c r="AS12" s="34">
        <f t="shared" si="4"/>
        <v>4251969.9503061362</v>
      </c>
      <c r="AT12" s="34">
        <f t="shared" si="5"/>
        <v>3222886.4523764392</v>
      </c>
      <c r="AU12" s="48">
        <v>1837367566.4998081</v>
      </c>
      <c r="AV12" s="49">
        <f t="shared" si="37"/>
        <v>2.3299999999999997E-10</v>
      </c>
      <c r="AW12" s="49"/>
      <c r="AX12" s="49"/>
      <c r="AY12" s="37">
        <f t="shared" si="6"/>
        <v>3.073980461492266E-10</v>
      </c>
      <c r="AZ12" s="49">
        <f t="shared" si="38"/>
        <v>3.0739804614922655E-10</v>
      </c>
      <c r="BA12" s="49">
        <f t="shared" si="39"/>
        <v>0.3193049190953931</v>
      </c>
      <c r="BB12" s="50">
        <f t="shared" si="40"/>
        <v>2.5031084780123677E-4</v>
      </c>
      <c r="BC12" s="51">
        <f t="shared" si="7"/>
        <v>1710.3</v>
      </c>
      <c r="BD12" s="51"/>
      <c r="BE12" s="52">
        <f t="shared" si="41"/>
        <v>2256.4072031288506</v>
      </c>
      <c r="BF12" s="52">
        <f t="shared" si="27"/>
        <v>0.31930491909539299</v>
      </c>
      <c r="BG12" s="53">
        <f t="shared" si="8"/>
        <v>4.2847513160763776E-3</v>
      </c>
      <c r="BH12" s="55">
        <v>99.914000000000001</v>
      </c>
      <c r="BI12" s="42">
        <f t="shared" si="28"/>
        <v>268196.33815918106</v>
      </c>
      <c r="BJ12" s="42">
        <f t="shared" si="29"/>
        <v>402294.50723877159</v>
      </c>
      <c r="BK12" s="42">
        <f t="shared" si="30"/>
        <v>3.2228864523764393</v>
      </c>
      <c r="BL12" s="42">
        <f t="shared" si="9"/>
        <v>3222886.4523764392</v>
      </c>
      <c r="BM12" s="55">
        <f t="shared" si="42"/>
        <v>131.8170316864971</v>
      </c>
      <c r="BN12" s="56">
        <f t="shared" si="43"/>
        <v>0.31930491909539305</v>
      </c>
      <c r="BO12" s="45">
        <f t="shared" si="10"/>
        <v>5512102699.499424</v>
      </c>
      <c r="BP12" s="45">
        <f t="shared" si="31"/>
        <v>0.55121026994994238</v>
      </c>
      <c r="BQ12" s="45">
        <f t="shared" si="11"/>
        <v>1.284319928983366</v>
      </c>
      <c r="BR12">
        <v>12.888699000000001</v>
      </c>
      <c r="BS12">
        <v>-2.0540721467734608E-4</v>
      </c>
      <c r="BU12"/>
      <c r="BV12">
        <f t="shared" si="33"/>
        <v>0.27854505914169592</v>
      </c>
      <c r="BW12"/>
      <c r="BX12" s="45">
        <f>T12*SQRT(0.9/BR12)</f>
        <v>6.1570493569397149E-11</v>
      </c>
      <c r="BY12">
        <f t="shared" si="34"/>
        <v>1.1119845813518838E-3</v>
      </c>
      <c r="BZ12">
        <f t="shared" si="35"/>
        <v>4.4336649610158393E-3</v>
      </c>
      <c r="CA12" s="24">
        <f t="shared" si="47"/>
        <v>6.843135125098611E-10</v>
      </c>
      <c r="CB12" s="24"/>
    </row>
    <row r="13" spans="1:80" ht="20.25" customHeight="1">
      <c r="A13" s="22" t="s">
        <v>163</v>
      </c>
      <c r="B13" s="57"/>
      <c r="C13" s="22">
        <v>1</v>
      </c>
      <c r="D13" s="22">
        <v>47</v>
      </c>
      <c r="E13" s="22">
        <v>46</v>
      </c>
      <c r="F13" s="24">
        <f t="shared" si="0"/>
        <v>7.8613229299999995E-26</v>
      </c>
      <c r="G13" s="24">
        <f t="shared" si="1"/>
        <v>4.1903173759999999E-29</v>
      </c>
      <c r="H13" s="25">
        <f t="shared" si="13"/>
        <v>1916.8527187390821</v>
      </c>
      <c r="I13" s="25">
        <f t="shared" si="14"/>
        <v>1.0217391304347827</v>
      </c>
      <c r="J13" s="26">
        <f t="shared" si="15"/>
        <v>7.8571326126239999E-26</v>
      </c>
      <c r="K13" s="28">
        <v>125.6168</v>
      </c>
      <c r="L13" s="28">
        <f>0.0703*EXP(54500/(8.3144598*N13))/1000</f>
        <v>3.0018345111633513E-3</v>
      </c>
      <c r="M13" s="29">
        <f t="shared" si="16"/>
        <v>5.7273768613974802E-4</v>
      </c>
      <c r="N13" s="28">
        <v>1746</v>
      </c>
      <c r="O13" s="30">
        <f t="shared" si="45"/>
        <v>3.6213810492182497E-5</v>
      </c>
      <c r="P13" s="30">
        <v>2.13E-4</v>
      </c>
      <c r="Q13">
        <f t="shared" si="17"/>
        <v>1.6629403749986497E+28</v>
      </c>
      <c r="R13" s="31">
        <v>1.1800000000000001E-10</v>
      </c>
      <c r="S13" s="31">
        <v>1.3300000000000001E-10</v>
      </c>
      <c r="T13" s="31">
        <f t="shared" si="18"/>
        <v>2.5100000000000001E-10</v>
      </c>
      <c r="U13" s="31">
        <f t="shared" si="19"/>
        <v>3.2138947925963977E-10</v>
      </c>
      <c r="V13" s="31"/>
      <c r="W13" s="31">
        <f t="shared" si="20"/>
        <v>1.1271186440677965</v>
      </c>
      <c r="X13" s="31">
        <f t="shared" si="21"/>
        <v>2.5100000000000002</v>
      </c>
      <c r="Y13" s="31">
        <f t="shared" si="46"/>
        <v>3468754</v>
      </c>
      <c r="Z13" s="32">
        <v>1398.6</v>
      </c>
      <c r="AA13" s="28">
        <v>0</v>
      </c>
      <c r="AB13" s="24">
        <v>4.78</v>
      </c>
      <c r="AC13" s="24">
        <v>-7.5100000000000004E-4</v>
      </c>
      <c r="AD13" s="89">
        <v>87.62</v>
      </c>
      <c r="AE13" s="90">
        <v>18.998403</v>
      </c>
      <c r="AF13" s="90">
        <f t="shared" si="22"/>
        <v>68.621597000000008</v>
      </c>
      <c r="AG13" s="90">
        <f t="shared" si="23"/>
        <v>8.0456207669666391</v>
      </c>
      <c r="AH13" s="28">
        <v>1</v>
      </c>
      <c r="AI13" s="28">
        <v>2</v>
      </c>
      <c r="AJ13" s="28">
        <f t="shared" si="24"/>
        <v>3</v>
      </c>
      <c r="AK13" s="28">
        <f t="shared" si="25"/>
        <v>1.5</v>
      </c>
      <c r="AL13" s="46">
        <v>0.39041500000000001</v>
      </c>
      <c r="AM13" s="33">
        <f t="shared" si="2"/>
        <v>0.31989463805530149</v>
      </c>
      <c r="AN13" s="33">
        <f t="shared" si="26"/>
        <v>0.1806292328540105</v>
      </c>
      <c r="AO13" s="33"/>
      <c r="AP13" s="33"/>
      <c r="AQ13" s="46">
        <v>0.31989463805530149</v>
      </c>
      <c r="AR13" s="47">
        <f t="shared" si="36"/>
        <v>0.1806292328540105</v>
      </c>
      <c r="AS13" s="34">
        <f t="shared" si="4"/>
        <v>3336418.376259014</v>
      </c>
      <c r="AT13" s="34">
        <f t="shared" si="5"/>
        <v>2733763.684475325</v>
      </c>
      <c r="AU13" s="48">
        <v>1274480629.7023959</v>
      </c>
      <c r="AV13" s="49">
        <f t="shared" si="37"/>
        <v>2.5100000000000012E-10</v>
      </c>
      <c r="AW13" s="49"/>
      <c r="AX13" s="49"/>
      <c r="AY13" s="37">
        <f t="shared" si="6"/>
        <v>3.0633262750424518E-10</v>
      </c>
      <c r="AZ13" s="49">
        <f t="shared" si="38"/>
        <v>3.0633262750424528E-10</v>
      </c>
      <c r="BA13" s="49">
        <f t="shared" si="39"/>
        <v>0.22044871515635514</v>
      </c>
      <c r="BB13" s="50">
        <f t="shared" si="40"/>
        <v>2.2872489493443551E-4</v>
      </c>
      <c r="BC13" s="51">
        <f t="shared" si="7"/>
        <v>1398.6</v>
      </c>
      <c r="BD13" s="51"/>
      <c r="BE13" s="52">
        <f t="shared" si="41"/>
        <v>1706.9195730176784</v>
      </c>
      <c r="BF13" s="52">
        <f t="shared" si="27"/>
        <v>0.22044871515635531</v>
      </c>
      <c r="BG13" s="53">
        <f t="shared" si="8"/>
        <v>3.2312589702555706E-3</v>
      </c>
      <c r="BH13" s="54">
        <v>99</v>
      </c>
      <c r="BI13" s="42">
        <f t="shared" si="28"/>
        <v>229593.6965801511</v>
      </c>
      <c r="BJ13" s="42">
        <f t="shared" si="29"/>
        <v>344390.54487022664</v>
      </c>
      <c r="BK13" s="42">
        <f t="shared" si="30"/>
        <v>2.733763684475325</v>
      </c>
      <c r="BL13" s="42">
        <f t="shared" si="9"/>
        <v>2733763.684475325</v>
      </c>
      <c r="BM13" s="55">
        <f t="shared" si="42"/>
        <v>120.82442280047917</v>
      </c>
      <c r="BN13" s="56">
        <f t="shared" si="43"/>
        <v>0.22044871515635525</v>
      </c>
      <c r="BO13" s="45">
        <f t="shared" si="10"/>
        <v>3823441889.1071892</v>
      </c>
      <c r="BP13" s="45">
        <f t="shared" si="31"/>
        <v>0.38234418891071892</v>
      </c>
      <c r="BQ13" s="45">
        <f t="shared" si="11"/>
        <v>0.95968391416590448</v>
      </c>
      <c r="BR13">
        <v>15.613065000000001</v>
      </c>
      <c r="BS13">
        <v>-4.6321912504000408E-4</v>
      </c>
      <c r="BU13"/>
      <c r="BV13">
        <f t="shared" si="33"/>
        <v>0.25307888716651805</v>
      </c>
      <c r="BW13"/>
      <c r="BX13" s="45">
        <f>T13*SQRT(0.9/BR13)</f>
        <v>6.0263020049365653E-11</v>
      </c>
      <c r="BY13">
        <f t="shared" si="34"/>
        <v>1.3784946127590213E-3</v>
      </c>
      <c r="BZ13">
        <f t="shared" si="35"/>
        <v>4.5290095924757148E-3</v>
      </c>
      <c r="CA13" s="24">
        <f t="shared" si="47"/>
        <v>6.1875642429403127E-10</v>
      </c>
      <c r="CB13" s="24"/>
    </row>
    <row r="14" spans="1:80" ht="20.25" customHeight="1">
      <c r="A14" s="22" t="s">
        <v>164</v>
      </c>
      <c r="B14" s="57">
        <v>0.8</v>
      </c>
      <c r="C14" s="22">
        <v>1</v>
      </c>
      <c r="D14" s="22">
        <v>29</v>
      </c>
      <c r="E14" s="22">
        <v>28</v>
      </c>
      <c r="F14" s="24">
        <f t="shared" si="0"/>
        <v>4.8506035099999997E-26</v>
      </c>
      <c r="G14" s="24">
        <f t="shared" si="1"/>
        <v>2.5506279679999997E-29</v>
      </c>
      <c r="H14" s="25">
        <f t="shared" si="13"/>
        <v>1969.6480289056633</v>
      </c>
      <c r="I14" s="25">
        <f t="shared" si="14"/>
        <v>1.0357142857142858</v>
      </c>
      <c r="J14" s="26">
        <f t="shared" si="15"/>
        <v>4.8480528820319999E-26</v>
      </c>
      <c r="K14" s="28">
        <v>95.210999999999999</v>
      </c>
      <c r="L14" s="28">
        <f>0.18*EXP(20500/(8.3144598*N14))/1000</f>
        <v>2.1885964575678765E-3</v>
      </c>
      <c r="M14" s="29">
        <f t="shared" si="16"/>
        <v>1.0131712259371835E-3</v>
      </c>
      <c r="N14" s="28">
        <v>987</v>
      </c>
      <c r="O14" s="30">
        <f t="shared" si="45"/>
        <v>5.651027632231827E-5</v>
      </c>
      <c r="P14" s="30">
        <v>1.8000000000000001E-4</v>
      </c>
      <c r="Q14">
        <f t="shared" si="17"/>
        <v>1.0656717949230068E+28</v>
      </c>
      <c r="R14" s="31">
        <v>7.1999999999999997E-11</v>
      </c>
      <c r="S14" s="31">
        <v>1.81E-10</v>
      </c>
      <c r="T14" s="31">
        <f t="shared" si="18"/>
        <v>2.5300000000000001E-10</v>
      </c>
      <c r="U14" s="31">
        <f t="shared" si="19"/>
        <v>3.5371073530833838E-10</v>
      </c>
      <c r="V14" s="31">
        <v>2.36</v>
      </c>
      <c r="W14" s="31">
        <f t="shared" si="20"/>
        <v>2.5138888888888888</v>
      </c>
      <c r="X14" s="31">
        <f t="shared" si="21"/>
        <v>2.5300000000000002</v>
      </c>
      <c r="Y14" s="31">
        <f t="shared" si="46"/>
        <v>1684844</v>
      </c>
      <c r="Z14" s="32">
        <v>2101</v>
      </c>
      <c r="AA14" s="28">
        <v>0</v>
      </c>
      <c r="AB14" s="24">
        <v>1.9691000000000001</v>
      </c>
      <c r="AC14" s="24">
        <v>-2.8800000000000001E-4</v>
      </c>
      <c r="AD14" s="89">
        <v>24.305</v>
      </c>
      <c r="AE14" s="90">
        <v>35.450000000000003</v>
      </c>
      <c r="AF14" s="90">
        <f t="shared" si="22"/>
        <v>11.145000000000003</v>
      </c>
      <c r="AG14" s="90">
        <f t="shared" si="23"/>
        <v>6.603124942350699</v>
      </c>
      <c r="AH14" s="28">
        <v>1</v>
      </c>
      <c r="AI14" s="28">
        <v>2</v>
      </c>
      <c r="AJ14" s="28">
        <f t="shared" si="24"/>
        <v>3</v>
      </c>
      <c r="AK14" s="28">
        <f t="shared" si="25"/>
        <v>1.5</v>
      </c>
      <c r="AL14" s="46">
        <v>0.45680000000000004</v>
      </c>
      <c r="AM14" s="33">
        <f t="shared" si="2"/>
        <v>0.28861057804145579</v>
      </c>
      <c r="AN14" s="33">
        <f t="shared" si="26"/>
        <v>0.36819050341187443</v>
      </c>
      <c r="AO14" s="33">
        <f>1/3*BL14*BC14*AW14</f>
        <v>0.26994066201236538</v>
      </c>
      <c r="AP14" s="33">
        <f>1/3*BL14*BC14*AX14</f>
        <v>0.33370075449931308</v>
      </c>
      <c r="AQ14" s="46">
        <v>0.28861057804145579</v>
      </c>
      <c r="AR14" s="47">
        <f t="shared" si="36"/>
        <v>0.36819050341187443</v>
      </c>
      <c r="AS14" s="34">
        <f t="shared" si="4"/>
        <v>2578106.0402255282</v>
      </c>
      <c r="AT14" s="34">
        <f t="shared" si="5"/>
        <v>1628871.8794256968</v>
      </c>
      <c r="AU14" s="48">
        <v>1140753272.891129</v>
      </c>
      <c r="AV14" s="49">
        <f t="shared" si="37"/>
        <v>2.5300000000000011E-10</v>
      </c>
      <c r="AW14" s="49">
        <v>2.36633694969138E-10</v>
      </c>
      <c r="AX14" s="49">
        <v>2.9252666849999965E-10</v>
      </c>
      <c r="AY14" s="37">
        <f t="shared" si="6"/>
        <v>4.0043715924854139E-10</v>
      </c>
      <c r="AZ14" s="49">
        <f t="shared" si="38"/>
        <v>4.004371592485416E-10</v>
      </c>
      <c r="BA14" s="49">
        <f t="shared" si="39"/>
        <v>0.5827555701523377</v>
      </c>
      <c r="BB14" s="50">
        <f t="shared" si="40"/>
        <v>1.3736819516490043E-4</v>
      </c>
      <c r="BC14" s="51">
        <f t="shared" si="7"/>
        <v>2101</v>
      </c>
      <c r="BD14" s="51">
        <v>3400</v>
      </c>
      <c r="BE14" s="52">
        <f t="shared" si="41"/>
        <v>3325.369452890061</v>
      </c>
      <c r="BF14" s="52">
        <f t="shared" si="27"/>
        <v>0.58275557015233748</v>
      </c>
      <c r="BG14" s="53">
        <f t="shared" si="8"/>
        <v>3.1354356209961735E-3</v>
      </c>
      <c r="BH14" s="55">
        <v>92.048000000000002</v>
      </c>
      <c r="BI14" s="42">
        <f t="shared" si="28"/>
        <v>147131.86979886546</v>
      </c>
      <c r="BJ14" s="42">
        <f t="shared" si="29"/>
        <v>220697.80469829819</v>
      </c>
      <c r="BK14" s="42">
        <f t="shared" si="30"/>
        <v>1.6288718794256967</v>
      </c>
      <c r="BL14" s="42">
        <f t="shared" si="9"/>
        <v>1628871.8794256966</v>
      </c>
      <c r="BM14" s="55">
        <f t="shared" si="42"/>
        <v>145.68948472138237</v>
      </c>
      <c r="BN14" s="56">
        <f t="shared" si="43"/>
        <v>0.58275557015233759</v>
      </c>
      <c r="BO14" s="45">
        <f t="shared" si="10"/>
        <v>3422259818.6733885</v>
      </c>
      <c r="BP14" s="45">
        <f t="shared" si="31"/>
        <v>0.34222598186733888</v>
      </c>
      <c r="BQ14" s="45">
        <f t="shared" si="11"/>
        <v>0.86583173412436731</v>
      </c>
      <c r="BR14">
        <v>14.419082</v>
      </c>
      <c r="BS14">
        <v>-1.7252441958564505E-4</v>
      </c>
      <c r="BT14" s="28">
        <v>0.94057283511200729</v>
      </c>
      <c r="BU14">
        <f t="shared" si="32"/>
        <v>0.25540383259273031</v>
      </c>
      <c r="BV14">
        <f t="shared" si="33"/>
        <v>0.26334870930589072</v>
      </c>
      <c r="BW14">
        <v>2.3600000000000001E-10</v>
      </c>
      <c r="BX14">
        <f t="shared" si="44"/>
        <v>6.0275304491884361E-11</v>
      </c>
      <c r="BY14">
        <f t="shared" si="34"/>
        <v>9.1093560196156467E-4</v>
      </c>
      <c r="BZ14">
        <f t="shared" si="35"/>
        <v>9.2699658131831855E-3</v>
      </c>
      <c r="CA14" s="24">
        <f t="shared" si="47"/>
        <v>6.1827251968353004E-10</v>
      </c>
      <c r="CB14" s="24"/>
    </row>
    <row r="15" spans="1:80" ht="20.25" customHeight="1">
      <c r="A15" s="22" t="s">
        <v>165</v>
      </c>
      <c r="B15" s="57">
        <v>2.5</v>
      </c>
      <c r="C15" s="22">
        <v>1</v>
      </c>
      <c r="D15" s="22">
        <v>37</v>
      </c>
      <c r="E15" s="22">
        <v>36</v>
      </c>
      <c r="F15" s="24">
        <f t="shared" si="0"/>
        <v>6.1887010299999994E-26</v>
      </c>
      <c r="G15" s="24">
        <f t="shared" si="1"/>
        <v>3.2793788159999999E-29</v>
      </c>
      <c r="H15" s="25">
        <f t="shared" si="13"/>
        <v>1939.5775080668341</v>
      </c>
      <c r="I15" s="25">
        <f t="shared" si="14"/>
        <v>1.0277777777777777</v>
      </c>
      <c r="J15" s="26">
        <f t="shared" si="15"/>
        <v>6.185421651184E-26</v>
      </c>
      <c r="K15" s="28">
        <v>110.98399999999999</v>
      </c>
      <c r="L15" s="28">
        <f>10^(-0.545+597/N15+546000/N15^2)/1000</f>
        <v>3.3595446651079881E-3</v>
      </c>
      <c r="M15" s="29">
        <f t="shared" si="16"/>
        <v>9.5693779904306223E-4</v>
      </c>
      <c r="N15" s="28">
        <v>1045</v>
      </c>
      <c r="O15" s="30">
        <f t="shared" si="45"/>
        <v>5.3154147698835956E-5</v>
      </c>
      <c r="P15" s="30">
        <v>2.03E-4</v>
      </c>
      <c r="Q15">
        <f t="shared" si="17"/>
        <v>1.1329578256283247E+28</v>
      </c>
      <c r="R15" s="31">
        <v>1E-10</v>
      </c>
      <c r="S15" s="31">
        <v>1.81E-10</v>
      </c>
      <c r="T15" s="31">
        <f t="shared" si="18"/>
        <v>2.8100000000000001E-10</v>
      </c>
      <c r="U15" s="31">
        <f t="shared" si="19"/>
        <v>3.6312063805604805E-10</v>
      </c>
      <c r="V15" s="31">
        <v>2.70336</v>
      </c>
      <c r="W15" s="31">
        <f t="shared" si="20"/>
        <v>1.8099999999999998</v>
      </c>
      <c r="X15" s="31">
        <f t="shared" si="21"/>
        <v>2.81</v>
      </c>
      <c r="Y15" s="31">
        <f t="shared" si="46"/>
        <v>2087964.9999999995</v>
      </c>
      <c r="Z15" s="32">
        <v>2065.0300000000002</v>
      </c>
      <c r="AA15" s="28">
        <v>0</v>
      </c>
      <c r="AB15" s="24">
        <v>2.5299999999999998</v>
      </c>
      <c r="AC15" s="24">
        <v>-4.2299999999999998E-4</v>
      </c>
      <c r="AD15" s="89">
        <v>40.078000000000003</v>
      </c>
      <c r="AE15" s="90">
        <v>35.450000000000003</v>
      </c>
      <c r="AF15" s="90">
        <f t="shared" si="22"/>
        <v>4.6280000000000001</v>
      </c>
      <c r="AG15" s="90">
        <f t="shared" si="23"/>
        <v>5.8999195368862987</v>
      </c>
      <c r="AH15" s="28">
        <v>1</v>
      </c>
      <c r="AI15" s="28">
        <v>2</v>
      </c>
      <c r="AK15" s="28">
        <f t="shared" si="25"/>
        <v>1.5</v>
      </c>
      <c r="AL15" s="46">
        <v>0.44125000000000003</v>
      </c>
      <c r="AM15" s="33">
        <f t="shared" si="2"/>
        <v>0.37311089961278132</v>
      </c>
      <c r="AN15" s="33">
        <f t="shared" si="26"/>
        <v>0.15442289039596307</v>
      </c>
      <c r="AO15" s="33">
        <f>1/3*BL15*BC15*AW15</f>
        <v>0.37024310108699077</v>
      </c>
      <c r="AP15" s="33">
        <f>1/3*BL15*BC15*AX15</f>
        <v>0.40039499504213499</v>
      </c>
      <c r="AQ15" s="46"/>
      <c r="AR15" s="47"/>
      <c r="AS15" s="34">
        <f t="shared" si="4"/>
        <v>2281252.1331538479</v>
      </c>
      <c r="AT15" s="34">
        <f t="shared" si="5"/>
        <v>1928974.5850302742</v>
      </c>
      <c r="AU15" s="48"/>
      <c r="AV15" s="49"/>
      <c r="AW15" s="49">
        <v>2.7884018267334601E-10</v>
      </c>
      <c r="AX15" s="49">
        <v>3.0154839679999996E-10</v>
      </c>
      <c r="AY15" s="37">
        <f t="shared" si="6"/>
        <v>3.3231741589077008E-10</v>
      </c>
      <c r="AZ15" s="49"/>
      <c r="BA15" s="49"/>
      <c r="BB15" s="50"/>
      <c r="BC15" s="51">
        <f t="shared" si="7"/>
        <v>2065.0300000000002</v>
      </c>
      <c r="BD15" s="51">
        <v>2200</v>
      </c>
      <c r="BE15" s="52"/>
      <c r="BF15" s="52"/>
      <c r="BG15" s="53">
        <f t="shared" si="8"/>
        <v>0</v>
      </c>
      <c r="BH15" s="55">
        <v>102.533</v>
      </c>
      <c r="BI15" s="42">
        <f t="shared" si="28"/>
        <v>156421.70889959211</v>
      </c>
      <c r="BJ15" s="42">
        <f t="shared" si="29"/>
        <v>234632.56334938816</v>
      </c>
      <c r="BK15" s="42">
        <f t="shared" si="30"/>
        <v>1.9289745850302744</v>
      </c>
      <c r="BL15" s="42">
        <f t="shared" si="9"/>
        <v>1928974.5850302745</v>
      </c>
      <c r="BM15" s="55"/>
      <c r="BN15" s="56"/>
      <c r="BO15" s="45">
        <f t="shared" si="10"/>
        <v>3983390387.325068</v>
      </c>
      <c r="BP15" s="45">
        <f t="shared" si="31"/>
        <v>0.39833903873250681</v>
      </c>
      <c r="BQ15" s="45">
        <f t="shared" si="11"/>
        <v>1.1193326988383441</v>
      </c>
      <c r="BR15">
        <v>18.811104</v>
      </c>
      <c r="BS15">
        <v>-1.6920231528582099E-4</v>
      </c>
      <c r="BT15" s="28">
        <v>0.99389548248676085</v>
      </c>
      <c r="BU15">
        <f t="shared" si="32"/>
        <v>0.22985990139579499</v>
      </c>
      <c r="BV15">
        <f t="shared" si="33"/>
        <v>0.23056472188097921</v>
      </c>
      <c r="BW15">
        <v>2.7800000000000002E-10</v>
      </c>
      <c r="BX15">
        <f t="shared" si="44"/>
        <v>6.3901052588031007E-11</v>
      </c>
      <c r="BY15">
        <f t="shared" si="34"/>
        <v>6.9149471661589994E-4</v>
      </c>
      <c r="BZ15">
        <f t="shared" si="35"/>
        <v>8.6196189853073764E-3</v>
      </c>
      <c r="CA15" s="24">
        <f t="shared" si="47"/>
        <v>7.7916751857846874E-10</v>
      </c>
      <c r="CB15" s="24"/>
    </row>
    <row r="16" spans="1:80" ht="20.25" customHeight="1">
      <c r="A16" s="22" t="s">
        <v>166</v>
      </c>
      <c r="B16" s="57"/>
      <c r="C16" s="22">
        <v>1</v>
      </c>
      <c r="D16" s="22">
        <v>55</v>
      </c>
      <c r="E16" s="22">
        <v>54</v>
      </c>
      <c r="F16" s="24">
        <f t="shared" si="0"/>
        <v>9.1994204499999998E-26</v>
      </c>
      <c r="G16" s="24">
        <f t="shared" si="1"/>
        <v>4.9190682239999996E-29</v>
      </c>
      <c r="H16" s="25">
        <f t="shared" si="13"/>
        <v>1904.7875860407996</v>
      </c>
      <c r="I16" s="25">
        <f t="shared" si="14"/>
        <v>1.0185185185185186</v>
      </c>
      <c r="J16" s="26">
        <f t="shared" si="15"/>
        <v>9.1945013817760001E-26</v>
      </c>
      <c r="K16" s="28">
        <v>158.52600000000001</v>
      </c>
      <c r="L16" s="28">
        <f>10^(-0.439+398/N16+879000/N16^2)/1000</f>
        <v>3.78088190424221E-3</v>
      </c>
      <c r="M16" s="29">
        <f t="shared" si="16"/>
        <v>8.7260034904013963E-4</v>
      </c>
      <c r="N16" s="28">
        <v>1146</v>
      </c>
      <c r="O16" s="30">
        <f t="shared" si="45"/>
        <v>5.811897000013199E-5</v>
      </c>
      <c r="P16" s="30">
        <v>2.12E-4</v>
      </c>
      <c r="Q16">
        <f t="shared" si="17"/>
        <v>1.0361747222957191E+28</v>
      </c>
      <c r="R16" s="31">
        <v>1.1800000000000001E-10</v>
      </c>
      <c r="S16" s="31">
        <v>1.81E-10</v>
      </c>
      <c r="T16" s="31">
        <f t="shared" si="18"/>
        <v>2.99E-10</v>
      </c>
      <c r="U16" s="31">
        <f t="shared" si="19"/>
        <v>3.7884661777457781E-10</v>
      </c>
      <c r="V16" s="31">
        <v>2.9</v>
      </c>
      <c r="W16" s="31">
        <f t="shared" si="20"/>
        <v>1.5338983050847457</v>
      </c>
      <c r="X16" s="31">
        <f t="shared" si="21"/>
        <v>2.99</v>
      </c>
      <c r="Y16" s="31">
        <f t="shared" si="46"/>
        <v>2727612</v>
      </c>
      <c r="Z16" s="32">
        <v>1873.13</v>
      </c>
      <c r="AA16" s="28">
        <v>0</v>
      </c>
      <c r="AB16" s="24">
        <v>3.39</v>
      </c>
      <c r="AC16" s="24">
        <v>-5.7799999999999995E-4</v>
      </c>
      <c r="AD16" s="89">
        <v>87.62</v>
      </c>
      <c r="AE16" s="90">
        <v>35.450000000000003</v>
      </c>
      <c r="AF16" s="90">
        <f t="shared" si="22"/>
        <v>52.17</v>
      </c>
      <c r="AG16" s="90">
        <f t="shared" si="23"/>
        <v>6.2810638797105316</v>
      </c>
      <c r="AH16" s="28">
        <v>1</v>
      </c>
      <c r="AI16" s="28">
        <v>2</v>
      </c>
      <c r="AJ16" s="28">
        <f t="shared" si="24"/>
        <v>3</v>
      </c>
      <c r="AK16" s="28">
        <f t="shared" si="25"/>
        <v>1.5</v>
      </c>
      <c r="AL16" s="46">
        <v>0.37705</v>
      </c>
      <c r="AM16" s="33">
        <f t="shared" si="2"/>
        <v>0.33599408249358714</v>
      </c>
      <c r="AN16" s="33">
        <f t="shared" si="26"/>
        <v>0.1088871966752761</v>
      </c>
      <c r="AO16" s="33">
        <f>1/3*BL16*BC16*AW16</f>
        <v>0.32666098973626656</v>
      </c>
      <c r="AP16" s="33">
        <f>1/3*BL16*BC16*AX16</f>
        <v>0.36759447686851399</v>
      </c>
      <c r="AQ16" s="46">
        <v>0.33599408249358731</v>
      </c>
      <c r="AR16" s="47">
        <f>(AL16-AQ16)/AL16</f>
        <v>0.10888719667527566</v>
      </c>
      <c r="AS16" s="34">
        <f t="shared" si="4"/>
        <v>2019673.1502314182</v>
      </c>
      <c r="AT16" s="34">
        <f t="shared" si="5"/>
        <v>1799756.6027023955</v>
      </c>
      <c r="AU16" s="48">
        <v>1123726028.406646</v>
      </c>
      <c r="AV16" s="49">
        <f>AQ16/AU16</f>
        <v>2.9900000000000016E-10</v>
      </c>
      <c r="AW16" s="49">
        <v>2.9069451225530999E-10</v>
      </c>
      <c r="AX16" s="49">
        <v>3.2712108429999942E-10</v>
      </c>
      <c r="AY16" s="37">
        <f t="shared" si="6"/>
        <v>3.3553552242144542E-10</v>
      </c>
      <c r="AZ16" s="49">
        <f>AL16/AU16</f>
        <v>3.3553552242144542E-10</v>
      </c>
      <c r="BA16" s="49">
        <f>(AZ16-AV16)/AV16</f>
        <v>0.12219238268041888</v>
      </c>
      <c r="BB16" s="50">
        <f>AQ16/BC16</f>
        <v>1.7937574140267215E-4</v>
      </c>
      <c r="BC16" s="51">
        <f t="shared" si="7"/>
        <v>1873.13</v>
      </c>
      <c r="BD16" s="51"/>
      <c r="BE16" s="52">
        <f>AL16/BB16</f>
        <v>2102.0122177701733</v>
      </c>
      <c r="BF16" s="52">
        <f t="shared" si="27"/>
        <v>0.12219238268041895</v>
      </c>
      <c r="BG16" s="53">
        <f t="shared" si="8"/>
        <v>3.2121805209711983E-3</v>
      </c>
      <c r="BH16" s="54">
        <v>104.6</v>
      </c>
      <c r="BI16" s="42">
        <f t="shared" si="28"/>
        <v>143059.35941628623</v>
      </c>
      <c r="BJ16" s="42">
        <f t="shared" si="29"/>
        <v>214589.03912442934</v>
      </c>
      <c r="BK16" s="42">
        <f t="shared" si="30"/>
        <v>1.7997566027023955</v>
      </c>
      <c r="BL16" s="42">
        <f t="shared" si="9"/>
        <v>1799756.6027023955</v>
      </c>
      <c r="BM16" s="55">
        <f>AL16/(BG16)</f>
        <v>117.38132322837181</v>
      </c>
      <c r="BN16" s="56">
        <f>(BM16-BH16)/BH16</f>
        <v>0.12219238268041892</v>
      </c>
      <c r="BO16" s="45">
        <f t="shared" si="10"/>
        <v>3371178085.2199383</v>
      </c>
      <c r="BP16" s="45">
        <f t="shared" si="31"/>
        <v>0.33711780852199386</v>
      </c>
      <c r="BQ16" s="45">
        <f t="shared" si="11"/>
        <v>1.0079822474807616</v>
      </c>
      <c r="BR16">
        <v>25.238717999999999</v>
      </c>
      <c r="BS16">
        <v>-3.8382393861047752E-4</v>
      </c>
      <c r="BT16" s="28">
        <v>0.90815460417356741</v>
      </c>
      <c r="BU16">
        <f t="shared" si="32"/>
        <v>0.18969079162882779</v>
      </c>
      <c r="BV16">
        <f t="shared" si="33"/>
        <v>0.19905191239018427</v>
      </c>
      <c r="BW16">
        <v>2.8999999999999998E-10</v>
      </c>
      <c r="BX16">
        <f t="shared" si="44"/>
        <v>5.5010329572360059E-11</v>
      </c>
      <c r="BY16">
        <f t="shared" si="34"/>
        <v>7.7624486036274886E-4</v>
      </c>
      <c r="BZ16">
        <f t="shared" si="35"/>
        <v>8.8314060945664571E-3</v>
      </c>
      <c r="CA16" s="24">
        <f t="shared" si="47"/>
        <v>7.4001853993764589E-10</v>
      </c>
      <c r="CB16" s="24"/>
    </row>
    <row r="17" spans="1:80" ht="20.25" customHeight="1">
      <c r="A17" s="22" t="s">
        <v>167</v>
      </c>
      <c r="B17" s="57">
        <v>0.3</v>
      </c>
      <c r="C17" s="22">
        <v>1</v>
      </c>
      <c r="D17" s="22">
        <v>26</v>
      </c>
      <c r="E17" s="22">
        <v>25</v>
      </c>
      <c r="F17" s="24">
        <f t="shared" si="0"/>
        <v>4.3488169400000001E-26</v>
      </c>
      <c r="G17" s="24">
        <f t="shared" si="1"/>
        <v>2.2773463999999997E-29</v>
      </c>
      <c r="H17" s="25">
        <f t="shared" si="13"/>
        <v>1985.9822895629759</v>
      </c>
      <c r="I17" s="25">
        <f t="shared" si="14"/>
        <v>1.04</v>
      </c>
      <c r="J17" s="26">
        <f t="shared" si="15"/>
        <v>4.3465395936000002E-26</v>
      </c>
      <c r="K17" s="28">
        <v>84.99</v>
      </c>
      <c r="L17" s="28"/>
      <c r="M17" s="29">
        <f t="shared" si="16"/>
        <v>1.7148246591785991E-3</v>
      </c>
      <c r="N17" s="61">
        <v>583.15</v>
      </c>
      <c r="O17" s="28">
        <v>4.4669999999999998E-5</v>
      </c>
      <c r="P17" s="62">
        <v>3.7599999999999998E-4</v>
      </c>
      <c r="Q17">
        <f t="shared" si="17"/>
        <v>1.3481398612043879E+28</v>
      </c>
      <c r="R17" s="31">
        <v>1.02E-10</v>
      </c>
      <c r="S17" s="31">
        <v>2.31E-10</v>
      </c>
      <c r="T17" s="31">
        <f t="shared" si="18"/>
        <v>3.3299999999999999E-10</v>
      </c>
      <c r="U17" s="31">
        <f t="shared" si="19"/>
        <v>3.7658337593558568E-10</v>
      </c>
      <c r="V17" s="31"/>
      <c r="W17" s="31">
        <f t="shared" si="20"/>
        <v>2.2647058823529411</v>
      </c>
      <c r="X17" s="31">
        <f t="shared" si="21"/>
        <v>3.33</v>
      </c>
      <c r="Y17" s="31">
        <f t="shared" si="46"/>
        <v>1886915.5249999999</v>
      </c>
      <c r="Z17" s="28">
        <v>2490.4882499999999</v>
      </c>
      <c r="AA17" s="28">
        <v>-1.155</v>
      </c>
      <c r="AB17" s="31">
        <v>2.3338999999999999</v>
      </c>
      <c r="AC17" s="24">
        <v>-7.6650000000000004E-4</v>
      </c>
      <c r="AD17" s="89">
        <v>22.989768999999999</v>
      </c>
      <c r="AE17" s="90">
        <v>62.003700000000002</v>
      </c>
      <c r="AF17" s="90">
        <f t="shared" si="22"/>
        <v>39.013930999999999</v>
      </c>
      <c r="AG17" s="90">
        <f t="shared" si="23"/>
        <v>5.0675799559951127</v>
      </c>
      <c r="AH17" s="28">
        <v>1</v>
      </c>
      <c r="AI17" s="28">
        <v>4</v>
      </c>
      <c r="AJ17" s="28">
        <f t="shared" si="24"/>
        <v>5</v>
      </c>
      <c r="AK17" s="28">
        <f t="shared" si="25"/>
        <v>1.25</v>
      </c>
      <c r="AL17" s="46">
        <v>0.51224999999999998</v>
      </c>
      <c r="AM17" s="33">
        <f t="shared" si="2"/>
        <v>0.70252146004029536</v>
      </c>
      <c r="AN17" s="33">
        <f t="shared" si="26"/>
        <v>0.37144257694542782</v>
      </c>
      <c r="AO17" s="33">
        <f>1/3*BL17*BC17*AW17</f>
        <v>0.43236429370237983</v>
      </c>
      <c r="AP17" s="33"/>
      <c r="AQ17" s="46">
        <v>0.69828459522735364</v>
      </c>
      <c r="AR17" s="47">
        <f>(AL17-AQ17)/AL17</f>
        <v>-0.36317148897482415</v>
      </c>
      <c r="AS17" s="34">
        <f t="shared" si="4"/>
        <v>2539896.4555242937</v>
      </c>
      <c r="AT17" s="34">
        <f t="shared" si="5"/>
        <v>3483322.1401387961</v>
      </c>
      <c r="AU17" s="48">
        <v>2096950736.418479</v>
      </c>
      <c r="AV17" s="49">
        <f>AQ17/AU17</f>
        <v>3.3300000000000009E-10</v>
      </c>
      <c r="AW17" s="49">
        <v>2.0494364655370699E-10</v>
      </c>
      <c r="AX17" s="49"/>
      <c r="AY17" s="37">
        <f t="shared" si="6"/>
        <v>2.4281002033762193E-10</v>
      </c>
      <c r="AZ17" s="49">
        <f>AL17/AU17</f>
        <v>2.4428327814458135E-10</v>
      </c>
      <c r="BA17" s="49">
        <f>(AZ17-AV17)/AV17</f>
        <v>-0.26641658214840458</v>
      </c>
      <c r="BB17" s="50">
        <f>AQ17/BC17</f>
        <v>3.8431690207620117E-4</v>
      </c>
      <c r="BC17" s="51">
        <f t="shared" si="7"/>
        <v>1816.9499999999998</v>
      </c>
      <c r="BD17" s="51"/>
      <c r="BE17" s="52">
        <f>AL17/BB17</f>
        <v>1332.8843910654564</v>
      </c>
      <c r="BF17" s="52">
        <f t="shared" si="27"/>
        <v>-0.26641658214840447</v>
      </c>
      <c r="BG17" s="53">
        <f t="shared" si="8"/>
        <v>4.4876902006899333E-3</v>
      </c>
      <c r="BH17" s="55">
        <v>155.6</v>
      </c>
      <c r="BI17" s="42">
        <f t="shared" si="28"/>
        <v>186130.79512319769</v>
      </c>
      <c r="BJ17" s="42">
        <f t="shared" si="29"/>
        <v>232663.49390399712</v>
      </c>
      <c r="BK17" s="42">
        <f t="shared" si="30"/>
        <v>3.4833221401387955</v>
      </c>
      <c r="BL17" s="42">
        <f t="shared" si="9"/>
        <v>3483322.1401387956</v>
      </c>
      <c r="BM17" s="55">
        <f>AL17/(BG17)</f>
        <v>114.14557981770825</v>
      </c>
      <c r="BN17" s="56">
        <f>(BM17-BH17)/BH17</f>
        <v>-0.26641658214840452</v>
      </c>
      <c r="BO17" s="45">
        <f t="shared" si="10"/>
        <v>6329022162.5251837</v>
      </c>
      <c r="BP17" s="45">
        <f t="shared" si="31"/>
        <v>0.63290221625251841</v>
      </c>
      <c r="BQ17" s="45">
        <f t="shared" si="11"/>
        <v>2.1075643801208859</v>
      </c>
      <c r="BR17">
        <v>16.771318999999998</v>
      </c>
      <c r="BS17">
        <v>-6.2307896722837803E-3</v>
      </c>
      <c r="BU17"/>
      <c r="BV17">
        <f t="shared" si="33"/>
        <v>0.24418354263617689</v>
      </c>
      <c r="BW17"/>
      <c r="BX17" s="45">
        <f t="shared" ref="BX17:BX40" si="48">T17*SQRT(0.9/BR17)</f>
        <v>7.7140398569729592E-11</v>
      </c>
      <c r="BY17">
        <f t="shared" si="34"/>
        <v>4.7065678746182034E-3</v>
      </c>
      <c r="BZ17">
        <f t="shared" si="35"/>
        <v>6.6513724919273513E-3</v>
      </c>
      <c r="CA17" s="24"/>
      <c r="CB17" s="24"/>
    </row>
    <row r="18" spans="1:80" ht="20.25" customHeight="1">
      <c r="A18" s="22" t="s">
        <v>168</v>
      </c>
      <c r="B18" s="57">
        <v>0.2</v>
      </c>
      <c r="C18" s="22">
        <v>1</v>
      </c>
      <c r="D18" s="22">
        <v>34</v>
      </c>
      <c r="E18" s="22">
        <v>33</v>
      </c>
      <c r="F18" s="24">
        <f t="shared" si="0"/>
        <v>5.6869144599999998E-26</v>
      </c>
      <c r="G18" s="24">
        <f t="shared" si="1"/>
        <v>3.0060972479999997E-29</v>
      </c>
      <c r="H18" s="25">
        <f t="shared" si="13"/>
        <v>1949.1203104325261</v>
      </c>
      <c r="I18" s="25">
        <f t="shared" si="14"/>
        <v>1.0303030303030303</v>
      </c>
      <c r="J18" s="26">
        <f t="shared" si="15"/>
        <v>5.6839083627519992E-26</v>
      </c>
      <c r="K18" s="28">
        <v>101.1</v>
      </c>
      <c r="L18" s="28"/>
      <c r="M18" s="29">
        <f t="shared" si="16"/>
        <v>1.6389412439564042E-3</v>
      </c>
      <c r="N18" s="28">
        <v>610.15</v>
      </c>
      <c r="O18" s="28">
        <v>5.4060000000000001E-5</v>
      </c>
      <c r="P18" s="62">
        <v>3.8999999999999999E-4</v>
      </c>
      <c r="Q18">
        <f t="shared" si="17"/>
        <v>1.1139735035146132E+28</v>
      </c>
      <c r="R18" s="31">
        <v>1.3799999999999999E-10</v>
      </c>
      <c r="S18" s="31">
        <v>2.31E-10</v>
      </c>
      <c r="T18" s="31">
        <f t="shared" si="18"/>
        <v>3.6899999999999997E-10</v>
      </c>
      <c r="U18" s="31">
        <f t="shared" si="19"/>
        <v>4.0837815404064403E-10</v>
      </c>
      <c r="V18" s="31"/>
      <c r="W18" s="31">
        <f t="shared" si="20"/>
        <v>1.673913043478261</v>
      </c>
      <c r="X18" s="31">
        <f t="shared" si="21"/>
        <v>3.6899999999999995</v>
      </c>
      <c r="Y18" s="31">
        <f t="shared" si="46"/>
        <v>1870200.65</v>
      </c>
      <c r="Z18" s="28">
        <v>2449.9279999999999</v>
      </c>
      <c r="AA18" s="28">
        <v>-1.1200000000000001</v>
      </c>
      <c r="AB18" s="31">
        <v>2.3149999999999999</v>
      </c>
      <c r="AC18" s="24">
        <v>-7.2900000000000005E-4</v>
      </c>
      <c r="AD18" s="89">
        <v>39.098300000000002</v>
      </c>
      <c r="AE18" s="90">
        <v>62.003700000000002</v>
      </c>
      <c r="AF18" s="90">
        <f t="shared" si="22"/>
        <v>22.9054</v>
      </c>
      <c r="AG18" s="90">
        <f t="shared" si="23"/>
        <v>4.2163301846118708</v>
      </c>
      <c r="AH18" s="28">
        <v>1</v>
      </c>
      <c r="AI18" s="28">
        <v>4</v>
      </c>
      <c r="AJ18" s="28">
        <f t="shared" si="24"/>
        <v>5</v>
      </c>
      <c r="AK18" s="28">
        <f t="shared" si="25"/>
        <v>1.25</v>
      </c>
      <c r="AL18" s="46">
        <v>0.40920000000000001</v>
      </c>
      <c r="AM18" s="33">
        <f t="shared" si="2"/>
        <v>0.56673048612652599</v>
      </c>
      <c r="AN18" s="33">
        <f t="shared" si="26"/>
        <v>0.38497186247929127</v>
      </c>
      <c r="AO18" s="33"/>
      <c r="AP18" s="33"/>
      <c r="AQ18" s="46">
        <v>0.53083304545912946</v>
      </c>
      <c r="AR18" s="47">
        <f>(AL18-AQ18)/AL18</f>
        <v>-0.29724595664498887</v>
      </c>
      <c r="AS18" s="34">
        <f t="shared" si="4"/>
        <v>1883224.6107082034</v>
      </c>
      <c r="AT18" s="34">
        <f t="shared" si="5"/>
        <v>2608213.0965593783</v>
      </c>
      <c r="AU18" s="48">
        <v>1438571938.91363</v>
      </c>
      <c r="AV18" s="49">
        <f>AQ18/AU18</f>
        <v>3.6899999999999997E-10</v>
      </c>
      <c r="AW18" s="49"/>
      <c r="AX18" s="49"/>
      <c r="AY18" s="37">
        <f t="shared" si="6"/>
        <v>2.6643140557342366E-10</v>
      </c>
      <c r="AZ18" s="49">
        <f>AL18/AU18</f>
        <v>2.8444875708406813E-10</v>
      </c>
      <c r="BA18" s="49">
        <f>(AZ18-AV18)/AV18</f>
        <v>-0.22913615966377193</v>
      </c>
      <c r="BB18" s="50">
        <f>AQ18/BC18</f>
        <v>3.004896779385526E-4</v>
      </c>
      <c r="BC18" s="51">
        <f t="shared" si="7"/>
        <v>1766.56</v>
      </c>
      <c r="BD18" s="51"/>
      <c r="BE18" s="52">
        <f>AL18/BB18</f>
        <v>1361.7772257843667</v>
      </c>
      <c r="BF18" s="52">
        <f t="shared" si="27"/>
        <v>-0.22913615966377213</v>
      </c>
      <c r="BG18" s="53">
        <f t="shared" si="8"/>
        <v>3.7647733720505634E-3</v>
      </c>
      <c r="BH18" s="55">
        <v>141</v>
      </c>
      <c r="BI18" s="42">
        <f t="shared" si="28"/>
        <v>153800.64036539473</v>
      </c>
      <c r="BJ18" s="42">
        <f t="shared" si="29"/>
        <v>192250.80045674343</v>
      </c>
      <c r="BK18" s="42">
        <f t="shared" si="30"/>
        <v>2.6082130965593784</v>
      </c>
      <c r="BL18" s="42">
        <f t="shared" si="9"/>
        <v>2608213.0965593783</v>
      </c>
      <c r="BM18" s="55">
        <f>AL18/(BG18)</f>
        <v>108.69180148740814</v>
      </c>
      <c r="BN18" s="56">
        <f>(BM18-BH18)/BH18</f>
        <v>-0.22913615966377204</v>
      </c>
      <c r="BO18" s="45">
        <f t="shared" si="10"/>
        <v>4607564927.857935</v>
      </c>
      <c r="BP18" s="45">
        <f t="shared" si="31"/>
        <v>0.4607564927857935</v>
      </c>
      <c r="BQ18" s="45">
        <f t="shared" si="11"/>
        <v>1.7001914583795779</v>
      </c>
      <c r="BR18">
        <v>23.978197999999999</v>
      </c>
      <c r="BS18">
        <v>-1.0344196342977509E-2</v>
      </c>
      <c r="BU18"/>
      <c r="BV18">
        <f t="shared" si="33"/>
        <v>0.20421692333539934</v>
      </c>
      <c r="BW18"/>
      <c r="BX18" s="45">
        <f t="shared" si="48"/>
        <v>7.1489021024247999E-11</v>
      </c>
      <c r="BY18">
        <f t="shared" si="34"/>
        <v>4.2416207560327067E-3</v>
      </c>
      <c r="BZ18">
        <f t="shared" si="35"/>
        <v>7.9000220425086299E-3</v>
      </c>
      <c r="CA18" s="24"/>
      <c r="CB18" s="24"/>
    </row>
    <row r="19" spans="1:80" ht="20.25" customHeight="1">
      <c r="A19" s="22" t="s">
        <v>169</v>
      </c>
      <c r="B19" s="57">
        <v>0.05</v>
      </c>
      <c r="C19" s="22">
        <v>1</v>
      </c>
      <c r="D19" s="22">
        <v>49</v>
      </c>
      <c r="E19" s="22">
        <v>46</v>
      </c>
      <c r="F19" s="24">
        <f t="shared" si="0"/>
        <v>8.1958473100000004E-26</v>
      </c>
      <c r="G19" s="24">
        <f t="shared" si="1"/>
        <v>4.1903173759999999E-29</v>
      </c>
      <c r="H19" s="25">
        <f t="shared" si="13"/>
        <v>2083.4601076018726</v>
      </c>
      <c r="I19" s="25">
        <f t="shared" si="14"/>
        <v>1.0652173913043479</v>
      </c>
      <c r="J19" s="26">
        <f t="shared" si="15"/>
        <v>8.1916569926240009E-26</v>
      </c>
      <c r="K19" s="27">
        <v>167.21</v>
      </c>
      <c r="L19" s="28"/>
      <c r="M19" s="29">
        <f t="shared" si="16"/>
        <v>8.3963056255247689E-4</v>
      </c>
      <c r="N19" s="63">
        <v>1191</v>
      </c>
      <c r="O19" s="30">
        <f>K19/Y19</f>
        <v>4.292862515949649E-5</v>
      </c>
      <c r="P19" s="30">
        <v>3.0899999999999998E-4</v>
      </c>
      <c r="Q19">
        <f t="shared" si="17"/>
        <v>1.4028263746219246E+28</v>
      </c>
      <c r="R19" s="31">
        <v>7.1999999999999997E-11</v>
      </c>
      <c r="S19" s="31">
        <v>1.3300000000000001E-10</v>
      </c>
      <c r="T19" s="31">
        <f t="shared" si="18"/>
        <v>2.0500000000000002E-10</v>
      </c>
      <c r="U19" s="31">
        <f t="shared" si="19"/>
        <v>3.0981721376148793E-10</v>
      </c>
      <c r="V19" s="31"/>
      <c r="W19" s="31">
        <f t="shared" si="20"/>
        <v>1.8472222222222223</v>
      </c>
      <c r="X19" s="31">
        <f t="shared" si="21"/>
        <v>2.0500000000000003</v>
      </c>
      <c r="Y19" s="31">
        <f>(5.36-0.00123*N19)*1000000</f>
        <v>3895070.0000000005</v>
      </c>
      <c r="Z19" s="32">
        <v>1700</v>
      </c>
      <c r="AA19" s="28">
        <v>0</v>
      </c>
      <c r="AB19" s="28">
        <v>5.36</v>
      </c>
      <c r="AC19" s="28">
        <v>-1.23E-3</v>
      </c>
      <c r="AD19" s="89">
        <v>91.224000000000004</v>
      </c>
      <c r="AE19" s="90">
        <v>18.998403</v>
      </c>
      <c r="AF19" s="90">
        <f t="shared" si="22"/>
        <v>72.225597000000008</v>
      </c>
      <c r="AG19" s="90">
        <f t="shared" si="23"/>
        <v>10.634226921721062</v>
      </c>
      <c r="AH19" s="28">
        <v>1</v>
      </c>
      <c r="AI19" s="28">
        <v>4</v>
      </c>
      <c r="AJ19" s="28">
        <f t="shared" si="24"/>
        <v>5</v>
      </c>
      <c r="AK19" s="28">
        <f t="shared" si="25"/>
        <v>1.25</v>
      </c>
      <c r="AL19" s="46"/>
      <c r="AM19" s="33">
        <f t="shared" si="2"/>
        <v>0.3328431774116381</v>
      </c>
      <c r="AN19" s="33"/>
      <c r="AO19" s="33"/>
      <c r="AP19" s="33"/>
      <c r="AQ19" s="46"/>
      <c r="AR19" s="47"/>
      <c r="AS19" s="34">
        <f t="shared" si="4"/>
        <v>0</v>
      </c>
      <c r="AT19" s="34" t="e">
        <f t="shared" si="5"/>
        <v>#DIV/0!</v>
      </c>
      <c r="AU19" s="48"/>
      <c r="AV19" s="49"/>
      <c r="AW19" s="49"/>
      <c r="AX19" s="49"/>
      <c r="AY19" s="37">
        <f t="shared" si="6"/>
        <v>0</v>
      </c>
      <c r="AZ19" s="49"/>
      <c r="BA19" s="49"/>
      <c r="BB19" s="50"/>
      <c r="BC19" s="51">
        <f t="shared" si="7"/>
        <v>1700</v>
      </c>
      <c r="BD19" s="51"/>
      <c r="BE19" s="52"/>
      <c r="BF19" s="52"/>
      <c r="BG19" s="53">
        <f t="shared" si="8"/>
        <v>0</v>
      </c>
      <c r="BH19" s="64">
        <v>123</v>
      </c>
      <c r="BI19" s="42">
        <f t="shared" si="28"/>
        <v>193681.08312953857</v>
      </c>
      <c r="BJ19" s="42">
        <f t="shared" si="29"/>
        <v>242101.35391192322</v>
      </c>
      <c r="BK19" s="42">
        <f t="shared" si="30"/>
        <v>2.8652210394115185</v>
      </c>
      <c r="BL19" s="42">
        <f t="shared" si="9"/>
        <v>2865221.0394115187</v>
      </c>
      <c r="BM19" s="55"/>
      <c r="BN19" s="56"/>
      <c r="BO19" s="45">
        <f t="shared" si="10"/>
        <v>4870875766.9995823</v>
      </c>
      <c r="BP19" s="45">
        <f t="shared" si="31"/>
        <v>0.48708757669995822</v>
      </c>
      <c r="BQ19" s="45">
        <f t="shared" si="11"/>
        <v>0.99852953223491447</v>
      </c>
      <c r="BR19">
        <v>15.723757000000001</v>
      </c>
      <c r="BS19">
        <v>-1.674479721671473E-8</v>
      </c>
      <c r="BU19"/>
      <c r="BV19">
        <f t="shared" si="33"/>
        <v>0.25218650230768064</v>
      </c>
      <c r="BW19"/>
      <c r="BX19" s="45">
        <f t="shared" si="48"/>
        <v>4.9045250160280176E-11</v>
      </c>
      <c r="BY19">
        <f t="shared" si="34"/>
        <v>8.229692775648446E-6</v>
      </c>
      <c r="BZ19">
        <f t="shared" si="35"/>
        <v>6.1147625089962004E-3</v>
      </c>
      <c r="CA19" s="24"/>
      <c r="CB19" s="24"/>
    </row>
    <row r="20" spans="1:80" ht="20.25" customHeight="1">
      <c r="A20" s="22" t="s">
        <v>170</v>
      </c>
      <c r="B20" s="57">
        <v>0.08</v>
      </c>
      <c r="C20" s="22">
        <v>1</v>
      </c>
      <c r="D20" s="22">
        <v>99</v>
      </c>
      <c r="E20" s="22">
        <v>96</v>
      </c>
      <c r="F20" s="24">
        <f t="shared" si="0"/>
        <v>1.6558956810000001E-25</v>
      </c>
      <c r="G20" s="24">
        <f t="shared" si="1"/>
        <v>8.7450101759999993E-29</v>
      </c>
      <c r="H20" s="25">
        <f t="shared" si="13"/>
        <v>1952.7048987521384</v>
      </c>
      <c r="I20" s="25">
        <f t="shared" si="14"/>
        <v>1.03125</v>
      </c>
      <c r="J20" s="26">
        <f t="shared" si="15"/>
        <v>1.6550211799824002E-25</v>
      </c>
      <c r="K20" s="27">
        <v>308.0317</v>
      </c>
      <c r="L20" s="28"/>
      <c r="M20" s="29">
        <f t="shared" si="16"/>
        <v>7.2254335260115603E-4</v>
      </c>
      <c r="N20" s="63">
        <v>1384</v>
      </c>
      <c r="O20" s="30">
        <f>K20/Y20</f>
        <v>5.0331977124183008E-5</v>
      </c>
      <c r="P20" s="30">
        <v>1.21E-4</v>
      </c>
      <c r="Q20">
        <f t="shared" si="17"/>
        <v>1.196484045349878E+28</v>
      </c>
      <c r="R20" s="31">
        <v>9.3999999999999999E-11</v>
      </c>
      <c r="S20" s="31">
        <v>1.3300000000000001E-10</v>
      </c>
      <c r="T20" s="31">
        <f t="shared" si="18"/>
        <v>2.2699999999999999E-10</v>
      </c>
      <c r="U20" s="31">
        <f t="shared" si="19"/>
        <v>3.3210883024857275E-10</v>
      </c>
      <c r="V20" s="31"/>
      <c r="W20" s="31">
        <f t="shared" si="20"/>
        <v>1.4148936170212767</v>
      </c>
      <c r="X20" s="31">
        <f t="shared" si="21"/>
        <v>2.27</v>
      </c>
      <c r="Y20" s="31">
        <v>6120000</v>
      </c>
      <c r="Z20" s="32">
        <v>1362</v>
      </c>
      <c r="AA20" s="28">
        <v>0</v>
      </c>
      <c r="AB20" s="28">
        <v>7.34</v>
      </c>
      <c r="AC20" s="28">
        <v>-8.0800000000000002E-4</v>
      </c>
      <c r="AD20" s="89">
        <v>232.0377</v>
      </c>
      <c r="AE20" s="90">
        <v>18.998403</v>
      </c>
      <c r="AF20" s="90">
        <f t="shared" si="22"/>
        <v>213.039297</v>
      </c>
      <c r="AG20" s="90">
        <f t="shared" si="23"/>
        <v>17.541064217320532</v>
      </c>
      <c r="AH20" s="28">
        <v>1</v>
      </c>
      <c r="AI20" s="28">
        <v>4</v>
      </c>
      <c r="AK20" s="28">
        <f t="shared" si="25"/>
        <v>1.25</v>
      </c>
      <c r="AL20" s="46"/>
      <c r="AM20" s="33">
        <f t="shared" si="2"/>
        <v>0.34399093755610216</v>
      </c>
      <c r="AN20" s="33"/>
      <c r="AO20" s="33"/>
      <c r="AP20" s="33"/>
      <c r="AQ20" s="46"/>
      <c r="AR20" s="47"/>
      <c r="AS20" s="34">
        <f t="shared" si="4"/>
        <v>0</v>
      </c>
      <c r="AT20" s="34" t="e">
        <f t="shared" si="5"/>
        <v>#DIV/0!</v>
      </c>
      <c r="AU20" s="48"/>
      <c r="AV20" s="49"/>
      <c r="AW20" s="49"/>
      <c r="AX20" s="49"/>
      <c r="AY20" s="37">
        <f t="shared" si="6"/>
        <v>0</v>
      </c>
      <c r="AZ20" s="49"/>
      <c r="BA20" s="49"/>
      <c r="BB20" s="50"/>
      <c r="BC20" s="51">
        <f t="shared" si="7"/>
        <v>1362</v>
      </c>
      <c r="BD20" s="51"/>
      <c r="BE20" s="52"/>
      <c r="BF20" s="52"/>
      <c r="BG20" s="53">
        <f t="shared" si="8"/>
        <v>0</v>
      </c>
      <c r="BH20" s="65">
        <v>168</v>
      </c>
      <c r="BI20" s="42">
        <f t="shared" si="28"/>
        <v>165192.45007282638</v>
      </c>
      <c r="BJ20" s="42">
        <f t="shared" si="29"/>
        <v>206490.56259103297</v>
      </c>
      <c r="BK20" s="42">
        <f t="shared" si="30"/>
        <v>3.337838280930177</v>
      </c>
      <c r="BL20" s="42">
        <f t="shared" si="9"/>
        <v>3337838.2809301768</v>
      </c>
      <c r="BM20" s="55"/>
      <c r="BN20" s="56"/>
      <c r="BO20" s="45">
        <f t="shared" si="10"/>
        <v>4546135738.6269007</v>
      </c>
      <c r="BP20" s="45">
        <f t="shared" si="31"/>
        <v>0.45461357386269008</v>
      </c>
      <c r="BQ20" s="45">
        <f t="shared" si="11"/>
        <v>1.0319728126683063</v>
      </c>
      <c r="BR20">
        <v>17.560604999999999</v>
      </c>
      <c r="BS20">
        <v>-2.631744298839491E-7</v>
      </c>
      <c r="BU20"/>
      <c r="BV20">
        <f t="shared" si="33"/>
        <v>0.23863286914181275</v>
      </c>
      <c r="BW20"/>
      <c r="BX20" s="45">
        <f t="shared" si="48"/>
        <v>5.1389852931801533E-11</v>
      </c>
      <c r="BY20">
        <f t="shared" si="34"/>
        <v>2.9213417889489149E-5</v>
      </c>
      <c r="BZ20">
        <f t="shared" si="35"/>
        <v>6.1843690150524804E-3</v>
      </c>
      <c r="CA20" s="24"/>
      <c r="CB20" s="24"/>
    </row>
    <row r="21" spans="1:80" ht="15">
      <c r="A21" s="22" t="s">
        <v>171</v>
      </c>
      <c r="B21" s="57">
        <v>0.09</v>
      </c>
      <c r="C21" s="22">
        <v>1</v>
      </c>
      <c r="D21" s="22">
        <v>101</v>
      </c>
      <c r="E21" s="22">
        <v>98</v>
      </c>
      <c r="F21" s="24">
        <f t="shared" si="0"/>
        <v>1.6893481190000001E-25</v>
      </c>
      <c r="G21" s="24">
        <f t="shared" si="1"/>
        <v>8.9271978879999991E-29</v>
      </c>
      <c r="H21" s="25">
        <f t="shared" si="13"/>
        <v>1950.2904261560993</v>
      </c>
      <c r="I21" s="25">
        <f t="shared" si="14"/>
        <v>1.0306122448979591</v>
      </c>
      <c r="J21" s="26">
        <f t="shared" si="15"/>
        <v>1.6884553992112001E-25</v>
      </c>
      <c r="K21" s="27">
        <v>314.02249999999998</v>
      </c>
      <c r="L21" s="28">
        <f>10^(11.4-35400/N21+27700000/N21^2)/1000</f>
        <v>3.3294860215237095E-3</v>
      </c>
      <c r="M21" s="29">
        <f t="shared" si="16"/>
        <v>7.6394194041252863E-4</v>
      </c>
      <c r="N21" s="63">
        <v>1309</v>
      </c>
      <c r="O21" s="30">
        <f>K21/Y21</f>
        <v>4.8535162287480677E-5</v>
      </c>
      <c r="P21" s="30">
        <v>1.4899999999999999E-4</v>
      </c>
      <c r="Q21">
        <f t="shared" si="17"/>
        <v>1.2407789479161525E+28</v>
      </c>
      <c r="R21" s="31">
        <v>8.9000000000000003E-11</v>
      </c>
      <c r="S21" s="31">
        <v>1.3300000000000001E-10</v>
      </c>
      <c r="T21" s="31">
        <f t="shared" si="18"/>
        <v>2.2200000000000001E-10</v>
      </c>
      <c r="U21" s="31">
        <f t="shared" si="19"/>
        <v>3.2697585348753373E-10</v>
      </c>
      <c r="V21" s="31"/>
      <c r="W21" s="31">
        <f t="shared" si="20"/>
        <v>1.4943820224719102</v>
      </c>
      <c r="X21" s="31">
        <f t="shared" si="21"/>
        <v>2.2200000000000002</v>
      </c>
      <c r="Y21" s="31">
        <v>6470000</v>
      </c>
      <c r="Z21" s="32">
        <v>1062</v>
      </c>
      <c r="AA21" s="28">
        <v>0</v>
      </c>
      <c r="AB21" s="28">
        <v>7.6040000000000001</v>
      </c>
      <c r="AC21" s="28">
        <v>-7.9100000000000004E-4</v>
      </c>
      <c r="AD21" s="89">
        <v>238.02891</v>
      </c>
      <c r="AE21" s="90">
        <v>18.998403</v>
      </c>
      <c r="AF21" s="90">
        <f t="shared" si="22"/>
        <v>219.030507</v>
      </c>
      <c r="AG21" s="90">
        <f t="shared" si="23"/>
        <v>17.848151419232757</v>
      </c>
      <c r="AH21" s="28">
        <v>1</v>
      </c>
      <c r="AI21" s="28">
        <v>4</v>
      </c>
      <c r="AK21" s="28">
        <f t="shared" si="25"/>
        <v>1.25</v>
      </c>
      <c r="AL21" s="46"/>
      <c r="AM21" s="33">
        <f t="shared" si="2"/>
        <v>0.2817403168244314</v>
      </c>
      <c r="AN21" s="33"/>
      <c r="AO21" s="33"/>
      <c r="AP21" s="33"/>
      <c r="AQ21" s="46"/>
      <c r="AR21" s="47"/>
      <c r="AS21" s="34">
        <f t="shared" si="4"/>
        <v>0</v>
      </c>
      <c r="AT21" s="34" t="e">
        <f t="shared" si="5"/>
        <v>#DIV/0!</v>
      </c>
      <c r="AU21" s="48"/>
      <c r="AV21" s="49"/>
      <c r="AW21" s="49"/>
      <c r="AX21" s="49"/>
      <c r="AY21" s="37">
        <f t="shared" si="6"/>
        <v>0</v>
      </c>
      <c r="AZ21" s="49"/>
      <c r="BA21" s="49"/>
      <c r="BB21" s="50"/>
      <c r="BC21" s="51">
        <f t="shared" si="7"/>
        <v>1062</v>
      </c>
      <c r="BD21" s="51"/>
      <c r="BE21" s="52"/>
      <c r="BF21" s="52"/>
      <c r="BG21" s="53">
        <f t="shared" si="8"/>
        <v>0</v>
      </c>
      <c r="BH21" s="65">
        <v>174</v>
      </c>
      <c r="BI21" s="42">
        <f t="shared" si="28"/>
        <v>171308.02136614881</v>
      </c>
      <c r="BJ21" s="42">
        <f t="shared" si="29"/>
        <v>214135.02670768602</v>
      </c>
      <c r="BK21" s="42">
        <f t="shared" si="30"/>
        <v>3.5850297351304445</v>
      </c>
      <c r="BL21" s="42">
        <f t="shared" si="9"/>
        <v>3585029.7351304446</v>
      </c>
      <c r="BM21" s="55"/>
      <c r="BN21" s="56"/>
      <c r="BO21" s="45">
        <f t="shared" si="10"/>
        <v>3807301578.7085323</v>
      </c>
      <c r="BP21" s="45">
        <f t="shared" si="31"/>
        <v>0.38073015787085324</v>
      </c>
      <c r="BQ21" s="45">
        <f t="shared" si="11"/>
        <v>0.84522095047329426</v>
      </c>
      <c r="BR21">
        <v>17.594118999999999</v>
      </c>
      <c r="BS21">
        <v>-1.2112876587777396E-7</v>
      </c>
      <c r="BU21"/>
      <c r="BV21">
        <f>SQRT(1/BR21)</f>
        <v>0.23840548196432468</v>
      </c>
      <c r="BW21"/>
      <c r="BX21" s="45">
        <f t="shared" si="48"/>
        <v>5.0210028356518796E-11</v>
      </c>
      <c r="BY21">
        <f t="shared" si="34"/>
        <v>1.9781358835796793E-5</v>
      </c>
      <c r="BZ21">
        <f t="shared" si="35"/>
        <v>5.052110380384057E-3</v>
      </c>
      <c r="CA21" s="24">
        <f t="shared" ref="CA21:CA26" si="49">L21/(Y21/1000*(Z21+AA21*N21))</f>
        <v>4.8456093479738579E-10</v>
      </c>
      <c r="CB21" s="24"/>
    </row>
    <row r="22" spans="1:80" ht="15">
      <c r="A22" s="22" t="s">
        <v>172</v>
      </c>
      <c r="B22" s="57"/>
      <c r="C22" s="22">
        <v>1</v>
      </c>
      <c r="D22" s="22">
        <v>109</v>
      </c>
      <c r="E22" s="22">
        <v>107</v>
      </c>
      <c r="F22" s="24">
        <f t="shared" si="0"/>
        <v>1.823157871E-25</v>
      </c>
      <c r="G22" s="24">
        <f t="shared" si="1"/>
        <v>9.7470425919999998E-29</v>
      </c>
      <c r="H22" s="25">
        <f t="shared" si="13"/>
        <v>1905.4349775174894</v>
      </c>
      <c r="I22" s="25">
        <f t="shared" si="14"/>
        <v>1.0186915887850467</v>
      </c>
      <c r="J22" s="26">
        <f t="shared" si="15"/>
        <v>1.8221831667407999E-25</v>
      </c>
      <c r="K22" s="27">
        <v>344.3879</v>
      </c>
      <c r="L22" s="28">
        <f>0.478*EXP(10900/(8.3144598*N22))/1000</f>
        <v>1.5506403023444345E-3</v>
      </c>
      <c r="M22" s="29">
        <f t="shared" si="16"/>
        <v>8.9766606822262122E-4</v>
      </c>
      <c r="N22" s="63">
        <v>1114</v>
      </c>
      <c r="O22" s="30">
        <f>K22/Y22</f>
        <v>7.5193864628820956E-5</v>
      </c>
      <c r="P22" s="30">
        <v>3.3300000000000002E-4</v>
      </c>
      <c r="Q22">
        <f t="shared" si="17"/>
        <v>8.0088193228623884E+27</v>
      </c>
      <c r="R22" s="31">
        <v>1.16E-10</v>
      </c>
      <c r="S22" s="31">
        <v>1.81E-10</v>
      </c>
      <c r="T22" s="31">
        <f t="shared" si="18"/>
        <v>2.9700000000000001E-10</v>
      </c>
      <c r="U22" s="31">
        <f t="shared" si="19"/>
        <v>3.9840819951343475E-10</v>
      </c>
      <c r="V22" s="31"/>
      <c r="W22" s="31">
        <f t="shared" si="20"/>
        <v>1.5603448275862069</v>
      </c>
      <c r="X22" s="31">
        <f t="shared" si="21"/>
        <v>2.97</v>
      </c>
      <c r="Y22" s="31">
        <v>4580000</v>
      </c>
      <c r="Z22" s="32">
        <v>1248</v>
      </c>
      <c r="AA22" s="28">
        <v>0</v>
      </c>
      <c r="AB22" s="28">
        <v>6.3746999999999998</v>
      </c>
      <c r="AC22" s="28">
        <v>-1.5222E-3</v>
      </c>
      <c r="AD22" s="89">
        <v>238.02891</v>
      </c>
      <c r="AE22" s="90">
        <v>35.450000000000003</v>
      </c>
      <c r="AF22" s="90">
        <f t="shared" si="22"/>
        <v>202.57891000000001</v>
      </c>
      <c r="AG22" s="90">
        <f t="shared" si="23"/>
        <v>11.161582712291834</v>
      </c>
      <c r="AH22" s="28">
        <v>1</v>
      </c>
      <c r="AI22" s="28">
        <v>3</v>
      </c>
      <c r="AK22" s="28">
        <f t="shared" si="25"/>
        <v>1.3333333333333333</v>
      </c>
      <c r="AL22" s="46"/>
      <c r="AM22" s="33">
        <f t="shared" si="2"/>
        <v>0.24646691710132676</v>
      </c>
      <c r="AN22" s="33"/>
      <c r="AO22" s="33"/>
      <c r="AP22" s="33"/>
      <c r="AQ22" s="46"/>
      <c r="AR22" s="47"/>
      <c r="AS22" s="34">
        <f t="shared" si="4"/>
        <v>0</v>
      </c>
      <c r="AT22" s="34" t="e">
        <f t="shared" si="5"/>
        <v>#DIV/0!</v>
      </c>
      <c r="AU22" s="48"/>
      <c r="AV22" s="49"/>
      <c r="AW22" s="49"/>
      <c r="AX22" s="49"/>
      <c r="AY22" s="37">
        <f t="shared" si="6"/>
        <v>0</v>
      </c>
      <c r="AZ22" s="49"/>
      <c r="BA22" s="49"/>
      <c r="BB22" s="50"/>
      <c r="BC22" s="51">
        <f t="shared" si="7"/>
        <v>1248</v>
      </c>
      <c r="BD22" s="51"/>
      <c r="BE22" s="52"/>
      <c r="BF22" s="52"/>
      <c r="BG22" s="53">
        <f t="shared" si="8"/>
        <v>0</v>
      </c>
      <c r="BH22" s="65">
        <v>150</v>
      </c>
      <c r="BI22" s="42">
        <f t="shared" si="28"/>
        <v>110573.68389290634</v>
      </c>
      <c r="BJ22" s="42"/>
      <c r="BK22" s="42">
        <f t="shared" si="30"/>
        <v>1.9948436051324685</v>
      </c>
      <c r="BL22" s="42">
        <f t="shared" si="9"/>
        <v>1994843.6051324685</v>
      </c>
      <c r="BM22" s="55"/>
      <c r="BN22" s="56"/>
      <c r="BO22" s="45">
        <f t="shared" si="10"/>
        <v>2489564819.2053208</v>
      </c>
      <c r="BP22" s="45">
        <f t="shared" si="31"/>
        <v>0.2489564819205321</v>
      </c>
      <c r="BQ22" s="45">
        <f t="shared" si="11"/>
        <v>0.73940075130398031</v>
      </c>
      <c r="BR22">
        <v>30.854755000000001</v>
      </c>
      <c r="BS22">
        <v>-2.5395582396995064E-5</v>
      </c>
      <c r="BU22"/>
      <c r="BV22">
        <f t="shared" si="33"/>
        <v>0.18002754073948021</v>
      </c>
      <c r="BW22"/>
      <c r="BX22" s="45">
        <f t="shared" si="48"/>
        <v>5.0724368963330039E-11</v>
      </c>
      <c r="BY22">
        <f t="shared" si="34"/>
        <v>1.6332662437976018E-4</v>
      </c>
      <c r="BZ22">
        <f t="shared" si="35"/>
        <v>8.7161654033558866E-3</v>
      </c>
      <c r="CA22" s="24">
        <f t="shared" si="49"/>
        <v>2.7128826250287524E-10</v>
      </c>
      <c r="CB22" s="24"/>
    </row>
    <row r="23" spans="1:80" ht="15">
      <c r="A23" s="28" t="s">
        <v>173</v>
      </c>
      <c r="B23" s="66"/>
      <c r="C23" s="28">
        <v>2</v>
      </c>
      <c r="D23" s="67">
        <v>33.76</v>
      </c>
      <c r="E23" s="67">
        <v>33.44</v>
      </c>
      <c r="F23" s="24">
        <f t="shared" si="0"/>
        <v>5.6467715343999995E-26</v>
      </c>
      <c r="G23" s="24">
        <f t="shared" si="1"/>
        <v>3.0461785446399997E-29</v>
      </c>
      <c r="H23" s="25">
        <f t="shared" si="13"/>
        <v>1871.4620768599771</v>
      </c>
      <c r="I23" s="25">
        <f t="shared" si="14"/>
        <v>1.0095693779904307</v>
      </c>
      <c r="J23" s="26">
        <f t="shared" si="15"/>
        <v>5.6437253558553592E-26</v>
      </c>
      <c r="K23" s="28">
        <v>81.162404000000009</v>
      </c>
      <c r="L23" s="28">
        <f>0.141*EXP(18800/(8.3144598*N23))/1000</f>
        <v>3.6048872982003179E-3</v>
      </c>
      <c r="M23" s="29">
        <f t="shared" si="16"/>
        <v>1.43348623853211E-3</v>
      </c>
      <c r="N23" s="28">
        <v>697.6</v>
      </c>
      <c r="O23" s="28">
        <v>4.6549051207293618E-5</v>
      </c>
      <c r="P23" s="28">
        <v>3.0722637834585992E-4</v>
      </c>
      <c r="Q23">
        <f t="shared" si="17"/>
        <v>1.2937193355847413E+28</v>
      </c>
      <c r="T23" s="24">
        <f>0.68*T9+0.32*T14</f>
        <v>2.9788000000000001E-10</v>
      </c>
      <c r="U23" s="31">
        <f t="shared" si="19"/>
        <v>3.6192874178189385E-10</v>
      </c>
      <c r="V23" s="31"/>
      <c r="W23" s="24"/>
      <c r="X23" s="31">
        <f t="shared" si="21"/>
        <v>2.9788000000000001</v>
      </c>
      <c r="Y23" s="24">
        <v>1741629.2032000001</v>
      </c>
      <c r="Z23" s="28">
        <v>1968.0306331357569</v>
      </c>
      <c r="AH23" s="28">
        <v>2</v>
      </c>
      <c r="AI23" s="28">
        <v>3</v>
      </c>
      <c r="AJ23" s="28">
        <f t="shared" si="24"/>
        <v>5</v>
      </c>
      <c r="AK23" s="28">
        <f t="shared" si="25"/>
        <v>1.6666666666666665</v>
      </c>
      <c r="AL23" s="46">
        <v>0.43524000000000002</v>
      </c>
      <c r="AM23" s="33">
        <f t="shared" si="2"/>
        <v>0.33375408853502531</v>
      </c>
      <c r="AN23" s="33">
        <f t="shared" si="26"/>
        <v>0.23317229911077728</v>
      </c>
      <c r="AO23" s="33"/>
      <c r="AP23" s="33"/>
      <c r="AQ23" s="46">
        <v>0.28255485787268969</v>
      </c>
      <c r="AR23" s="47">
        <f t="shared" ref="AR23:AR41" si="50">(AL23-AQ23)/AL23</f>
        <v>0.35080677816218714</v>
      </c>
      <c r="AS23" s="34">
        <f t="shared" si="4"/>
        <v>2227290.4609544491</v>
      </c>
      <c r="AT23" s="34">
        <f t="shared" si="5"/>
        <v>1707948.0233861972</v>
      </c>
      <c r="AU23" s="48">
        <v>1120431343.2759011</v>
      </c>
      <c r="AV23" s="49">
        <f t="shared" ref="AV23:AV40" si="51">AQ23/AU23</f>
        <v>2.5218399999999988E-10</v>
      </c>
      <c r="AW23" s="49"/>
      <c r="AX23" s="49"/>
      <c r="AY23" s="37">
        <f t="shared" si="6"/>
        <v>3.8845753701199731E-10</v>
      </c>
      <c r="AZ23" s="49">
        <f t="shared" ref="AZ23:AZ40" si="52">AL23/AU23</f>
        <v>3.8845753701199716E-10</v>
      </c>
      <c r="BA23" s="49">
        <f t="shared" ref="BA23:BA41" si="53">(AZ23-AV23)/AV23</f>
        <v>0.54037344562699197</v>
      </c>
      <c r="BB23" s="50">
        <f t="shared" ref="BB23:BB41" si="54">AQ23/BC23</f>
        <v>1.4357238810987487E-4</v>
      </c>
      <c r="BC23" s="51">
        <f t="shared" si="7"/>
        <v>1968.0306331357569</v>
      </c>
      <c r="BD23" s="51"/>
      <c r="BE23" s="52">
        <f t="shared" ref="BE23:BE41" si="55">AL23/BB23</f>
        <v>3031.5021274627966</v>
      </c>
      <c r="BF23" s="52">
        <f t="shared" si="27"/>
        <v>0.54037344562699197</v>
      </c>
      <c r="BG23" s="53">
        <f t="shared" si="8"/>
        <v>3.5539989488832884E-3</v>
      </c>
      <c r="BH23" s="55">
        <v>79.503360000000001</v>
      </c>
      <c r="BI23" s="42">
        <f t="shared" si="28"/>
        <v>178617.23069557376</v>
      </c>
      <c r="BJ23" s="42"/>
      <c r="BK23" s="42">
        <f t="shared" si="30"/>
        <v>1.707948023386197</v>
      </c>
      <c r="BL23" s="42">
        <f t="shared" si="9"/>
        <v>1707948.0233861969</v>
      </c>
      <c r="BM23" s="55">
        <f t="shared" ref="BM23:BM41" si="56">AL23/(BG23)</f>
        <v>122.46486458212317</v>
      </c>
      <c r="BN23" s="56">
        <f t="shared" ref="BN23:BN41" si="57">(BM23-BH23)/BH23</f>
        <v>0.54037344562699197</v>
      </c>
      <c r="BO23" s="45">
        <f t="shared" si="10"/>
        <v>3361294029.8277016</v>
      </c>
      <c r="BP23" s="45">
        <f t="shared" si="31"/>
        <v>0.33612940298277016</v>
      </c>
      <c r="BQ23" s="45">
        <f t="shared" si="11"/>
        <v>1.0012622656050758</v>
      </c>
      <c r="BR23">
        <v>17.256965000000001</v>
      </c>
      <c r="BS23"/>
      <c r="BT23"/>
      <c r="BU23"/>
      <c r="BV23">
        <f t="shared" si="33"/>
        <v>0.24072311291726189</v>
      </c>
      <c r="BW23"/>
      <c r="BX23" s="45">
        <f t="shared" si="48"/>
        <v>6.8026854610840082E-11</v>
      </c>
      <c r="BY23"/>
      <c r="BZ23"/>
      <c r="CA23" s="24">
        <f t="shared" si="49"/>
        <v>1.0517297026523455E-9</v>
      </c>
      <c r="CB23" s="24"/>
    </row>
    <row r="24" spans="1:80" ht="15">
      <c r="A24" s="28" t="s">
        <v>80</v>
      </c>
      <c r="B24" s="66"/>
      <c r="C24" s="28">
        <v>2</v>
      </c>
      <c r="D24" s="67">
        <v>12.34</v>
      </c>
      <c r="E24" s="67">
        <v>11.34</v>
      </c>
      <c r="F24" s="24">
        <f t="shared" si="0"/>
        <v>2.0640154245999999E-26</v>
      </c>
      <c r="G24" s="24">
        <f t="shared" si="1"/>
        <v>1.0330043270399999E-29</v>
      </c>
      <c r="H24" s="25">
        <f t="shared" si="13"/>
        <v>2174.2671429464549</v>
      </c>
      <c r="I24" s="25">
        <f t="shared" si="14"/>
        <v>1.088183421516755</v>
      </c>
      <c r="J24" s="26">
        <f t="shared" si="15"/>
        <v>2.06298242027296E-26</v>
      </c>
      <c r="K24" s="28">
        <v>33.103140000000003</v>
      </c>
      <c r="L24" s="28">
        <f>0.116*EXP(31200/(8.3144598*N24))/1000</f>
        <v>1.9398692129051695E-2</v>
      </c>
      <c r="M24" s="29">
        <f t="shared" si="16"/>
        <v>1.364256480218281E-3</v>
      </c>
      <c r="N24" s="28">
        <v>733</v>
      </c>
      <c r="O24" s="28">
        <v>1.6714173769923689E-5</v>
      </c>
      <c r="P24" s="28">
        <v>1.409526898683356E-4</v>
      </c>
      <c r="Q24">
        <f t="shared" si="17"/>
        <v>3.6030143295725081E+28</v>
      </c>
      <c r="T24" s="24">
        <f>0.66*T2+0.34*T10</f>
        <v>1.9472000000000003E-10</v>
      </c>
      <c r="U24" s="31">
        <f t="shared" si="19"/>
        <v>2.4874447575457338E-10</v>
      </c>
      <c r="V24" s="31"/>
      <c r="W24" s="24"/>
      <c r="X24" s="31">
        <f t="shared" si="21"/>
        <v>1.9472000000000003</v>
      </c>
      <c r="Y24" s="24">
        <v>1986063.3540000001</v>
      </c>
      <c r="Z24" s="28">
        <v>2547.6863757231322</v>
      </c>
      <c r="AH24" s="28">
        <v>2</v>
      </c>
      <c r="AI24" s="28">
        <v>3</v>
      </c>
      <c r="AJ24" s="28">
        <f t="shared" si="24"/>
        <v>5</v>
      </c>
      <c r="AL24" s="46">
        <v>1.1000000000000001</v>
      </c>
      <c r="AM24" s="33">
        <f t="shared" si="2"/>
        <v>0.71488518084414443</v>
      </c>
      <c r="AN24" s="33">
        <f t="shared" si="26"/>
        <v>0.35010438105077785</v>
      </c>
      <c r="AO24" s="33">
        <f>1/3*BL24*BC24*AW24</f>
        <v>0.60953584013575091</v>
      </c>
      <c r="AP24" s="33">
        <f>1/3*BL24*BC24*AX24</f>
        <v>1.28305844543897</v>
      </c>
      <c r="AQ24" s="46">
        <v>0.62426158899966577</v>
      </c>
      <c r="AR24" s="47">
        <f t="shared" si="50"/>
        <v>0.43248946454575843</v>
      </c>
      <c r="AS24" s="34">
        <f t="shared" si="4"/>
        <v>6652079.2470877897</v>
      </c>
      <c r="AT24" s="34">
        <f t="shared" si="5"/>
        <v>4323157.1595853958</v>
      </c>
      <c r="AU24" s="48">
        <v>3671349531.8618751</v>
      </c>
      <c r="AV24" s="49">
        <f t="shared" si="51"/>
        <v>1.7003600000000001E-10</v>
      </c>
      <c r="AW24" s="49">
        <v>1.6602500929042107E-10</v>
      </c>
      <c r="AX24" s="49">
        <v>3.4947869558698333E-10</v>
      </c>
      <c r="AY24" s="37">
        <f t="shared" si="6"/>
        <v>2.9961734518972644E-10</v>
      </c>
      <c r="AZ24" s="49">
        <f t="shared" si="52"/>
        <v>2.9961734518972644E-10</v>
      </c>
      <c r="BA24" s="49">
        <f t="shared" si="53"/>
        <v>0.76208182496486876</v>
      </c>
      <c r="BB24" s="50">
        <f t="shared" si="54"/>
        <v>2.4503078359575407E-4</v>
      </c>
      <c r="BC24" s="51">
        <f t="shared" si="7"/>
        <v>2547.6863757231322</v>
      </c>
      <c r="BD24" s="51"/>
      <c r="BE24" s="52">
        <f t="shared" si="55"/>
        <v>4489.23185837235</v>
      </c>
      <c r="BF24" s="52">
        <f t="shared" si="27"/>
        <v>0.76208182496486909</v>
      </c>
      <c r="BG24" s="53">
        <f t="shared" si="8"/>
        <v>8.6393422043187697E-3</v>
      </c>
      <c r="BH24" s="55">
        <v>72.25800000000001</v>
      </c>
      <c r="BI24" s="42">
        <f t="shared" si="28"/>
        <v>497449.8131109954</v>
      </c>
      <c r="BJ24" s="42"/>
      <c r="BK24" s="42">
        <f t="shared" si="30"/>
        <v>4.3231571595853948</v>
      </c>
      <c r="BL24" s="42">
        <f t="shared" si="9"/>
        <v>4323157.1595853949</v>
      </c>
      <c r="BM24" s="55">
        <f t="shared" si="56"/>
        <v>127.32450850831152</v>
      </c>
      <c r="BN24" s="56">
        <f t="shared" si="57"/>
        <v>0.76208182496486909</v>
      </c>
      <c r="BO24" s="45">
        <f t="shared" si="10"/>
        <v>11014048595.585625</v>
      </c>
      <c r="BP24" s="45">
        <f t="shared" si="31"/>
        <v>1.1014048595585626</v>
      </c>
      <c r="BQ24" s="45">
        <f t="shared" si="11"/>
        <v>2.144655542532433</v>
      </c>
      <c r="BR24">
        <v>5.4335149999999999</v>
      </c>
      <c r="BS24"/>
      <c r="BT24">
        <v>0.94088177613873047</v>
      </c>
      <c r="BU24">
        <f t="shared" si="32"/>
        <v>0.41612814764513956</v>
      </c>
      <c r="BV24">
        <f t="shared" si="33"/>
        <v>0.42900224494995404</v>
      </c>
      <c r="BW24"/>
      <c r="BX24" s="45">
        <f t="shared" si="48"/>
        <v>7.9248560164897531E-11</v>
      </c>
      <c r="BY24"/>
      <c r="BZ24"/>
      <c r="CA24" s="24">
        <f t="shared" si="49"/>
        <v>3.8338347353322035E-9</v>
      </c>
      <c r="CB24" s="24"/>
    </row>
    <row r="25" spans="1:80" ht="15">
      <c r="A25" s="28" t="s">
        <v>42</v>
      </c>
      <c r="B25" s="66"/>
      <c r="C25" s="28">
        <v>3</v>
      </c>
      <c r="D25" s="67">
        <v>19.64</v>
      </c>
      <c r="E25" s="67">
        <v>19.64</v>
      </c>
      <c r="F25" s="24">
        <f t="shared" si="0"/>
        <v>3.2850294116000003E-26</v>
      </c>
      <c r="G25" s="24">
        <f t="shared" si="1"/>
        <v>1.78908333184E-29</v>
      </c>
      <c r="H25" s="25">
        <f t="shared" si="13"/>
        <v>1836.1522647586683</v>
      </c>
      <c r="I25" s="25">
        <f t="shared" si="14"/>
        <v>1</v>
      </c>
      <c r="J25" s="26">
        <f t="shared" si="15"/>
        <v>3.2832403282681602E-26</v>
      </c>
      <c r="K25" s="28">
        <v>41.290994999999988</v>
      </c>
      <c r="L25" s="28">
        <f>10^(0.213+-1200/N25+1350000/N25^2)/1000</f>
        <v>1.2003439447166342E-2</v>
      </c>
      <c r="M25" s="29">
        <f t="shared" si="16"/>
        <v>1.3605442176870747E-3</v>
      </c>
      <c r="N25" s="28">
        <v>735</v>
      </c>
      <c r="O25" s="28">
        <v>1.9405588331960499E-5</v>
      </c>
      <c r="P25" s="28">
        <v>3.1252324985815613E-4</v>
      </c>
      <c r="Q25">
        <f t="shared" si="17"/>
        <v>3.1033023358955271E+28</v>
      </c>
      <c r="T25" s="24">
        <f>0.465*T2+0.115*T3+0.42*T4</f>
        <v>2.3803E-10</v>
      </c>
      <c r="U25" s="31">
        <f t="shared" si="19"/>
        <v>2.7812420590388666E-10</v>
      </c>
      <c r="V25" s="31"/>
      <c r="W25" s="24"/>
      <c r="X25" s="31">
        <f t="shared" si="21"/>
        <v>2.3803000000000001</v>
      </c>
      <c r="Y25" s="24">
        <v>2102415.4449999998</v>
      </c>
      <c r="Z25" s="28">
        <v>2012.468707779205</v>
      </c>
      <c r="AH25" s="28">
        <v>3</v>
      </c>
      <c r="AI25" s="28">
        <v>3</v>
      </c>
      <c r="AJ25" s="28">
        <f t="shared" si="24"/>
        <v>6</v>
      </c>
      <c r="AL25" s="46">
        <v>0.78024246508674777</v>
      </c>
      <c r="AM25" s="33">
        <f t="shared" si="2"/>
        <v>0.54326858976638281</v>
      </c>
      <c r="AN25" s="33">
        <f t="shared" si="26"/>
        <v>0.30371824903687866</v>
      </c>
      <c r="AO25" s="33">
        <f>1/3*BL25*BC25*AW25</f>
        <v>0.48209294921946866</v>
      </c>
      <c r="AP25" s="33">
        <f>1/3*BL25*BC25*AX25</f>
        <v>0.85046707066330796</v>
      </c>
      <c r="AQ25" s="46">
        <v>0.39969771709442198</v>
      </c>
      <c r="AR25" s="47">
        <f t="shared" si="50"/>
        <v>0.48772627102527244</v>
      </c>
      <c r="AS25" s="34">
        <f t="shared" si="4"/>
        <v>4886411.1374480864</v>
      </c>
      <c r="AT25" s="34">
        <f t="shared" si="5"/>
        <v>3402318.9027080513</v>
      </c>
      <c r="AU25" s="48">
        <v>2282353441.8618789</v>
      </c>
      <c r="AV25" s="49">
        <f t="shared" si="51"/>
        <v>1.7512524999999998E-10</v>
      </c>
      <c r="AW25" s="49">
        <v>2.1122624584656404E-10</v>
      </c>
      <c r="AX25" s="49">
        <v>3.7262724303100115E-10</v>
      </c>
      <c r="AY25" s="37">
        <f t="shared" si="6"/>
        <v>3.418587370281478E-10</v>
      </c>
      <c r="AZ25" s="49">
        <f t="shared" si="52"/>
        <v>3.4185873702814765E-10</v>
      </c>
      <c r="BA25" s="49">
        <f t="shared" si="53"/>
        <v>0.95208136478404848</v>
      </c>
      <c r="BB25" s="50">
        <f t="shared" si="54"/>
        <v>1.9861064947215777E-4</v>
      </c>
      <c r="BC25" s="51">
        <f t="shared" si="7"/>
        <v>2012.468707779205</v>
      </c>
      <c r="BD25" s="51"/>
      <c r="BE25" s="52">
        <f t="shared" si="55"/>
        <v>3928.5026616668206</v>
      </c>
      <c r="BF25" s="52">
        <f t="shared" si="27"/>
        <v>0.95208136478404826</v>
      </c>
      <c r="BG25" s="53">
        <f t="shared" si="8"/>
        <v>6.0538246258091295E-3</v>
      </c>
      <c r="BH25" s="55">
        <v>66.024000000000001</v>
      </c>
      <c r="BI25" s="42">
        <f t="shared" si="28"/>
        <v>428457.12667518237</v>
      </c>
      <c r="BJ25" s="42"/>
      <c r="BK25" s="42">
        <f t="shared" si="30"/>
        <v>3.4023189027080507</v>
      </c>
      <c r="BL25" s="42">
        <f t="shared" si="9"/>
        <v>3402318.9027080508</v>
      </c>
      <c r="BM25" s="55">
        <f t="shared" si="56"/>
        <v>128.88422002850203</v>
      </c>
      <c r="BN25" s="56">
        <f t="shared" si="57"/>
        <v>0.95208136478404859</v>
      </c>
      <c r="BO25" s="45">
        <f t="shared" si="10"/>
        <v>6847060325.5856342</v>
      </c>
      <c r="BP25" s="45">
        <f t="shared" si="31"/>
        <v>0.68470603255856344</v>
      </c>
      <c r="BQ25" s="45">
        <f t="shared" si="11"/>
        <v>1.6298057692991486</v>
      </c>
      <c r="BR25">
        <v>8.9301490000000001</v>
      </c>
      <c r="BS25"/>
      <c r="BT25">
        <v>0.88069482477212113</v>
      </c>
      <c r="BU25">
        <f t="shared" si="32"/>
        <v>0.31403884367075796</v>
      </c>
      <c r="BV25">
        <f t="shared" si="33"/>
        <v>0.33463444897360917</v>
      </c>
      <c r="BW25"/>
      <c r="BX25" s="45">
        <f t="shared" si="48"/>
        <v>7.5565506684457585E-11</v>
      </c>
      <c r="BY25"/>
      <c r="BZ25"/>
      <c r="CA25" s="24">
        <f t="shared" si="49"/>
        <v>2.8369914793196441E-9</v>
      </c>
      <c r="CB25" s="24"/>
    </row>
    <row r="26" spans="1:80" ht="15">
      <c r="A26" s="28" t="s">
        <v>174</v>
      </c>
      <c r="B26" s="66"/>
      <c r="C26" s="28">
        <v>4</v>
      </c>
      <c r="D26" s="67">
        <v>23.315000000000001</v>
      </c>
      <c r="E26" s="67">
        <v>22.74</v>
      </c>
      <c r="F26" s="24">
        <f t="shared" si="0"/>
        <v>3.8997179598500003E-26</v>
      </c>
      <c r="G26" s="24">
        <f t="shared" si="1"/>
        <v>2.0714742854399996E-29</v>
      </c>
      <c r="H26" s="25">
        <f t="shared" si="13"/>
        <v>1930.1835567339556</v>
      </c>
      <c r="I26" s="25">
        <f t="shared" si="14"/>
        <v>1.0252858399296396</v>
      </c>
      <c r="J26" s="26">
        <f t="shared" si="15"/>
        <v>3.8976464855645601E-26</v>
      </c>
      <c r="K26" s="28">
        <v>66.133683500000004</v>
      </c>
      <c r="L26" s="28">
        <f>0.062*EXP(38800/(8.3144598*N26))/1000</f>
        <v>3.0468148860508516E-2</v>
      </c>
      <c r="M26" s="29">
        <f t="shared" si="16"/>
        <v>1.3280212483399733E-3</v>
      </c>
      <c r="N26" s="28">
        <v>753</v>
      </c>
      <c r="O26" s="28">
        <v>1.9202817056926548E-5</v>
      </c>
      <c r="P26" s="28">
        <v>1.6787041064891779E-4</v>
      </c>
      <c r="Q26">
        <f t="shared" si="17"/>
        <v>3.1360715160423741E+28</v>
      </c>
      <c r="T26" s="24">
        <f>0.675*T2+0.2*T10+0.005*T20+0.12*T21</f>
        <v>2.0225E-10</v>
      </c>
      <c r="U26" s="31">
        <f t="shared" si="19"/>
        <v>2.5967808077433298E-10</v>
      </c>
      <c r="V26" s="31"/>
      <c r="W26" s="24"/>
      <c r="X26" s="31">
        <f t="shared" si="21"/>
        <v>2.0225</v>
      </c>
      <c r="Y26" s="24">
        <v>2609440.5150000001</v>
      </c>
      <c r="Z26" s="28">
        <v>1781.433208193873</v>
      </c>
      <c r="AH26" s="28">
        <v>4</v>
      </c>
      <c r="AI26" s="28">
        <v>11</v>
      </c>
      <c r="AJ26" s="28">
        <f t="shared" si="24"/>
        <v>15</v>
      </c>
      <c r="AL26" s="46">
        <v>1.1599999999999999</v>
      </c>
      <c r="AM26" s="33">
        <f t="shared" si="2"/>
        <v>0.51681594759710647</v>
      </c>
      <c r="AN26" s="33">
        <f t="shared" si="26"/>
        <v>0.5544690106921496</v>
      </c>
      <c r="AO26" s="33"/>
      <c r="AP26" s="33"/>
      <c r="AQ26" s="46">
        <v>0.43510012746839721</v>
      </c>
      <c r="AR26" s="47">
        <f t="shared" si="50"/>
        <v>0.62491368321689889</v>
      </c>
      <c r="AS26" s="34">
        <f t="shared" si="4"/>
        <v>9658755.4388015848</v>
      </c>
      <c r="AT26" s="34">
        <f t="shared" si="5"/>
        <v>4303274.8661318505</v>
      </c>
      <c r="AU26" s="48">
        <v>2555332250.1711068</v>
      </c>
      <c r="AV26" s="49">
        <f t="shared" si="51"/>
        <v>1.7027145000000005E-10</v>
      </c>
      <c r="AW26" s="49"/>
      <c r="AX26" s="49"/>
      <c r="AY26" s="37">
        <f t="shared" si="6"/>
        <v>4.5395271003303986E-10</v>
      </c>
      <c r="AZ26" s="49">
        <f t="shared" si="52"/>
        <v>4.5395271003303991E-10</v>
      </c>
      <c r="BA26" s="49">
        <f t="shared" si="53"/>
        <v>1.6660529996839741</v>
      </c>
      <c r="BB26" s="50">
        <f t="shared" si="54"/>
        <v>2.4424161706827535E-4</v>
      </c>
      <c r="BC26" s="51">
        <f t="shared" si="7"/>
        <v>1781.433208193873</v>
      </c>
      <c r="BD26" s="51"/>
      <c r="BE26" s="52">
        <f t="shared" si="55"/>
        <v>4749.3953484419217</v>
      </c>
      <c r="BF26" s="52">
        <f t="shared" si="27"/>
        <v>1.6660529996839748</v>
      </c>
      <c r="BG26" s="53">
        <f t="shared" si="8"/>
        <v>5.265324952724598E-3</v>
      </c>
      <c r="BH26" s="55">
        <v>82.635000000000005</v>
      </c>
      <c r="BI26" s="42">
        <f t="shared" si="28"/>
        <v>432981.40025523881</v>
      </c>
      <c r="BJ26" s="42"/>
      <c r="BK26" s="42">
        <f t="shared" si="30"/>
        <v>4.3032748661318507</v>
      </c>
      <c r="BL26" s="42">
        <f t="shared" si="9"/>
        <v>4303274.8661318505</v>
      </c>
      <c r="BM26" s="55">
        <f t="shared" si="56"/>
        <v>220.30928962888524</v>
      </c>
      <c r="BN26" s="56">
        <f t="shared" si="57"/>
        <v>1.6660529996839741</v>
      </c>
      <c r="BO26" s="45">
        <f t="shared" si="10"/>
        <v>7665996750.5133219</v>
      </c>
      <c r="BP26" s="45">
        <f t="shared" si="31"/>
        <v>0.7665996750513322</v>
      </c>
      <c r="BQ26" s="45">
        <f t="shared" si="11"/>
        <v>1.5504478427913193</v>
      </c>
      <c r="BR26">
        <v>6.8531060000000004</v>
      </c>
      <c r="BS26"/>
      <c r="BT26">
        <v>0.94088177613873047</v>
      </c>
      <c r="BU26">
        <f t="shared" si="32"/>
        <v>0.37053036457699584</v>
      </c>
      <c r="BV26">
        <f t="shared" si="33"/>
        <v>0.38199376592330547</v>
      </c>
      <c r="BW26"/>
      <c r="BX26" s="45">
        <f t="shared" si="48"/>
        <v>7.3293601125975928E-11</v>
      </c>
      <c r="BY26"/>
      <c r="BZ26"/>
      <c r="CA26" s="24">
        <f t="shared" si="49"/>
        <v>6.5543423785317211E-9</v>
      </c>
      <c r="CB26" s="24"/>
    </row>
    <row r="27" spans="1:80" ht="15">
      <c r="A27" s="28" t="s">
        <v>63</v>
      </c>
      <c r="B27" s="66"/>
      <c r="C27" s="28">
        <v>4</v>
      </c>
      <c r="D27" s="67">
        <v>14.792</v>
      </c>
      <c r="E27" s="67">
        <v>14.388</v>
      </c>
      <c r="F27" s="24">
        <f t="shared" si="0"/>
        <v>2.4741423144799998E-26</v>
      </c>
      <c r="G27" s="24">
        <f t="shared" si="1"/>
        <v>1.3106584001279998E-29</v>
      </c>
      <c r="H27" s="25">
        <f t="shared" si="13"/>
        <v>1940.7144105304449</v>
      </c>
      <c r="I27" s="25">
        <f t="shared" si="14"/>
        <v>1.0280789546844593</v>
      </c>
      <c r="J27" s="26">
        <f t="shared" si="15"/>
        <v>2.4728316560798717E-26</v>
      </c>
      <c r="K27" s="28">
        <v>40.153548000000008</v>
      </c>
      <c r="L27" s="28"/>
      <c r="M27" s="29">
        <f t="shared" si="16"/>
        <v>1.4084507042253522E-3</v>
      </c>
      <c r="N27" s="28">
        <v>710</v>
      </c>
      <c r="O27" s="28">
        <v>1.69198810550489E-5</v>
      </c>
      <c r="P27" s="28">
        <v>1.8512201652073131E-4</v>
      </c>
      <c r="Q27">
        <f t="shared" si="17"/>
        <v>3.5592098670238526E+28</v>
      </c>
      <c r="T27" s="24">
        <f>0.712*T2+0.23*T10+0.05*T19+0.008*T21</f>
        <v>1.9924399999999998E-10</v>
      </c>
      <c r="U27" s="31">
        <f t="shared" si="19"/>
        <v>2.5162499275588922E-10</v>
      </c>
      <c r="V27" s="31"/>
      <c r="W27" s="24"/>
      <c r="X27" s="31">
        <f t="shared" si="21"/>
        <v>1.9924399999999998</v>
      </c>
      <c r="Y27" s="24">
        <v>2163027.5660000001</v>
      </c>
      <c r="Z27" s="28">
        <v>2319.1206460873409</v>
      </c>
      <c r="AH27" s="28">
        <v>4</v>
      </c>
      <c r="AI27" s="28">
        <v>11</v>
      </c>
      <c r="AJ27" s="28">
        <f t="shared" si="24"/>
        <v>15</v>
      </c>
      <c r="AL27" s="46">
        <v>1.24</v>
      </c>
      <c r="AM27" s="33">
        <f t="shared" si="2"/>
        <v>0.66880040429891452</v>
      </c>
      <c r="AN27" s="33">
        <f t="shared" si="26"/>
        <v>0.46064483524281086</v>
      </c>
      <c r="AO27" s="33"/>
      <c r="AP27" s="33"/>
      <c r="AQ27" s="46">
        <v>0.58242618348722919</v>
      </c>
      <c r="AR27" s="47">
        <f t="shared" si="50"/>
        <v>0.53030146492965391</v>
      </c>
      <c r="AS27" s="34">
        <f t="shared" si="4"/>
        <v>8050713.0166514972</v>
      </c>
      <c r="AT27" s="34">
        <f t="shared" si="5"/>
        <v>4342193.6455089152</v>
      </c>
      <c r="AU27" s="48">
        <v>3356690310.8696609</v>
      </c>
      <c r="AV27" s="49">
        <f t="shared" si="51"/>
        <v>1.7351204000000004E-10</v>
      </c>
      <c r="AW27" s="49"/>
      <c r="AX27" s="49"/>
      <c r="AY27" s="37">
        <f t="shared" si="6"/>
        <v>3.6941149917364215E-10</v>
      </c>
      <c r="AZ27" s="49">
        <f t="shared" si="52"/>
        <v>3.6941149917364205E-10</v>
      </c>
      <c r="BA27" s="49">
        <f t="shared" si="53"/>
        <v>1.129025162597604</v>
      </c>
      <c r="BB27" s="50">
        <f t="shared" si="54"/>
        <v>2.5114095916909632E-4</v>
      </c>
      <c r="BC27" s="51">
        <f t="shared" si="7"/>
        <v>2319.1206460873409</v>
      </c>
      <c r="BD27" s="51"/>
      <c r="BE27" s="52">
        <f t="shared" si="55"/>
        <v>4937.466210619561</v>
      </c>
      <c r="BF27" s="52">
        <f t="shared" si="27"/>
        <v>1.1290251625976038</v>
      </c>
      <c r="BG27" s="53">
        <f t="shared" si="8"/>
        <v>7.9274661762207006E-3</v>
      </c>
      <c r="BH27" s="55">
        <v>73.469400000000007</v>
      </c>
      <c r="BI27" s="42">
        <f t="shared" si="28"/>
        <v>491401.95436966151</v>
      </c>
      <c r="BJ27" s="42"/>
      <c r="BK27" s="42">
        <f t="shared" si="30"/>
        <v>4.3421936455089156</v>
      </c>
      <c r="BL27" s="42">
        <f t="shared" si="9"/>
        <v>4342193.6455089152</v>
      </c>
      <c r="BM27" s="55">
        <f t="shared" si="56"/>
        <v>156.41820128094841</v>
      </c>
      <c r="BN27" s="56">
        <f t="shared" si="57"/>
        <v>1.1290251625976038</v>
      </c>
      <c r="BO27" s="45">
        <f t="shared" si="10"/>
        <v>10070070932.608982</v>
      </c>
      <c r="BP27" s="45">
        <f t="shared" si="31"/>
        <v>1.0070070932608983</v>
      </c>
      <c r="BQ27" s="45">
        <f t="shared" si="11"/>
        <v>2.0064012128967437</v>
      </c>
      <c r="BR27">
        <v>5.9524229999999996</v>
      </c>
      <c r="BS27"/>
      <c r="BT27">
        <v>0.94088177613873047</v>
      </c>
      <c r="BU27">
        <f t="shared" si="32"/>
        <v>0.39757643517425006</v>
      </c>
      <c r="BV27">
        <f t="shared" si="33"/>
        <v>0.40987658295684953</v>
      </c>
      <c r="BW27"/>
      <c r="BX27" s="45">
        <f t="shared" si="48"/>
        <v>7.7474648342839842E-11</v>
      </c>
      <c r="BY27"/>
      <c r="BZ27"/>
      <c r="CA27" s="24"/>
      <c r="CB27" s="24"/>
    </row>
    <row r="28" spans="1:80" ht="15">
      <c r="A28" s="28" t="s">
        <v>21</v>
      </c>
      <c r="B28" s="66"/>
      <c r="C28" s="28">
        <v>2</v>
      </c>
      <c r="D28" s="67">
        <v>12.27</v>
      </c>
      <c r="E28" s="67">
        <v>11.73</v>
      </c>
      <c r="F28" s="24">
        <f t="shared" si="0"/>
        <v>2.0523070712999998E-26</v>
      </c>
      <c r="G28" s="24">
        <f t="shared" si="1"/>
        <v>1.0685309308799999E-29</v>
      </c>
      <c r="H28" s="25">
        <f t="shared" si="13"/>
        <v>2009.1011113290388</v>
      </c>
      <c r="I28" s="25">
        <f t="shared" si="14"/>
        <v>1.0460358056265984</v>
      </c>
      <c r="J28" s="26">
        <f t="shared" si="15"/>
        <v>2.0512385403691198E-26</v>
      </c>
      <c r="K28" s="28">
        <v>31.62816999999999</v>
      </c>
      <c r="L28" s="28">
        <f>0.118*EXP(30100/(8.3144598*N28))/1000</f>
        <v>1.6585959930776259E-2</v>
      </c>
      <c r="M28" s="29">
        <f t="shared" si="16"/>
        <v>1.366120218579235E-3</v>
      </c>
      <c r="N28" s="28">
        <v>732</v>
      </c>
      <c r="O28" s="28">
        <v>1.59424661503112E-5</v>
      </c>
      <c r="P28" s="28">
        <v>1.6222658639521151E-4</v>
      </c>
      <c r="Q28">
        <f t="shared" si="17"/>
        <v>3.7774210735159357E+28</v>
      </c>
      <c r="T28" s="24">
        <f>0.73*T2+0.27*T10</f>
        <v>1.9765999999999999E-10</v>
      </c>
      <c r="U28" s="31">
        <f t="shared" si="19"/>
        <v>2.4784781964423777E-10</v>
      </c>
      <c r="V28" s="31"/>
      <c r="W28" s="24"/>
      <c r="X28" s="31">
        <f t="shared" si="21"/>
        <v>1.9765999999999999</v>
      </c>
      <c r="Y28" s="24">
        <v>1989043.9480000001</v>
      </c>
      <c r="Z28" s="28">
        <v>2547.687552638462</v>
      </c>
      <c r="AH28" s="28">
        <v>2</v>
      </c>
      <c r="AI28" s="28">
        <v>3</v>
      </c>
      <c r="AJ28" s="28">
        <f t="shared" si="24"/>
        <v>5</v>
      </c>
      <c r="AL28" s="46">
        <v>0.98602842355479869</v>
      </c>
      <c r="AM28" s="33">
        <f t="shared" si="2"/>
        <v>0.74333870635594579</v>
      </c>
      <c r="AN28" s="33">
        <f t="shared" si="26"/>
        <v>0.24612852064032351</v>
      </c>
      <c r="AO28" s="33"/>
      <c r="AP28" s="33"/>
      <c r="AQ28" s="46">
        <v>0.66180310738547476</v>
      </c>
      <c r="AR28" s="47">
        <f t="shared" si="50"/>
        <v>0.32881944214187764</v>
      </c>
      <c r="AS28" s="34">
        <f t="shared" si="4"/>
        <v>5874159.4732041424</v>
      </c>
      <c r="AT28" s="34">
        <f t="shared" si="5"/>
        <v>4428361.2920590648</v>
      </c>
      <c r="AU28" s="48">
        <v>3760693647.4549508</v>
      </c>
      <c r="AV28" s="49">
        <f t="shared" si="51"/>
        <v>1.7597899999999999E-10</v>
      </c>
      <c r="AW28" s="49"/>
      <c r="AX28" s="49"/>
      <c r="AY28" s="37">
        <f t="shared" si="6"/>
        <v>2.6219323241660301E-10</v>
      </c>
      <c r="AZ28" s="49">
        <f t="shared" si="52"/>
        <v>2.6219323241660306E-10</v>
      </c>
      <c r="BA28" s="49">
        <f t="shared" si="53"/>
        <v>0.48991204869105448</v>
      </c>
      <c r="BB28" s="50">
        <f t="shared" si="54"/>
        <v>2.5976619727175398E-4</v>
      </c>
      <c r="BC28" s="51">
        <f t="shared" si="7"/>
        <v>2547.687552638462</v>
      </c>
      <c r="BD28" s="51"/>
      <c r="BE28" s="52">
        <f t="shared" si="55"/>
        <v>3795.8303809762697</v>
      </c>
      <c r="BF28" s="52">
        <f t="shared" si="27"/>
        <v>0.48991204869105454</v>
      </c>
      <c r="BG28" s="53">
        <f t="shared" si="8"/>
        <v>9.3741144688377284E-3</v>
      </c>
      <c r="BH28" s="55">
        <v>70.599000000000004</v>
      </c>
      <c r="BI28" s="42">
        <f t="shared" si="28"/>
        <v>521529.26277287037</v>
      </c>
      <c r="BJ28" s="42"/>
      <c r="BK28" s="42">
        <f t="shared" si="30"/>
        <v>4.4283612920590647</v>
      </c>
      <c r="BL28" s="42">
        <f t="shared" si="9"/>
        <v>4428361.2920590648</v>
      </c>
      <c r="BM28" s="55">
        <f t="shared" si="56"/>
        <v>105.18630072553975</v>
      </c>
      <c r="BN28" s="56">
        <f t="shared" si="57"/>
        <v>0.48991204869105437</v>
      </c>
      <c r="BO28" s="45">
        <f t="shared" si="10"/>
        <v>11282080942.364857</v>
      </c>
      <c r="BP28" s="45">
        <f t="shared" si="31"/>
        <v>1.1282080942364856</v>
      </c>
      <c r="BQ28" s="45">
        <f t="shared" si="11"/>
        <v>2.2300161190678374</v>
      </c>
      <c r="BR28">
        <v>5.3614920000000001</v>
      </c>
      <c r="BS28"/>
      <c r="BT28">
        <v>0.94088177613873047</v>
      </c>
      <c r="BU28">
        <f t="shared" si="32"/>
        <v>0.41891382891358497</v>
      </c>
      <c r="BV28">
        <f t="shared" si="33"/>
        <v>0.43187410912122187</v>
      </c>
      <c r="BW28"/>
      <c r="BX28" s="45">
        <f t="shared" si="48"/>
        <v>8.0983625331959697E-11</v>
      </c>
      <c r="BY28"/>
      <c r="BZ28"/>
      <c r="CA28" s="24">
        <f>L28/(Y28/1000*(Z28+AA28*N28))</f>
        <v>3.2730306153599925E-9</v>
      </c>
      <c r="CB28" s="24"/>
    </row>
    <row r="29" spans="1:80" ht="15">
      <c r="A29" s="28" t="s">
        <v>23</v>
      </c>
      <c r="B29" s="66"/>
      <c r="C29" s="28">
        <v>3</v>
      </c>
      <c r="D29" s="67">
        <v>13.154999999999999</v>
      </c>
      <c r="E29" s="67">
        <v>12.86</v>
      </c>
      <c r="F29" s="24">
        <f t="shared" si="0"/>
        <v>2.2003341094499998E-26</v>
      </c>
      <c r="G29" s="24">
        <f t="shared" si="1"/>
        <v>1.1714669881599998E-29</v>
      </c>
      <c r="H29" s="25">
        <f t="shared" si="13"/>
        <v>1921.3587403123072</v>
      </c>
      <c r="I29" s="25">
        <f t="shared" si="14"/>
        <v>1.0229393468118195</v>
      </c>
      <c r="J29" s="26">
        <f t="shared" si="15"/>
        <v>2.1991626424618399E-26</v>
      </c>
      <c r="K29" s="28">
        <v>34.403649999999985</v>
      </c>
      <c r="L29" s="28">
        <f>0.123*EXP(29800/(8.3144598*N29))/1000</f>
        <v>1.6457220475546555E-2</v>
      </c>
      <c r="M29" s="29">
        <f t="shared" si="16"/>
        <v>1.366120218579235E-3</v>
      </c>
      <c r="N29" s="28">
        <v>732</v>
      </c>
      <c r="O29" s="28">
        <v>1.6204764243863241E-5</v>
      </c>
      <c r="P29" s="28">
        <v>1.625831359942148E-4</v>
      </c>
      <c r="Q29">
        <f t="shared" si="17"/>
        <v>3.7162779225748934E+28</v>
      </c>
      <c r="T29" s="24">
        <f>0.725*T2+0.265*T10+0.01*T21</f>
        <v>1.9799999999999999E-10</v>
      </c>
      <c r="U29" s="31">
        <f t="shared" si="19"/>
        <v>2.4883063124324447E-10</v>
      </c>
      <c r="V29" s="31"/>
      <c r="W29" s="24"/>
      <c r="X29" s="31">
        <f t="shared" si="21"/>
        <v>1.98</v>
      </c>
      <c r="Y29" s="24">
        <v>2039490.53</v>
      </c>
      <c r="Z29" s="28">
        <v>2441.8705732183512</v>
      </c>
      <c r="AH29" s="28">
        <v>3</v>
      </c>
      <c r="AI29" s="28">
        <v>7</v>
      </c>
      <c r="AJ29" s="28">
        <f t="shared" si="24"/>
        <v>10</v>
      </c>
      <c r="AL29" s="46">
        <v>0.89056771657477962</v>
      </c>
      <c r="AM29" s="33">
        <f t="shared" si="2"/>
        <v>0.71187944439400763</v>
      </c>
      <c r="AN29" s="33">
        <f t="shared" si="26"/>
        <v>0.2006453511115657</v>
      </c>
      <c r="AO29" s="33"/>
      <c r="AP29" s="33"/>
      <c r="AQ29" s="46">
        <v>0.63042335803936922</v>
      </c>
      <c r="AR29" s="47">
        <f t="shared" si="50"/>
        <v>0.29211069938168649</v>
      </c>
      <c r="AS29" s="34">
        <f t="shared" si="4"/>
        <v>5525866.2760937605</v>
      </c>
      <c r="AT29" s="34">
        <f t="shared" si="5"/>
        <v>4417126.896931367</v>
      </c>
      <c r="AU29" s="48">
        <v>3595350729.2626648</v>
      </c>
      <c r="AV29" s="49">
        <f t="shared" si="51"/>
        <v>1.7534405000000001E-10</v>
      </c>
      <c r="AW29" s="49"/>
      <c r="AX29" s="49"/>
      <c r="AY29" s="37">
        <f t="shared" si="6"/>
        <v>2.4769981669004444E-10</v>
      </c>
      <c r="AZ29" s="49">
        <f t="shared" si="52"/>
        <v>2.4769981669004444E-10</v>
      </c>
      <c r="BA29" s="49">
        <f t="shared" si="53"/>
        <v>0.41265025354464224</v>
      </c>
      <c r="BB29" s="50">
        <f t="shared" si="54"/>
        <v>2.5817230649062621E-4</v>
      </c>
      <c r="BC29" s="51">
        <f t="shared" si="7"/>
        <v>2441.8705732183512</v>
      </c>
      <c r="BD29" s="51"/>
      <c r="BE29" s="52">
        <f t="shared" si="55"/>
        <v>3449.509084380104</v>
      </c>
      <c r="BF29" s="52">
        <f t="shared" si="27"/>
        <v>0.41265025354464197</v>
      </c>
      <c r="BG29" s="53">
        <f t="shared" si="8"/>
        <v>8.8074401955806451E-3</v>
      </c>
      <c r="BH29" s="55">
        <v>71.578500000000005</v>
      </c>
      <c r="BI29" s="42">
        <f t="shared" si="28"/>
        <v>513087.53975251043</v>
      </c>
      <c r="BJ29" s="42"/>
      <c r="BK29" s="42">
        <f t="shared" si="30"/>
        <v>4.4171268969313671</v>
      </c>
      <c r="BL29" s="42">
        <f t="shared" si="9"/>
        <v>4417126.896931367</v>
      </c>
      <c r="BM29" s="55">
        <f t="shared" si="56"/>
        <v>101.11538617334517</v>
      </c>
      <c r="BN29" s="56">
        <f t="shared" si="57"/>
        <v>0.41265025354464208</v>
      </c>
      <c r="BO29" s="45">
        <f t="shared" si="10"/>
        <v>10786052187.787994</v>
      </c>
      <c r="BP29" s="45">
        <f t="shared" si="31"/>
        <v>1.0786052187787996</v>
      </c>
      <c r="BQ29" s="45">
        <f t="shared" si="11"/>
        <v>2.1356383331820226</v>
      </c>
      <c r="BR29">
        <v>5.481452</v>
      </c>
      <c r="BS29"/>
      <c r="BT29">
        <v>0.94088177613873047</v>
      </c>
      <c r="BU29">
        <f t="shared" si="32"/>
        <v>0.41430456700560619</v>
      </c>
      <c r="BV29">
        <f t="shared" si="33"/>
        <v>0.42712224670269727</v>
      </c>
      <c r="BW29"/>
      <c r="BX29" s="45">
        <f t="shared" si="48"/>
        <v>8.023034085118668E-11</v>
      </c>
      <c r="BY29"/>
      <c r="BZ29"/>
      <c r="CA29" s="24">
        <f>L29/(Y29/1000*(Z29+AA29*N29))</f>
        <v>3.304548673097048E-9</v>
      </c>
      <c r="CB29" s="24"/>
    </row>
    <row r="30" spans="1:80" ht="15">
      <c r="A30" s="28" t="s">
        <v>25</v>
      </c>
      <c r="B30" s="66"/>
      <c r="C30" s="28">
        <v>3</v>
      </c>
      <c r="D30" s="67">
        <v>14.04</v>
      </c>
      <c r="E30" s="67">
        <v>13.72</v>
      </c>
      <c r="F30" s="24">
        <f t="shared" si="0"/>
        <v>2.3483611476E-26</v>
      </c>
      <c r="G30" s="24">
        <f t="shared" si="1"/>
        <v>1.2498077043199999E-29</v>
      </c>
      <c r="H30" s="25">
        <f t="shared" si="13"/>
        <v>1922.802532707738</v>
      </c>
      <c r="I30" s="25">
        <f t="shared" si="14"/>
        <v>1.0233236151603498</v>
      </c>
      <c r="J30" s="26">
        <f t="shared" si="15"/>
        <v>2.3471113398956799E-26</v>
      </c>
      <c r="K30" s="28">
        <v>37.179130000000008</v>
      </c>
      <c r="L30" s="28">
        <f>0.123*EXP(29800/(8.3144598*N30))/1000</f>
        <v>1.6457220475546555E-2</v>
      </c>
      <c r="M30" s="29">
        <f t="shared" si="16"/>
        <v>1.366120218579235E-3</v>
      </c>
      <c r="N30" s="28">
        <v>732</v>
      </c>
      <c r="O30" s="28">
        <v>1.6467062337415279E-5</v>
      </c>
      <c r="P30" s="28">
        <v>1.629283268847662E-4</v>
      </c>
      <c r="Q30">
        <f t="shared" si="17"/>
        <v>3.6570826274926543E+28</v>
      </c>
      <c r="T30" s="24">
        <f>0.72*T2+0.26*T10+0.02*T21</f>
        <v>1.9834000000000001E-10</v>
      </c>
      <c r="U30" s="31">
        <f t="shared" si="19"/>
        <v>2.4980471845214282E-10</v>
      </c>
      <c r="V30" s="31"/>
      <c r="W30" s="24"/>
      <c r="X30" s="31">
        <f t="shared" si="21"/>
        <v>1.9834000000000001</v>
      </c>
      <c r="Y30" s="24">
        <v>2089937.112</v>
      </c>
      <c r="Z30" s="28">
        <v>2348.7520215904742</v>
      </c>
      <c r="AH30" s="28">
        <v>3</v>
      </c>
      <c r="AI30" s="28">
        <v>7</v>
      </c>
      <c r="AJ30" s="28">
        <f t="shared" si="24"/>
        <v>10</v>
      </c>
      <c r="AL30" s="46">
        <v>0.80397278022492213</v>
      </c>
      <c r="AM30" s="33">
        <f t="shared" si="2"/>
        <v>0.68421941732878677</v>
      </c>
      <c r="AN30" s="33">
        <f t="shared" si="26"/>
        <v>0.14895201161242394</v>
      </c>
      <c r="AO30" s="33"/>
      <c r="AP30" s="33"/>
      <c r="AQ30" s="46">
        <v>0.60277957505526136</v>
      </c>
      <c r="AR30" s="47">
        <f t="shared" si="50"/>
        <v>0.25024877722026145</v>
      </c>
      <c r="AS30" s="34">
        <f t="shared" si="4"/>
        <v>5177440.5902498215</v>
      </c>
      <c r="AT30" s="34">
        <f t="shared" si="5"/>
        <v>4406250.3993282951</v>
      </c>
      <c r="AU30" s="48">
        <v>3449729844.352057</v>
      </c>
      <c r="AV30" s="49">
        <f t="shared" si="51"/>
        <v>1.7473239999999999E-10</v>
      </c>
      <c r="AW30" s="49"/>
      <c r="AX30" s="49"/>
      <c r="AY30" s="37">
        <f t="shared" si="6"/>
        <v>2.3305383798131243E-10</v>
      </c>
      <c r="AZ30" s="49">
        <f t="shared" si="52"/>
        <v>2.3305383798131233E-10</v>
      </c>
      <c r="BA30" s="49">
        <f t="shared" si="53"/>
        <v>0.33377575069828114</v>
      </c>
      <c r="BB30" s="50">
        <f t="shared" si="54"/>
        <v>2.5663823575853054E-4</v>
      </c>
      <c r="BC30" s="51">
        <f t="shared" si="7"/>
        <v>2348.7520215904742</v>
      </c>
      <c r="BD30" s="51"/>
      <c r="BE30" s="52">
        <f t="shared" si="55"/>
        <v>3132.7084908009401</v>
      </c>
      <c r="BF30" s="52">
        <f t="shared" si="27"/>
        <v>0.33377575069828114</v>
      </c>
      <c r="BG30" s="53">
        <f t="shared" si="8"/>
        <v>8.3075549912519815E-3</v>
      </c>
      <c r="BH30" s="55">
        <v>72.558000000000007</v>
      </c>
      <c r="BI30" s="42">
        <f t="shared" si="28"/>
        <v>504914.7472565106</v>
      </c>
      <c r="BJ30" s="42"/>
      <c r="BK30" s="42">
        <f t="shared" si="30"/>
        <v>4.4062503993282949</v>
      </c>
      <c r="BL30" s="42">
        <f t="shared" si="9"/>
        <v>4406250.3993282951</v>
      </c>
      <c r="BM30" s="55">
        <f t="shared" si="56"/>
        <v>96.776100919165899</v>
      </c>
      <c r="BN30" s="56">
        <f t="shared" si="57"/>
        <v>0.33377575069828125</v>
      </c>
      <c r="BO30" s="45">
        <f t="shared" si="10"/>
        <v>10349189533.056168</v>
      </c>
      <c r="BP30" s="45">
        <f t="shared" si="31"/>
        <v>1.0349189533056169</v>
      </c>
      <c r="BQ30" s="45">
        <f t="shared" si="11"/>
        <v>2.0526582519863603</v>
      </c>
      <c r="BR30">
        <v>5.6014119999999998</v>
      </c>
      <c r="BS30"/>
      <c r="BT30">
        <v>0.94088177613873047</v>
      </c>
      <c r="BU30">
        <f t="shared" si="32"/>
        <v>0.40984417755887542</v>
      </c>
      <c r="BV30">
        <f t="shared" si="33"/>
        <v>0.422523862534678</v>
      </c>
      <c r="BW30"/>
      <c r="BX30" s="45">
        <f t="shared" si="48"/>
        <v>7.9502869672740091E-11</v>
      </c>
      <c r="BY30"/>
      <c r="BZ30"/>
      <c r="CA30" s="24">
        <f>L30/(Y30/1000*(Z30+AA30*N30))</f>
        <v>3.352633671505172E-9</v>
      </c>
      <c r="CB30" s="24"/>
    </row>
    <row r="31" spans="1:80" ht="15">
      <c r="A31" s="28" t="s">
        <v>175</v>
      </c>
      <c r="B31" s="66"/>
      <c r="C31" s="28">
        <v>2</v>
      </c>
      <c r="D31" s="67">
        <v>31.24</v>
      </c>
      <c r="E31" s="67">
        <v>30.56</v>
      </c>
      <c r="F31" s="24">
        <f t="shared" si="0"/>
        <v>5.2252708155999992E-26</v>
      </c>
      <c r="G31" s="24">
        <f t="shared" si="1"/>
        <v>2.7838282393599999E-29</v>
      </c>
      <c r="H31" s="25">
        <f t="shared" si="13"/>
        <v>1918.7749643041277</v>
      </c>
      <c r="I31" s="25">
        <f t="shared" si="14"/>
        <v>1.0222513089005236</v>
      </c>
      <c r="J31" s="26">
        <f t="shared" si="15"/>
        <v>5.2224869873606396E-26</v>
      </c>
      <c r="K31" s="28">
        <v>88.599896000000015</v>
      </c>
      <c r="L31" s="28"/>
      <c r="M31" s="29">
        <f t="shared" si="16"/>
        <v>1.4335889900365566E-3</v>
      </c>
      <c r="N31" s="28">
        <v>697.55</v>
      </c>
      <c r="O31" s="28">
        <v>5.0411903343394867E-5</v>
      </c>
      <c r="P31" s="28">
        <v>2.3528262366250769E-4</v>
      </c>
      <c r="Q31">
        <f t="shared" si="17"/>
        <v>1.1945870638881641E+28</v>
      </c>
      <c r="T31" s="24">
        <f>0.32*T9+0.68*T14</f>
        <v>2.7411999999999998E-10</v>
      </c>
      <c r="U31" s="31">
        <f t="shared" si="19"/>
        <v>3.5578448460146573E-10</v>
      </c>
      <c r="V31" s="31"/>
      <c r="W31" s="24"/>
      <c r="X31" s="31">
        <f t="shared" si="21"/>
        <v>2.7411999999999996</v>
      </c>
      <c r="Y31" s="24">
        <v>1755710.5584</v>
      </c>
      <c r="Z31" s="28">
        <v>2039.5014589190009</v>
      </c>
      <c r="AH31" s="28">
        <v>2</v>
      </c>
      <c r="AI31" s="28">
        <v>3</v>
      </c>
      <c r="AJ31" s="28">
        <f t="shared" si="24"/>
        <v>5</v>
      </c>
      <c r="AL31" s="46">
        <v>0.45966666666666672</v>
      </c>
      <c r="AM31" s="33">
        <f t="shared" si="2"/>
        <v>0.31844809429710103</v>
      </c>
      <c r="AN31" s="33">
        <f t="shared" si="26"/>
        <v>0.30721951929564689</v>
      </c>
      <c r="AO31" s="33"/>
      <c r="AP31" s="33"/>
      <c r="AQ31" s="46">
        <v>0.26536256928250768</v>
      </c>
      <c r="AR31" s="47">
        <f t="shared" si="50"/>
        <v>0.42270652077772086</v>
      </c>
      <c r="AS31" s="34">
        <f t="shared" si="4"/>
        <v>2466604.5183689054</v>
      </c>
      <c r="AT31" s="34">
        <f t="shared" si="5"/>
        <v>1708815.4639431399</v>
      </c>
      <c r="AU31" s="48">
        <v>1161710543.9117939</v>
      </c>
      <c r="AV31" s="49">
        <f t="shared" si="51"/>
        <v>2.2842400000000006E-10</v>
      </c>
      <c r="AW31" s="49"/>
      <c r="AX31" s="49"/>
      <c r="AY31" s="37">
        <f t="shared" si="6"/>
        <v>3.9568089407094861E-10</v>
      </c>
      <c r="AZ31" s="49">
        <f t="shared" si="52"/>
        <v>3.9568089407094871E-10</v>
      </c>
      <c r="BA31" s="49">
        <f t="shared" si="53"/>
        <v>0.732221194230679</v>
      </c>
      <c r="BB31" s="50">
        <f t="shared" si="54"/>
        <v>1.3011148784524923E-4</v>
      </c>
      <c r="BC31" s="51">
        <f t="shared" si="7"/>
        <v>2039.5014589190009</v>
      </c>
      <c r="BD31" s="51"/>
      <c r="BE31" s="52">
        <f t="shared" si="55"/>
        <v>3532.8676528038841</v>
      </c>
      <c r="BF31" s="52">
        <f t="shared" si="27"/>
        <v>0.73222119423067911</v>
      </c>
      <c r="BG31" s="53">
        <f t="shared" si="8"/>
        <v>3.0804304165936228E-3</v>
      </c>
      <c r="BH31" s="55">
        <v>86.14464000000001</v>
      </c>
      <c r="BI31" s="42">
        <f t="shared" si="28"/>
        <v>164930.54351701299</v>
      </c>
      <c r="BJ31" s="42"/>
      <c r="BK31" s="42">
        <f t="shared" si="30"/>
        <v>1.7088154639431397</v>
      </c>
      <c r="BL31" s="42">
        <f t="shared" si="9"/>
        <v>1708815.4639431396</v>
      </c>
      <c r="BM31" s="55">
        <f t="shared" si="56"/>
        <v>149.22157117737191</v>
      </c>
      <c r="BN31" s="56">
        <f t="shared" si="57"/>
        <v>0.73222119423067877</v>
      </c>
      <c r="BO31" s="45">
        <f t="shared" si="10"/>
        <v>3485131631.7353826</v>
      </c>
      <c r="BP31" s="45">
        <f t="shared" si="31"/>
        <v>0.34851316317353825</v>
      </c>
      <c r="BQ31" s="45">
        <f t="shared" si="11"/>
        <v>0.95534428289130302</v>
      </c>
      <c r="BR31">
        <v>15.754555999999999</v>
      </c>
      <c r="BS31"/>
      <c r="BT31"/>
      <c r="BU31"/>
      <c r="BV31">
        <f t="shared" si="33"/>
        <v>0.25193987866994549</v>
      </c>
      <c r="BW31"/>
      <c r="BX31" s="45">
        <f t="shared" si="48"/>
        <v>6.5517737810532597E-11</v>
      </c>
      <c r="BY31"/>
      <c r="BZ31"/>
      <c r="CA31" s="24"/>
      <c r="CB31" s="24"/>
    </row>
    <row r="32" spans="1:80" ht="15">
      <c r="A32" s="28" t="s">
        <v>176</v>
      </c>
      <c r="B32" s="66"/>
      <c r="C32" s="28">
        <v>3</v>
      </c>
      <c r="D32" s="67">
        <v>31.2639</v>
      </c>
      <c r="E32" s="67">
        <v>31.1128</v>
      </c>
      <c r="F32" s="24">
        <f t="shared" si="0"/>
        <v>5.2292683819409995E-26</v>
      </c>
      <c r="G32" s="24">
        <f t="shared" si="1"/>
        <v>2.8341849229567998E-29</v>
      </c>
      <c r="H32" s="25">
        <f t="shared" si="13"/>
        <v>1854.0301999029296</v>
      </c>
      <c r="I32" s="25">
        <f t="shared" si="14"/>
        <v>1.004856522074516</v>
      </c>
      <c r="J32" s="26">
        <f t="shared" si="15"/>
        <v>5.2264341970180427E-26</v>
      </c>
      <c r="K32" s="28">
        <v>70.265004930000003</v>
      </c>
      <c r="L32" s="28"/>
      <c r="M32" s="29">
        <f t="shared" si="16"/>
        <v>1.4824697946779336E-3</v>
      </c>
      <c r="N32" s="28">
        <v>674.55</v>
      </c>
      <c r="O32" s="28">
        <v>3.9907749542334093E-5</v>
      </c>
      <c r="P32" s="28">
        <v>3.2881887812902358E-4</v>
      </c>
      <c r="Q32">
        <f t="shared" si="17"/>
        <v>1.5090153739718448E+28</v>
      </c>
      <c r="T32" s="24">
        <f>0.4598*T8+0.3891*T9+0.1511*T14</f>
        <v>2.9247459999999999E-10</v>
      </c>
      <c r="U32" s="31">
        <f t="shared" si="19"/>
        <v>3.4857281363371579E-10</v>
      </c>
      <c r="V32" s="31"/>
      <c r="W32" s="24"/>
      <c r="X32" s="31">
        <f t="shared" si="21"/>
        <v>2.9247459999999998</v>
      </c>
      <c r="Y32" s="24">
        <v>1761444.9958345001</v>
      </c>
      <c r="Z32" s="28">
        <v>2024.776905844504</v>
      </c>
      <c r="AH32" s="28">
        <v>3</v>
      </c>
      <c r="AI32" s="28">
        <v>4</v>
      </c>
      <c r="AJ32" s="28">
        <f t="shared" si="24"/>
        <v>7</v>
      </c>
      <c r="AL32" s="46">
        <v>0.46554761904761921</v>
      </c>
      <c r="AM32" s="33">
        <f t="shared" si="2"/>
        <v>0.36878913157884635</v>
      </c>
      <c r="AN32" s="33">
        <f t="shared" si="26"/>
        <v>0.20783800305264966</v>
      </c>
      <c r="AO32" s="33"/>
      <c r="AP32" s="33"/>
      <c r="AQ32" s="46">
        <v>0.28383633978433381</v>
      </c>
      <c r="AR32" s="47">
        <f t="shared" si="50"/>
        <v>0.39031727760742513</v>
      </c>
      <c r="AS32" s="34">
        <f t="shared" si="4"/>
        <v>2358413.9237225675</v>
      </c>
      <c r="AT32" s="34">
        <f t="shared" si="5"/>
        <v>1868245.883444505</v>
      </c>
      <c r="AU32" s="48">
        <v>1260927039.745832</v>
      </c>
      <c r="AV32" s="49">
        <f t="shared" si="51"/>
        <v>2.2510131898000011E-10</v>
      </c>
      <c r="AW32" s="49"/>
      <c r="AX32" s="49"/>
      <c r="AY32" s="37">
        <f t="shared" si="6"/>
        <v>3.692105921857784E-10</v>
      </c>
      <c r="AZ32" s="49">
        <f t="shared" si="52"/>
        <v>3.6921059218577845E-10</v>
      </c>
      <c r="BA32" s="49">
        <f t="shared" si="53"/>
        <v>0.64019737360393791</v>
      </c>
      <c r="BB32" s="50">
        <f t="shared" si="54"/>
        <v>1.4018153751410453E-4</v>
      </c>
      <c r="BC32" s="51">
        <f t="shared" si="7"/>
        <v>2024.776905844504</v>
      </c>
      <c r="BD32" s="51"/>
      <c r="BE32" s="52">
        <f t="shared" si="55"/>
        <v>3321.033763100063</v>
      </c>
      <c r="BF32" s="52">
        <f t="shared" si="27"/>
        <v>0.6401973736039378</v>
      </c>
      <c r="BG32" s="53">
        <f t="shared" si="8"/>
        <v>3.8069460808386811E-3</v>
      </c>
      <c r="BH32" s="55">
        <v>74.557488799999987</v>
      </c>
      <c r="BI32" s="42">
        <f t="shared" si="28"/>
        <v>208342.05670588536</v>
      </c>
      <c r="BJ32" s="42"/>
      <c r="BK32" s="42">
        <f t="shared" si="30"/>
        <v>1.8682458834445048</v>
      </c>
      <c r="BL32" s="42">
        <f t="shared" si="9"/>
        <v>1868245.8834445048</v>
      </c>
      <c r="BM32" s="55">
        <f t="shared" si="56"/>
        <v>122.288997312265</v>
      </c>
      <c r="BN32" s="56">
        <f t="shared" si="57"/>
        <v>0.64019737360393791</v>
      </c>
      <c r="BO32" s="45">
        <f t="shared" si="10"/>
        <v>3782781119.2374964</v>
      </c>
      <c r="BP32" s="45">
        <f t="shared" si="31"/>
        <v>0.37827811192374966</v>
      </c>
      <c r="BQ32" s="45">
        <f t="shared" si="11"/>
        <v>1.1063673947365391</v>
      </c>
      <c r="BR32">
        <v>15.825305</v>
      </c>
      <c r="BS32"/>
      <c r="BT32"/>
      <c r="BU32"/>
      <c r="BV32">
        <f t="shared" si="33"/>
        <v>0.25137608350806889</v>
      </c>
      <c r="BW32"/>
      <c r="BX32" s="45">
        <f t="shared" si="48"/>
        <v>6.9748258098570313E-11</v>
      </c>
      <c r="BY32"/>
      <c r="BZ32"/>
      <c r="CA32" s="24"/>
      <c r="CB32" s="24"/>
    </row>
    <row r="33" spans="1:80" ht="15">
      <c r="A33" s="28" t="s">
        <v>64</v>
      </c>
      <c r="B33" s="66"/>
      <c r="C33" s="28">
        <v>3</v>
      </c>
      <c r="D33" s="67">
        <v>24.785</v>
      </c>
      <c r="E33" s="67">
        <v>24.72</v>
      </c>
      <c r="F33" s="24">
        <f t="shared" si="0"/>
        <v>4.1455933791499998E-26</v>
      </c>
      <c r="G33" s="24">
        <f t="shared" si="1"/>
        <v>2.2518401203199998E-29</v>
      </c>
      <c r="H33" s="25">
        <f t="shared" si="13"/>
        <v>1845.8211004781881</v>
      </c>
      <c r="I33" s="25">
        <f t="shared" si="14"/>
        <v>1.0026294498381878</v>
      </c>
      <c r="J33" s="26">
        <f t="shared" si="15"/>
        <v>4.1433415390296795E-26</v>
      </c>
      <c r="K33" s="28">
        <v>52.812707000000003</v>
      </c>
      <c r="L33" s="28"/>
      <c r="M33" s="29">
        <f t="shared" si="16"/>
        <v>1.0416666666666667E-3</v>
      </c>
      <c r="N33" s="28">
        <v>960</v>
      </c>
      <c r="O33" s="28">
        <v>2.5195547395480521E-5</v>
      </c>
      <c r="P33" s="28">
        <v>3.1944977764052052E-4</v>
      </c>
      <c r="Q33">
        <f t="shared" si="17"/>
        <v>2.390160715889121E+28</v>
      </c>
      <c r="T33" s="24">
        <f>0.345*T3+0.59*T4+0.065*T11</f>
        <v>2.5429000000000001E-10</v>
      </c>
      <c r="U33" s="31">
        <f t="shared" si="19"/>
        <v>3.0072284928767905E-10</v>
      </c>
      <c r="V33" s="31"/>
      <c r="W33" s="24"/>
      <c r="X33" s="31">
        <f t="shared" si="21"/>
        <v>2.5428999999999999</v>
      </c>
      <c r="Y33" s="24">
        <v>2110100.6</v>
      </c>
      <c r="Z33" s="28">
        <v>1885.1934295243609</v>
      </c>
      <c r="AH33" s="28">
        <v>3</v>
      </c>
      <c r="AI33" s="28">
        <v>4</v>
      </c>
      <c r="AJ33" s="28">
        <f t="shared" si="24"/>
        <v>7</v>
      </c>
      <c r="AL33" s="46">
        <v>0.82855603900974906</v>
      </c>
      <c r="AM33" s="33">
        <f t="shared" si="2"/>
        <v>0.44305679600100989</v>
      </c>
      <c r="AN33" s="33">
        <f t="shared" si="26"/>
        <v>0.46526634875471984</v>
      </c>
      <c r="AO33" s="33"/>
      <c r="AP33" s="33"/>
      <c r="AQ33" s="46">
        <v>0.33711022330844781</v>
      </c>
      <c r="AR33" s="47">
        <f t="shared" si="50"/>
        <v>0.59313527699183033</v>
      </c>
      <c r="AS33" s="34">
        <f t="shared" si="4"/>
        <v>5185109.6218861248</v>
      </c>
      <c r="AT33" s="34">
        <f t="shared" si="5"/>
        <v>2772652.600218202</v>
      </c>
      <c r="AU33" s="48">
        <v>1742328821.428329</v>
      </c>
      <c r="AV33" s="49">
        <f t="shared" si="51"/>
        <v>1.9348255000000005E-10</v>
      </c>
      <c r="AW33" s="49"/>
      <c r="AX33" s="49"/>
      <c r="AY33" s="37">
        <f t="shared" si="6"/>
        <v>4.7554516048842826E-10</v>
      </c>
      <c r="AZ33" s="49">
        <f t="shared" si="52"/>
        <v>4.7554516048842846E-10</v>
      </c>
      <c r="BA33" s="49">
        <f t="shared" si="53"/>
        <v>1.4578193769331051</v>
      </c>
      <c r="BB33" s="50">
        <f t="shared" si="54"/>
        <v>1.7881996511811605E-4</v>
      </c>
      <c r="BC33" s="51">
        <f t="shared" si="7"/>
        <v>1885.1934295243609</v>
      </c>
      <c r="BD33" s="51"/>
      <c r="BE33" s="52">
        <f t="shared" si="55"/>
        <v>4633.4649403519479</v>
      </c>
      <c r="BF33" s="52">
        <f t="shared" si="27"/>
        <v>1.4578193769331049</v>
      </c>
      <c r="BG33" s="53">
        <f t="shared" si="8"/>
        <v>4.8256149689507762E-3</v>
      </c>
      <c r="BH33" s="55">
        <v>69.858500000000006</v>
      </c>
      <c r="BI33" s="42">
        <f t="shared" si="28"/>
        <v>329997.30022315995</v>
      </c>
      <c r="BJ33" s="42"/>
      <c r="BK33" s="42">
        <f t="shared" si="30"/>
        <v>2.7726526002182017</v>
      </c>
      <c r="BL33" s="42">
        <f t="shared" si="9"/>
        <v>2772652.6002182015</v>
      </c>
      <c r="BM33" s="55">
        <f t="shared" si="56"/>
        <v>171.69957494348131</v>
      </c>
      <c r="BN33" s="56">
        <f t="shared" si="57"/>
        <v>1.4578193769331047</v>
      </c>
      <c r="BO33" s="45">
        <f t="shared" si="10"/>
        <v>5226986464.2849884</v>
      </c>
      <c r="BP33" s="45">
        <f t="shared" si="31"/>
        <v>0.52269864642849884</v>
      </c>
      <c r="BQ33" s="45">
        <f t="shared" si="11"/>
        <v>1.3291703880030297</v>
      </c>
      <c r="BR33">
        <v>11.825414</v>
      </c>
      <c r="BS33"/>
      <c r="BT33">
        <v>0.86751984321381936</v>
      </c>
      <c r="BU33">
        <f t="shared" si="32"/>
        <v>0.27085167873613741</v>
      </c>
      <c r="BV33">
        <f t="shared" si="33"/>
        <v>0.29079827298894118</v>
      </c>
      <c r="BW33"/>
      <c r="BX33" s="45">
        <f t="shared" si="48"/>
        <v>7.0152371915140857E-11</v>
      </c>
      <c r="BY33"/>
      <c r="BZ33"/>
      <c r="CA33" s="24"/>
      <c r="CB33" s="24"/>
    </row>
    <row r="34" spans="1:80" ht="15">
      <c r="A34" s="28" t="s">
        <v>177</v>
      </c>
      <c r="B34" s="66"/>
      <c r="C34" s="28">
        <v>2</v>
      </c>
      <c r="D34" s="67">
        <v>26.687999999999999</v>
      </c>
      <c r="E34" s="67">
        <v>26.687999999999999</v>
      </c>
      <c r="F34" s="24">
        <f t="shared" si="0"/>
        <v>4.46389332672E-26</v>
      </c>
      <c r="G34" s="24">
        <f t="shared" si="1"/>
        <v>2.4311128289279996E-29</v>
      </c>
      <c r="H34" s="25">
        <f t="shared" si="13"/>
        <v>1836.1522647586687</v>
      </c>
      <c r="I34" s="25">
        <f t="shared" si="14"/>
        <v>1</v>
      </c>
      <c r="J34" s="26">
        <f t="shared" si="15"/>
        <v>4.4614622138910719E-26</v>
      </c>
      <c r="K34" s="28">
        <v>55.835751400000007</v>
      </c>
      <c r="L34" s="28">
        <f>0.087*EXP(20900/(8.3144598*N34))/1000</f>
        <v>4.643717802745531E-3</v>
      </c>
      <c r="M34" s="29">
        <f t="shared" si="16"/>
        <v>1.5822784810126582E-3</v>
      </c>
      <c r="N34" s="28">
        <v>632</v>
      </c>
      <c r="O34" s="28">
        <v>3.2950648962882389E-5</v>
      </c>
      <c r="P34" s="28">
        <v>3.3829968336054601E-4</v>
      </c>
      <c r="Q34">
        <f t="shared" si="17"/>
        <v>1.8276243259377696E+28</v>
      </c>
      <c r="T34" s="24">
        <f>0.582*T7+0.418*T9</f>
        <v>2.8291599999999996E-10</v>
      </c>
      <c r="U34" s="31">
        <f t="shared" si="19"/>
        <v>3.3127758854843403E-10</v>
      </c>
      <c r="V34" s="31"/>
      <c r="W34" s="24"/>
      <c r="X34" s="31">
        <f t="shared" si="21"/>
        <v>2.8291599999999995</v>
      </c>
      <c r="Y34" s="24">
        <v>1676175.3472</v>
      </c>
      <c r="Z34" s="28">
        <v>2084.8843456983841</v>
      </c>
      <c r="AH34" s="28">
        <v>2</v>
      </c>
      <c r="AI34" s="28">
        <v>2</v>
      </c>
      <c r="AJ34" s="28">
        <f t="shared" si="24"/>
        <v>4</v>
      </c>
      <c r="AL34" s="46">
        <v>0.58438111223711209</v>
      </c>
      <c r="AM34" s="33">
        <f t="shared" si="2"/>
        <v>0.40937294269104435</v>
      </c>
      <c r="AN34" s="33">
        <f t="shared" si="26"/>
        <v>0.29947608826046096</v>
      </c>
      <c r="AO34" s="33"/>
      <c r="AP34" s="33"/>
      <c r="AQ34" s="46">
        <v>0.33404178089988812</v>
      </c>
      <c r="AR34" s="47">
        <f t="shared" si="50"/>
        <v>0.42838367992230558</v>
      </c>
      <c r="AS34" s="34">
        <f t="shared" si="4"/>
        <v>2972199.4380712733</v>
      </c>
      <c r="AT34" s="34">
        <f t="shared" si="5"/>
        <v>2082096.7768277484</v>
      </c>
      <c r="AU34" s="48">
        <v>1446976992.079078</v>
      </c>
      <c r="AV34" s="49">
        <f t="shared" si="51"/>
        <v>2.3085493600000004E-10</v>
      </c>
      <c r="AW34" s="49"/>
      <c r="AX34" s="49"/>
      <c r="AY34" s="37">
        <f t="shared" si="6"/>
        <v>4.0386344457174019E-10</v>
      </c>
      <c r="AZ34" s="49">
        <f t="shared" si="52"/>
        <v>4.0386344457174019E-10</v>
      </c>
      <c r="BA34" s="49">
        <f t="shared" si="53"/>
        <v>0.74942520861559625</v>
      </c>
      <c r="BB34" s="50">
        <f t="shared" si="54"/>
        <v>1.6022077272012539E-4</v>
      </c>
      <c r="BC34" s="51">
        <f t="shared" si="7"/>
        <v>2084.8843456983841</v>
      </c>
      <c r="BD34" s="51"/>
      <c r="BE34" s="52">
        <f t="shared" si="55"/>
        <v>3647.3492314127866</v>
      </c>
      <c r="BF34" s="52">
        <f t="shared" si="27"/>
        <v>0.74942520861559625</v>
      </c>
      <c r="BG34" s="53">
        <f t="shared" si="8"/>
        <v>4.8689566300173584E-3</v>
      </c>
      <c r="BH34" s="55">
        <v>68.606440000000006</v>
      </c>
      <c r="BI34" s="42">
        <f t="shared" si="28"/>
        <v>252330.76979816559</v>
      </c>
      <c r="BJ34" s="42"/>
      <c r="BK34" s="42">
        <f t="shared" si="30"/>
        <v>2.0820967768277483</v>
      </c>
      <c r="BL34" s="42">
        <f t="shared" si="9"/>
        <v>2082096.7768277482</v>
      </c>
      <c r="BM34" s="55">
        <f t="shared" si="56"/>
        <v>120.0218356093734</v>
      </c>
      <c r="BN34" s="56">
        <f t="shared" si="57"/>
        <v>0.74942520861559625</v>
      </c>
      <c r="BO34" s="45">
        <f t="shared" si="10"/>
        <v>4340930976.2372341</v>
      </c>
      <c r="BP34" s="45">
        <f t="shared" si="31"/>
        <v>0.43409309762372345</v>
      </c>
      <c r="BQ34" s="45">
        <f t="shared" si="11"/>
        <v>1.2281188280731332</v>
      </c>
      <c r="BR34">
        <v>11.149857000000001</v>
      </c>
      <c r="BS34"/>
      <c r="BT34"/>
      <c r="BU34"/>
      <c r="BV34">
        <f t="shared" si="33"/>
        <v>0.29947829454524799</v>
      </c>
      <c r="BW34"/>
      <c r="BX34" s="45">
        <f t="shared" si="48"/>
        <v>8.0379280649617566E-11</v>
      </c>
      <c r="BY34"/>
      <c r="BZ34"/>
      <c r="CA34" s="24">
        <f t="shared" ref="CA34:CA41" si="58">L34/(Y34/1000*(Z34+AA34*N34))</f>
        <v>1.3288146350028744E-9</v>
      </c>
      <c r="CB34" s="24"/>
    </row>
    <row r="35" spans="1:80" ht="15">
      <c r="A35" s="28" t="s">
        <v>178</v>
      </c>
      <c r="B35" s="66"/>
      <c r="C35" s="28">
        <v>2</v>
      </c>
      <c r="D35" s="67">
        <v>15.2</v>
      </c>
      <c r="E35" s="67">
        <v>15.2</v>
      </c>
      <c r="F35" s="24">
        <f t="shared" si="0"/>
        <v>2.5423852879999997E-26</v>
      </c>
      <c r="G35" s="24">
        <f t="shared" si="1"/>
        <v>1.3846266111999999E-29</v>
      </c>
      <c r="H35" s="25">
        <f t="shared" si="13"/>
        <v>1836.152264758668</v>
      </c>
      <c r="I35" s="25">
        <f t="shared" si="14"/>
        <v>1</v>
      </c>
      <c r="J35" s="26">
        <f t="shared" si="15"/>
        <v>2.5410006613887998E-26</v>
      </c>
      <c r="K35" s="28">
        <v>32.358600000000003</v>
      </c>
      <c r="L35" s="28">
        <f>0.116*EXP(26800/(8.3144598*N35))/1000</f>
        <v>3.9071251973790879E-3</v>
      </c>
      <c r="M35" s="29">
        <f t="shared" si="16"/>
        <v>1.0911074740861974E-3</v>
      </c>
      <c r="N35" s="28">
        <v>916.5</v>
      </c>
      <c r="O35" s="28">
        <v>1.5885583505580338E-5</v>
      </c>
      <c r="P35" s="28">
        <v>2.7773488865206569E-4</v>
      </c>
      <c r="Q35">
        <f t="shared" si="17"/>
        <v>3.7909471552521337E+28</v>
      </c>
      <c r="T35" s="24">
        <f>0.6*T2+0.4*T3</f>
        <v>2.1940000000000001E-10</v>
      </c>
      <c r="U35" s="31">
        <f t="shared" si="19"/>
        <v>2.585403768101462E-10</v>
      </c>
      <c r="V35" s="31"/>
      <c r="W35" s="24"/>
      <c r="X35" s="31">
        <f t="shared" si="21"/>
        <v>2.194</v>
      </c>
      <c r="Y35" s="24">
        <v>2014141.42</v>
      </c>
      <c r="Z35" s="28">
        <v>2298.228366828082</v>
      </c>
      <c r="AH35" s="28">
        <v>2</v>
      </c>
      <c r="AI35" s="28">
        <v>2</v>
      </c>
      <c r="AJ35" s="28">
        <f t="shared" si="24"/>
        <v>4</v>
      </c>
      <c r="AL35" s="46">
        <v>0.86544945017475028</v>
      </c>
      <c r="AM35" s="33">
        <f t="shared" si="2"/>
        <v>0.7046599791446102</v>
      </c>
      <c r="AN35" s="33">
        <f t="shared" si="26"/>
        <v>0.18578724730563259</v>
      </c>
      <c r="AO35" s="33">
        <f>1/3*BL35*BC35*AW35</f>
        <v>0.61490801049838506</v>
      </c>
      <c r="AP35" s="33">
        <f>1/3*BL35*BC35*AX35</f>
        <v>0.73223097949286997</v>
      </c>
      <c r="AQ35" s="46">
        <v>0.56745362404407373</v>
      </c>
      <c r="AR35" s="47">
        <f t="shared" si="50"/>
        <v>0.34432493552397042</v>
      </c>
      <c r="AS35" s="34">
        <f t="shared" si="4"/>
        <v>5149121.7057821807</v>
      </c>
      <c r="AT35" s="34">
        <f t="shared" si="5"/>
        <v>4192480.558023226</v>
      </c>
      <c r="AU35" s="48">
        <v>3211759248.6080689</v>
      </c>
      <c r="AV35" s="49">
        <f t="shared" si="51"/>
        <v>1.7668000000000003E-10</v>
      </c>
      <c r="AW35" s="49">
        <v>1.9145520037495888E-10</v>
      </c>
      <c r="AX35" s="49">
        <v>2.2798439198399093E-10</v>
      </c>
      <c r="AY35" s="37">
        <f t="shared" si="6"/>
        <v>2.6946274087941807E-10</v>
      </c>
      <c r="AZ35" s="49">
        <f t="shared" si="52"/>
        <v>2.6946274087941797E-10</v>
      </c>
      <c r="BA35" s="49">
        <f t="shared" si="53"/>
        <v>0.52514569209541506</v>
      </c>
      <c r="BB35" s="50">
        <f t="shared" si="54"/>
        <v>2.4690915499718129E-4</v>
      </c>
      <c r="BC35" s="51">
        <f t="shared" si="7"/>
        <v>2298.228366828082</v>
      </c>
      <c r="BD35" s="51"/>
      <c r="BE35" s="52">
        <f t="shared" si="55"/>
        <v>3505.1330931193306</v>
      </c>
      <c r="BF35" s="52">
        <f t="shared" si="27"/>
        <v>0.52514569209541506</v>
      </c>
      <c r="BG35" s="53">
        <f t="shared" si="8"/>
        <v>8.5203246853464507E-3</v>
      </c>
      <c r="BH35" s="55">
        <v>66.600000000000009</v>
      </c>
      <c r="BI35" s="42">
        <f t="shared" si="28"/>
        <v>523396.73989517032</v>
      </c>
      <c r="BJ35" s="42"/>
      <c r="BK35" s="42">
        <f t="shared" si="30"/>
        <v>4.1924805580232256</v>
      </c>
      <c r="BL35" s="42">
        <f t="shared" si="9"/>
        <v>4192480.558023226</v>
      </c>
      <c r="BM35" s="55">
        <f t="shared" si="56"/>
        <v>101.57470309355466</v>
      </c>
      <c r="BN35" s="56">
        <f t="shared" si="57"/>
        <v>0.52514569209541517</v>
      </c>
      <c r="BO35" s="45">
        <f t="shared" si="10"/>
        <v>9635277745.8242054</v>
      </c>
      <c r="BP35" s="45">
        <f t="shared" si="31"/>
        <v>0.96352777458242056</v>
      </c>
      <c r="BQ35" s="45">
        <f t="shared" si="11"/>
        <v>2.1139799374338306</v>
      </c>
      <c r="BR35">
        <v>7.2110900000000004</v>
      </c>
      <c r="BS35"/>
      <c r="BT35">
        <v>0.84938808944422806</v>
      </c>
      <c r="BU35">
        <f t="shared" si="32"/>
        <v>0.34320422489180508</v>
      </c>
      <c r="BV35">
        <f t="shared" si="33"/>
        <v>0.372391313567767</v>
      </c>
      <c r="BW35"/>
      <c r="BX35" s="45">
        <f t="shared" si="48"/>
        <v>7.7509943442870599E-11</v>
      </c>
      <c r="BY35"/>
      <c r="BZ35"/>
      <c r="CA35" s="24">
        <f t="shared" si="58"/>
        <v>8.4406168446792717E-10</v>
      </c>
      <c r="CB35" s="24"/>
    </row>
    <row r="36" spans="1:80" ht="15">
      <c r="A36" s="28" t="s">
        <v>179</v>
      </c>
      <c r="B36" s="66"/>
      <c r="C36" s="28">
        <v>2</v>
      </c>
      <c r="D36" s="67">
        <v>57.97</v>
      </c>
      <c r="E36" s="67">
        <v>57.23</v>
      </c>
      <c r="F36" s="24">
        <f t="shared" si="0"/>
        <v>9.6961891543000003E-26</v>
      </c>
      <c r="G36" s="24">
        <f t="shared" si="1"/>
        <v>5.2133013788799995E-29</v>
      </c>
      <c r="H36" s="25">
        <f t="shared" si="13"/>
        <v>1883.9431857125064</v>
      </c>
      <c r="I36" s="25">
        <f t="shared" si="14"/>
        <v>1.0129302813209855</v>
      </c>
      <c r="J36" s="26">
        <f t="shared" si="15"/>
        <v>9.6909758529211207E-26</v>
      </c>
      <c r="K36" s="28">
        <v>164.240723</v>
      </c>
      <c r="L36" s="28">
        <f>10^(-1.2675+1704/N36+0/N36^2)/1000</f>
        <v>8.0532167424896099E-3</v>
      </c>
      <c r="M36" s="29">
        <f t="shared" si="16"/>
        <v>1.2755102040816326E-3</v>
      </c>
      <c r="N36" s="28">
        <v>784</v>
      </c>
      <c r="O36" s="28">
        <v>4.607843109406244E-5</v>
      </c>
      <c r="P36" s="28">
        <v>3.4092675768507421E-4</v>
      </c>
      <c r="Q36">
        <f t="shared" si="17"/>
        <v>1.3069326834732441E+28</v>
      </c>
      <c r="T36" s="24">
        <f>0.63*T8+0.37*T22</f>
        <v>2.8818000000000003E-10</v>
      </c>
      <c r="U36" s="31">
        <f t="shared" si="19"/>
        <v>3.5635852301625209E-10</v>
      </c>
      <c r="V36" s="31">
        <v>2.6581899999999998</v>
      </c>
      <c r="W36" s="24"/>
      <c r="X36" s="31">
        <f t="shared" si="21"/>
        <v>2.8818000000000001</v>
      </c>
      <c r="Y36" s="24">
        <v>2996639.6639999989</v>
      </c>
      <c r="Z36" s="28">
        <v>1451.7494609289899</v>
      </c>
      <c r="AH36" s="28">
        <v>2</v>
      </c>
      <c r="AI36" s="28">
        <v>4</v>
      </c>
      <c r="AJ36" s="28">
        <f t="shared" si="24"/>
        <v>6</v>
      </c>
      <c r="AL36" s="46">
        <v>0.23926257714495269</v>
      </c>
      <c r="AM36" s="33">
        <f t="shared" si="2"/>
        <v>0.30071201279338977</v>
      </c>
      <c r="AN36" s="33">
        <f t="shared" si="26"/>
        <v>0.2568284450568678</v>
      </c>
      <c r="AO36" s="33">
        <f>1/3*BL36*BC36*AW36</f>
        <v>0.2841819778633502</v>
      </c>
      <c r="AP36" s="33">
        <f>1/3*BL36*BC36*AX36</f>
        <v>0.29301529878909899</v>
      </c>
      <c r="AQ36" s="46">
        <v>0.24768639859495001</v>
      </c>
      <c r="AR36" s="47">
        <f t="shared" si="50"/>
        <v>-3.5207434236127544E-2</v>
      </c>
      <c r="AS36" s="34">
        <f t="shared" si="4"/>
        <v>1715696.7182316666</v>
      </c>
      <c r="AT36" s="34">
        <f t="shared" si="5"/>
        <v>2156336.4385642759</v>
      </c>
      <c r="AU36" s="48">
        <v>1043486754.089075</v>
      </c>
      <c r="AV36" s="49">
        <f t="shared" si="51"/>
        <v>2.3736419999999999E-10</v>
      </c>
      <c r="AW36" s="49">
        <v>2.7233884546184811E-10</v>
      </c>
      <c r="AX36" s="49">
        <v>2.8080404244794684E-10</v>
      </c>
      <c r="AY36" s="37">
        <f t="shared" si="6"/>
        <v>2.2929143681734602E-10</v>
      </c>
      <c r="AZ36" s="49">
        <f t="shared" si="52"/>
        <v>2.292914368173461E-10</v>
      </c>
      <c r="BA36" s="49">
        <f t="shared" si="53"/>
        <v>-3.4010028397938236E-2</v>
      </c>
      <c r="BB36" s="50">
        <f t="shared" si="54"/>
        <v>1.7061235789021947E-4</v>
      </c>
      <c r="BC36" s="51">
        <f t="shared" si="7"/>
        <v>1451.7494609289899</v>
      </c>
      <c r="BD36" s="51"/>
      <c r="BE36" s="52">
        <f t="shared" si="55"/>
        <v>1402.3754205361033</v>
      </c>
      <c r="BF36" s="52">
        <f t="shared" si="27"/>
        <v>-3.401002839793834E-2</v>
      </c>
      <c r="BG36" s="53">
        <f t="shared" si="8"/>
        <v>2.4928029681277083E-3</v>
      </c>
      <c r="BH36" s="55">
        <v>99.360600000000005</v>
      </c>
      <c r="BI36" s="42">
        <f t="shared" si="28"/>
        <v>180441.53025046512</v>
      </c>
      <c r="BJ36" s="42"/>
      <c r="BK36" s="42">
        <f t="shared" si="30"/>
        <v>2.1563364385642765</v>
      </c>
      <c r="BL36" s="42">
        <f t="shared" si="9"/>
        <v>2156336.4385642763</v>
      </c>
      <c r="BM36" s="55">
        <f t="shared" si="56"/>
        <v>95.981343172363822</v>
      </c>
      <c r="BN36" s="56">
        <f t="shared" si="57"/>
        <v>-3.401002839793825E-2</v>
      </c>
      <c r="BO36" s="45">
        <f t="shared" si="10"/>
        <v>3130460262.2672262</v>
      </c>
      <c r="BP36" s="45">
        <f t="shared" si="31"/>
        <v>0.31304602622672262</v>
      </c>
      <c r="BQ36" s="45">
        <f t="shared" si="11"/>
        <v>0.90213603838016931</v>
      </c>
      <c r="BR36">
        <v>20.202092</v>
      </c>
      <c r="BS36"/>
      <c r="BT36">
        <v>0.85032989965629047</v>
      </c>
      <c r="BU36">
        <f t="shared" si="32"/>
        <v>0.20516135221071996</v>
      </c>
      <c r="BV36">
        <f t="shared" si="33"/>
        <v>0.22248555925638236</v>
      </c>
      <c r="BW36"/>
      <c r="BX36" s="45">
        <f t="shared" si="48"/>
        <v>6.082567252784218E-11</v>
      </c>
      <c r="BY36"/>
      <c r="BZ36"/>
      <c r="CA36" s="24">
        <f t="shared" si="58"/>
        <v>1.8511567318115176E-9</v>
      </c>
      <c r="CB36" s="24"/>
    </row>
    <row r="37" spans="1:80" ht="15">
      <c r="A37" s="28" t="s">
        <v>180</v>
      </c>
      <c r="B37" s="66"/>
      <c r="C37" s="28">
        <v>2</v>
      </c>
      <c r="D37" s="67">
        <v>55.701999999999998</v>
      </c>
      <c r="E37" s="67">
        <v>55.018000000000001</v>
      </c>
      <c r="F37" s="24">
        <f t="shared" si="0"/>
        <v>9.3168385073799999E-26</v>
      </c>
      <c r="G37" s="24">
        <f t="shared" si="1"/>
        <v>5.0118017694079994E-29</v>
      </c>
      <c r="H37" s="25">
        <f t="shared" si="13"/>
        <v>1882.0912368640552</v>
      </c>
      <c r="I37" s="25">
        <f t="shared" si="14"/>
        <v>1.0124322948853102</v>
      </c>
      <c r="J37" s="26">
        <f t="shared" si="15"/>
        <v>9.3118267056105916E-26</v>
      </c>
      <c r="K37" s="28">
        <v>156.23418179999999</v>
      </c>
      <c r="L37" s="28">
        <f>10^(-1.2179+1557/N37+0/N37^2)/1000</f>
        <v>5.8623181999963962E-3</v>
      </c>
      <c r="M37" s="29">
        <f>N37^-1</f>
        <v>1.2755102040816326E-3</v>
      </c>
      <c r="N37" s="28">
        <v>784</v>
      </c>
      <c r="O37" s="28">
        <v>4.5172248870240592E-5</v>
      </c>
      <c r="P37" s="28">
        <v>3.4144514086291769E-4</v>
      </c>
      <c r="Q37">
        <f t="shared" si="17"/>
        <v>1.3331505317122648E+28</v>
      </c>
      <c r="T37" s="24">
        <f>0.658*T8+0.342*T22</f>
        <v>2.8778800000000003E-10</v>
      </c>
      <c r="U37" s="31">
        <f t="shared" si="19"/>
        <v>3.5476180350995283E-10</v>
      </c>
      <c r="V37" s="31"/>
      <c r="W37" s="24"/>
      <c r="X37" s="31">
        <f t="shared" si="21"/>
        <v>2.8778800000000002</v>
      </c>
      <c r="Y37" s="24">
        <v>2899543.8624</v>
      </c>
      <c r="Z37" s="28">
        <v>1470.4555590061771</v>
      </c>
      <c r="AH37" s="28">
        <v>2</v>
      </c>
      <c r="AI37" s="28">
        <v>4</v>
      </c>
      <c r="AJ37" s="28">
        <f t="shared" si="24"/>
        <v>6</v>
      </c>
      <c r="AL37" s="46">
        <v>0.27567442291687039</v>
      </c>
      <c r="AM37" s="33">
        <f t="shared" si="2"/>
        <v>0.30324621782896993</v>
      </c>
      <c r="AN37" s="33">
        <f t="shared" si="26"/>
        <v>0.10001578898893286</v>
      </c>
      <c r="AO37" s="33">
        <f>1/3*BL37*BC37*AW37</f>
        <v>0.28696722884280707</v>
      </c>
      <c r="AP37" s="33">
        <f>1/3*BL37*BC37*AX37</f>
        <v>0.316517898560285</v>
      </c>
      <c r="AQ37" s="46">
        <v>0.25155328115048259</v>
      </c>
      <c r="AR37" s="47">
        <f t="shared" si="50"/>
        <v>8.7498656970659658E-2</v>
      </c>
      <c r="AS37" s="34">
        <f t="shared" si="4"/>
        <v>1954308.6049635103</v>
      </c>
      <c r="AT37" s="34">
        <f t="shared" si="5"/>
        <v>2149770.3220167966</v>
      </c>
      <c r="AU37" s="48">
        <v>1053713906.865366</v>
      </c>
      <c r="AV37" s="49">
        <f t="shared" si="51"/>
        <v>2.3873015199999994E-10</v>
      </c>
      <c r="AW37" s="49">
        <v>2.7233884546184811E-10</v>
      </c>
      <c r="AX37" s="49">
        <v>3.0038314622028315E-10</v>
      </c>
      <c r="AY37" s="37">
        <f t="shared" si="6"/>
        <v>2.6162169932534978E-10</v>
      </c>
      <c r="AZ37" s="49">
        <f t="shared" si="52"/>
        <v>2.6162169932534978E-10</v>
      </c>
      <c r="BA37" s="49">
        <f t="shared" si="53"/>
        <v>9.5888798015551224E-2</v>
      </c>
      <c r="BB37" s="50">
        <f t="shared" si="54"/>
        <v>1.7107166524671954E-4</v>
      </c>
      <c r="BC37" s="51">
        <f t="shared" si="7"/>
        <v>1470.4555590061771</v>
      </c>
      <c r="BD37" s="51"/>
      <c r="BE37" s="52">
        <f t="shared" si="55"/>
        <v>1611.4557750945648</v>
      </c>
      <c r="BF37" s="52">
        <f t="shared" si="27"/>
        <v>9.5888798015551238E-2</v>
      </c>
      <c r="BG37" s="53">
        <f t="shared" si="8"/>
        <v>2.5903963007551708E-3</v>
      </c>
      <c r="BH37" s="55">
        <v>97.109960000000001</v>
      </c>
      <c r="BI37" s="42">
        <f t="shared" si="28"/>
        <v>184061.29484580067</v>
      </c>
      <c r="BJ37" s="42"/>
      <c r="BK37" s="42">
        <f t="shared" si="30"/>
        <v>2.1497703220167965</v>
      </c>
      <c r="BL37" s="42">
        <f t="shared" si="9"/>
        <v>2149770.3220167966</v>
      </c>
      <c r="BM37" s="55">
        <f t="shared" si="56"/>
        <v>106.42171733973825</v>
      </c>
      <c r="BN37" s="56">
        <f t="shared" si="57"/>
        <v>9.5888798015551127E-2</v>
      </c>
      <c r="BO37" s="45">
        <f t="shared" si="10"/>
        <v>3161141720.5960979</v>
      </c>
      <c r="BP37" s="45">
        <f t="shared" si="31"/>
        <v>0.31611417205960979</v>
      </c>
      <c r="BQ37" s="45">
        <f t="shared" si="11"/>
        <v>0.90973865348690997</v>
      </c>
      <c r="BR37">
        <v>19.728639999999999</v>
      </c>
      <c r="BS37"/>
      <c r="BT37">
        <v>0.85032989965629047</v>
      </c>
      <c r="BU37">
        <f t="shared" si="32"/>
        <v>0.20760850977434864</v>
      </c>
      <c r="BV37">
        <f t="shared" si="33"/>
        <v>0.22513935936671312</v>
      </c>
      <c r="BW37"/>
      <c r="BX37" s="45">
        <f t="shared" si="48"/>
        <v>6.1467473368525471E-11</v>
      </c>
      <c r="BY37"/>
      <c r="BZ37"/>
      <c r="CA37" s="24">
        <f t="shared" si="58"/>
        <v>1.3749528367298905E-9</v>
      </c>
      <c r="CB37" s="24"/>
    </row>
    <row r="38" spans="1:80" customFormat="1" ht="18.75">
      <c r="A38" t="s">
        <v>181</v>
      </c>
      <c r="K38">
        <v>128.10887</v>
      </c>
      <c r="L38" s="28">
        <f>0.0767*EXP(39300/(8.3144598*N38))/1000</f>
        <v>9.0410766995504526E-3</v>
      </c>
      <c r="N38">
        <v>991</v>
      </c>
      <c r="O38">
        <v>3.02434243367421E-5</v>
      </c>
      <c r="P38">
        <v>2.3876282234647119E-4</v>
      </c>
      <c r="Q38">
        <f t="shared" si="17"/>
        <v>1.9912231805985765E+28</v>
      </c>
      <c r="R38" s="68"/>
      <c r="S38" s="68"/>
      <c r="T38" s="45">
        <f>0.582*T3+0.388*T4+0.3*T21</f>
        <v>3.0851800000000002E-10</v>
      </c>
      <c r="U38" s="31">
        <f t="shared" si="19"/>
        <v>3.3873081659858262E-10</v>
      </c>
      <c r="V38" s="31"/>
      <c r="W38" s="45"/>
      <c r="X38" s="31">
        <f t="shared" si="21"/>
        <v>3.0851800000000003</v>
      </c>
      <c r="Y38">
        <v>3498633.56</v>
      </c>
      <c r="Z38">
        <f>BC38</f>
        <v>1348.6175138087231</v>
      </c>
      <c r="AH38">
        <v>3</v>
      </c>
      <c r="AI38">
        <v>6</v>
      </c>
      <c r="AJ38" s="28">
        <f t="shared" si="24"/>
        <v>9</v>
      </c>
      <c r="AK38" s="28"/>
      <c r="AL38" s="69">
        <v>0.49395061728395051</v>
      </c>
      <c r="AM38" s="33">
        <f t="shared" si="2"/>
        <v>0.46048978694812209</v>
      </c>
      <c r="AN38" s="33">
        <f t="shared" si="26"/>
        <v>6.7741246118522933E-2</v>
      </c>
      <c r="AO38" s="33"/>
      <c r="AP38" s="33"/>
      <c r="AQ38" s="69">
        <v>0.25347401642401401</v>
      </c>
      <c r="AR38" s="47">
        <f t="shared" si="50"/>
        <v>0.48684340588989905</v>
      </c>
      <c r="AS38" s="34">
        <f t="shared" si="4"/>
        <v>3561520.7957820492</v>
      </c>
      <c r="AT38" s="34">
        <f t="shared" si="5"/>
        <v>3320258.9389987397</v>
      </c>
      <c r="AU38" s="70">
        <v>1492586451.837889</v>
      </c>
      <c r="AV38" s="49">
        <f t="shared" si="51"/>
        <v>1.6982200000000003E-10</v>
      </c>
      <c r="AW38" s="49"/>
      <c r="AX38" s="49"/>
      <c r="AY38" s="37">
        <f t="shared" si="6"/>
        <v>3.3093601826261161E-10</v>
      </c>
      <c r="AZ38" s="49">
        <f t="shared" si="52"/>
        <v>3.3093601826261176E-10</v>
      </c>
      <c r="BA38" s="49">
        <f t="shared" si="53"/>
        <v>0.94872288786265446</v>
      </c>
      <c r="BB38" s="50">
        <f t="shared" si="54"/>
        <v>1.8795100451288126E-4</v>
      </c>
      <c r="BC38" s="71">
        <v>1348.6175138087231</v>
      </c>
      <c r="BD38" s="71"/>
      <c r="BE38" s="52">
        <f t="shared" si="55"/>
        <v>2628.0818161314883</v>
      </c>
      <c r="BF38" s="52">
        <f t="shared" si="27"/>
        <v>0.94872288786265457</v>
      </c>
      <c r="BG38" s="53">
        <f t="shared" si="8"/>
        <v>2.5242393286330268E-3</v>
      </c>
      <c r="BH38" s="72">
        <v>100.416</v>
      </c>
      <c r="BI38" s="42">
        <f t="shared" si="28"/>
        <v>274918.02930702444</v>
      </c>
      <c r="BJ38" s="42"/>
      <c r="BK38" s="42">
        <f t="shared" si="30"/>
        <v>3.32025893899874</v>
      </c>
      <c r="BL38" s="42">
        <f t="shared" si="9"/>
        <v>3320258.9389987402</v>
      </c>
      <c r="BM38" s="55">
        <f t="shared" si="56"/>
        <v>195.68295750761632</v>
      </c>
      <c r="BN38" s="56">
        <f t="shared" si="57"/>
        <v>0.94872288786265468</v>
      </c>
      <c r="BO38" s="45">
        <f t="shared" si="10"/>
        <v>4477759355.51367</v>
      </c>
      <c r="BP38" s="45">
        <f t="shared" si="31"/>
        <v>0.44777593555136702</v>
      </c>
      <c r="BQ38" s="45">
        <f t="shared" si="11"/>
        <v>1.3814693608443664</v>
      </c>
      <c r="BR38">
        <v>13.560829999999999</v>
      </c>
      <c r="BV38">
        <f t="shared" si="33"/>
        <v>0.27155441257725826</v>
      </c>
      <c r="BX38" s="45">
        <f t="shared" si="48"/>
        <v>7.9480140515285723E-11</v>
      </c>
      <c r="CA38" s="24">
        <f t="shared" si="58"/>
        <v>1.9161649880499741E-9</v>
      </c>
      <c r="CB38" s="24"/>
    </row>
    <row r="39" spans="1:80" customFormat="1" ht="18.75">
      <c r="A39" t="s">
        <v>182</v>
      </c>
      <c r="G39" s="68"/>
      <c r="H39" s="68"/>
      <c r="K39">
        <v>154.66795999999999</v>
      </c>
      <c r="L39" s="28">
        <f>0.0767*EXP(39300/(8.3144598*N39))/1000</f>
        <v>8.1514268008243823E-3</v>
      </c>
      <c r="N39">
        <v>1013</v>
      </c>
      <c r="O39">
        <v>3.2645143022437789E-5</v>
      </c>
      <c r="P39">
        <v>2.2077562764566649E-4</v>
      </c>
      <c r="Q39">
        <f t="shared" si="17"/>
        <v>1.8447279449383445E+28</v>
      </c>
      <c r="T39" s="45">
        <f>0.576*T3+0.384*T4+0.4*T21</f>
        <v>3.2822400000000001E-10</v>
      </c>
      <c r="U39" s="31">
        <f t="shared" si="19"/>
        <v>3.5334312098435184E-10</v>
      </c>
      <c r="V39" s="31"/>
      <c r="W39" s="45"/>
      <c r="X39" s="31">
        <f t="shared" si="21"/>
        <v>3.2822400000000003</v>
      </c>
      <c r="Y39">
        <v>3957693.64</v>
      </c>
      <c r="Z39">
        <f>BC39</f>
        <v>1272.126022947567</v>
      </c>
      <c r="AH39">
        <v>3</v>
      </c>
      <c r="AI39">
        <v>6</v>
      </c>
      <c r="AJ39" s="28">
        <f t="shared" si="24"/>
        <v>9</v>
      </c>
      <c r="AK39" s="28"/>
      <c r="AL39" s="69">
        <v>0.45693693693693682</v>
      </c>
      <c r="AM39" s="33">
        <f t="shared" si="2"/>
        <v>0.47293540020198699</v>
      </c>
      <c r="AN39" s="33">
        <f t="shared" si="26"/>
        <v>3.5012409748039611E-2</v>
      </c>
      <c r="AO39" s="33"/>
      <c r="AP39" s="33"/>
      <c r="AQ39" s="69">
        <v>0.24265777297582219</v>
      </c>
      <c r="AR39" s="47">
        <f t="shared" si="50"/>
        <v>0.46894690851111454</v>
      </c>
      <c r="AS39" s="34">
        <f t="shared" si="4"/>
        <v>3283046.6227647751</v>
      </c>
      <c r="AT39" s="34">
        <f t="shared" si="5"/>
        <v>3397993.9963429333</v>
      </c>
      <c r="AU39" s="70">
        <v>1440892196.1891489</v>
      </c>
      <c r="AV39" s="49">
        <f t="shared" si="51"/>
        <v>1.68408E-10</v>
      </c>
      <c r="AW39" s="49"/>
      <c r="AX39" s="49"/>
      <c r="AY39" s="37">
        <f t="shared" si="6"/>
        <v>3.1712083537230426E-10</v>
      </c>
      <c r="AZ39" s="49">
        <f t="shared" si="52"/>
        <v>3.171208353723041E-10</v>
      </c>
      <c r="BA39" s="49">
        <f t="shared" si="53"/>
        <v>0.88305089646753188</v>
      </c>
      <c r="BB39" s="50">
        <f t="shared" si="54"/>
        <v>1.9074979097870697E-4</v>
      </c>
      <c r="BC39" s="71">
        <v>1272.126022947567</v>
      </c>
      <c r="BD39" s="71"/>
      <c r="BE39" s="52">
        <f t="shared" si="55"/>
        <v>2395.4780479310921</v>
      </c>
      <c r="BF39" s="52">
        <f t="shared" si="27"/>
        <v>0.88305089646753188</v>
      </c>
      <c r="BG39" s="53">
        <f t="shared" si="8"/>
        <v>2.1875249979790693E-3</v>
      </c>
      <c r="BH39" s="72">
        <v>110.928</v>
      </c>
      <c r="BI39" s="42">
        <f t="shared" si="28"/>
        <v>254692.17924511805</v>
      </c>
      <c r="BJ39" s="42"/>
      <c r="BK39" s="42">
        <f t="shared" si="30"/>
        <v>3.3979939963429326</v>
      </c>
      <c r="BL39" s="42">
        <f t="shared" si="9"/>
        <v>3397993.9963429328</v>
      </c>
      <c r="BM39" s="55">
        <f t="shared" si="56"/>
        <v>208.88306984335037</v>
      </c>
      <c r="BN39" s="56">
        <f t="shared" si="57"/>
        <v>0.88305089646753188</v>
      </c>
      <c r="BO39" s="45">
        <f t="shared" si="10"/>
        <v>4322676588.5674448</v>
      </c>
      <c r="BP39" s="45">
        <f t="shared" si="31"/>
        <v>0.43226765885674451</v>
      </c>
      <c r="BQ39" s="45">
        <f t="shared" si="11"/>
        <v>1.418806200605961</v>
      </c>
      <c r="BR39">
        <v>14.137014000000001</v>
      </c>
      <c r="BV39">
        <f t="shared" si="33"/>
        <v>0.26596295891484367</v>
      </c>
      <c r="BX39" s="45">
        <f t="shared" si="48"/>
        <v>8.2815712857628237E-11</v>
      </c>
      <c r="CA39" s="24">
        <f t="shared" si="58"/>
        <v>1.619053960080521E-9</v>
      </c>
      <c r="CB39" s="24"/>
    </row>
    <row r="40" spans="1:80" customFormat="1" ht="18.75">
      <c r="A40" t="s">
        <v>183</v>
      </c>
      <c r="G40" s="68"/>
      <c r="H40" s="68"/>
      <c r="K40">
        <v>181.22704999999999</v>
      </c>
      <c r="L40" s="28">
        <f>0.0767*EXP(39300/(8.3144598*N40))/1000</f>
        <v>7.8587878713746243E-3</v>
      </c>
      <c r="N40">
        <v>1021</v>
      </c>
      <c r="O40">
        <v>3.4949140082044292E-5</v>
      </c>
      <c r="P40">
        <v>2.050117820240356E-4</v>
      </c>
      <c r="Q40">
        <f t="shared" si="17"/>
        <v>1.7231155747645922E+28</v>
      </c>
      <c r="T40" s="45">
        <f>0.57*T3+0.38*T4+0.5*T21</f>
        <v>3.4792999999999996E-10</v>
      </c>
      <c r="U40" s="31">
        <f t="shared" si="19"/>
        <v>3.6754710217269911E-10</v>
      </c>
      <c r="V40" s="31"/>
      <c r="W40" s="45"/>
      <c r="X40" s="31">
        <f t="shared" si="21"/>
        <v>3.4792999999999994</v>
      </c>
      <c r="Y40">
        <v>4426131.4000000004</v>
      </c>
      <c r="Z40">
        <f>BC40</f>
        <v>1215.1718333840431</v>
      </c>
      <c r="AH40">
        <v>3</v>
      </c>
      <c r="AI40">
        <v>6</v>
      </c>
      <c r="AJ40" s="28">
        <f t="shared" si="24"/>
        <v>9</v>
      </c>
      <c r="AK40" s="28"/>
      <c r="AL40" s="69">
        <v>0.43928571428571439</v>
      </c>
      <c r="AM40" s="33">
        <f t="shared" si="2"/>
        <v>0.48970392040175686</v>
      </c>
      <c r="AN40" s="33">
        <f t="shared" si="26"/>
        <v>0.1147731521340804</v>
      </c>
      <c r="AO40" s="33"/>
      <c r="AP40" s="33"/>
      <c r="AQ40" s="69">
        <v>0.23920093487850599</v>
      </c>
      <c r="AR40" s="47">
        <f t="shared" si="50"/>
        <v>0.45547754661803525</v>
      </c>
      <c r="AS40" s="34">
        <f t="shared" si="4"/>
        <v>3117014.0748641295</v>
      </c>
      <c r="AT40" s="34">
        <f t="shared" si="5"/>
        <v>3474763.6054825806</v>
      </c>
      <c r="AU40" s="70">
        <v>1407478287.0168049</v>
      </c>
      <c r="AV40" s="49">
        <f t="shared" si="51"/>
        <v>1.6994999999999999E-10</v>
      </c>
      <c r="AW40" s="49"/>
      <c r="AX40" s="49"/>
      <c r="AY40" s="37">
        <f t="shared" si="6"/>
        <v>3.1210834180383304E-10</v>
      </c>
      <c r="AZ40" s="49">
        <f t="shared" si="52"/>
        <v>3.1210834180383304E-10</v>
      </c>
      <c r="BA40" s="49">
        <f t="shared" si="53"/>
        <v>0.83647156106992093</v>
      </c>
      <c r="BB40" s="50">
        <f t="shared" si="54"/>
        <v>1.9684535825058817E-4</v>
      </c>
      <c r="BC40" s="71">
        <v>1215.1718333840431</v>
      </c>
      <c r="BD40" s="71"/>
      <c r="BE40" s="52">
        <f t="shared" si="55"/>
        <v>2231.6285138229914</v>
      </c>
      <c r="BF40" s="52">
        <f t="shared" si="27"/>
        <v>0.83647156106992082</v>
      </c>
      <c r="BG40" s="53">
        <f t="shared" si="8"/>
        <v>1.9697046679718875E-3</v>
      </c>
      <c r="BH40" s="72">
        <v>121.44</v>
      </c>
      <c r="BI40" s="42">
        <f t="shared" si="28"/>
        <v>237901.77951831595</v>
      </c>
      <c r="BJ40" s="42"/>
      <c r="BK40" s="42">
        <f t="shared" si="30"/>
        <v>3.4747636054825808</v>
      </c>
      <c r="BL40" s="42">
        <f t="shared" si="9"/>
        <v>3474763.6054825806</v>
      </c>
      <c r="BM40" s="55">
        <f t="shared" si="56"/>
        <v>223.02110637633118</v>
      </c>
      <c r="BN40" s="56">
        <f t="shared" si="57"/>
        <v>0.83647156106992082</v>
      </c>
      <c r="BO40" s="45">
        <f t="shared" si="10"/>
        <v>4222434861.0504155</v>
      </c>
      <c r="BP40" s="45">
        <f t="shared" si="31"/>
        <v>0.42224348610504159</v>
      </c>
      <c r="BQ40" s="45">
        <f t="shared" si="11"/>
        <v>1.4691117612052709</v>
      </c>
      <c r="BR40">
        <v>14.713198</v>
      </c>
      <c r="BV40">
        <f t="shared" si="33"/>
        <v>0.2607032590276197</v>
      </c>
      <c r="BX40" s="45">
        <f t="shared" si="48"/>
        <v>8.6051727262289109E-11</v>
      </c>
      <c r="CA40" s="24">
        <f t="shared" si="58"/>
        <v>1.4611458502924743E-9</v>
      </c>
      <c r="CB40" s="24"/>
    </row>
    <row r="41" spans="1:80" ht="15">
      <c r="A41" s="73" t="s">
        <v>184</v>
      </c>
      <c r="B41" s="66">
        <v>0.01</v>
      </c>
      <c r="C41" s="73">
        <v>1</v>
      </c>
      <c r="D41" s="73">
        <v>10</v>
      </c>
      <c r="E41" s="73">
        <v>10</v>
      </c>
      <c r="F41" s="24">
        <f>D41*1.6726219E-27</f>
        <v>1.6726219000000001E-26</v>
      </c>
      <c r="G41" s="24">
        <f t="shared" si="1"/>
        <v>9.1093856E-30</v>
      </c>
      <c r="H41" s="25">
        <f t="shared" si="13"/>
        <v>1836.1522647586683</v>
      </c>
      <c r="I41" s="25">
        <f t="shared" si="14"/>
        <v>1</v>
      </c>
      <c r="J41" s="26">
        <f t="shared" si="15"/>
        <v>1.6717109614400002E-26</v>
      </c>
      <c r="K41" s="58">
        <v>18.015000000000001</v>
      </c>
      <c r="L41" s="74">
        <v>1.7930000000000001E-3</v>
      </c>
      <c r="M41" s="29">
        <f t="shared" si="16"/>
        <v>3.6609921288669233E-3</v>
      </c>
      <c r="N41" s="28">
        <v>273.14999999999998</v>
      </c>
      <c r="O41" s="62">
        <v>1.802E-5</v>
      </c>
      <c r="P41" s="62">
        <v>5.1E-5</v>
      </c>
      <c r="Q41">
        <f t="shared" si="17"/>
        <v>3.3419205105438402E+28</v>
      </c>
      <c r="T41" s="24">
        <v>3.1000000000000002E-10</v>
      </c>
      <c r="U41" s="31">
        <f t="shared" si="19"/>
        <v>3.1022844218488876E-10</v>
      </c>
      <c r="V41" s="31"/>
      <c r="W41" s="24"/>
      <c r="X41" s="31">
        <f t="shared" si="21"/>
        <v>3.1</v>
      </c>
      <c r="Y41" s="24">
        <v>999840</v>
      </c>
      <c r="Z41" s="28">
        <v>1403</v>
      </c>
      <c r="AA41" s="28">
        <v>0</v>
      </c>
      <c r="AB41" s="62">
        <v>999840</v>
      </c>
      <c r="AC41" s="28">
        <v>0</v>
      </c>
      <c r="AL41" s="75">
        <v>0.56100000000000005</v>
      </c>
      <c r="AM41" s="33">
        <f t="shared" si="2"/>
        <v>0.60645622271550126</v>
      </c>
      <c r="AN41" s="33">
        <f t="shared" si="26"/>
        <v>8.1027134965242775E-2</v>
      </c>
      <c r="AO41" s="33"/>
      <c r="AP41" s="33"/>
      <c r="AQ41" s="75">
        <f>AU41*T41</f>
        <v>0.60645622271550126</v>
      </c>
      <c r="AR41" s="47">
        <f t="shared" si="50"/>
        <v>-8.1027134965242775E-2</v>
      </c>
      <c r="AS41" s="34">
        <f t="shared" si="4"/>
        <v>3869588.2095969468</v>
      </c>
      <c r="AT41" s="34">
        <f t="shared" si="5"/>
        <v>4183129.8557158709</v>
      </c>
      <c r="AU41" s="48">
        <f>1/3*BH41/O41*Z41</f>
        <v>1956310395.8564556</v>
      </c>
      <c r="AV41" s="76">
        <f>T41</f>
        <v>3.1000000000000002E-10</v>
      </c>
      <c r="AW41" s="76"/>
      <c r="AX41" s="76"/>
      <c r="AY41" s="37">
        <f t="shared" si="6"/>
        <v>2.8676430958411341E-10</v>
      </c>
      <c r="AZ41" s="49">
        <f>AL41/(1/3*BH41/O41*Z41)</f>
        <v>2.8676430958411341E-10</v>
      </c>
      <c r="BA41" s="49">
        <f t="shared" si="53"/>
        <v>-7.4953840051247111E-2</v>
      </c>
      <c r="BB41" s="50">
        <f t="shared" si="54"/>
        <v>4.3225675175730669E-4</v>
      </c>
      <c r="BC41" s="51">
        <f>Z41+AA41*N41</f>
        <v>1403</v>
      </c>
      <c r="BD41" s="51"/>
      <c r="BE41" s="52">
        <f t="shared" si="55"/>
        <v>1297.8397624081001</v>
      </c>
      <c r="BF41" s="52">
        <f t="shared" si="27"/>
        <v>-7.495384005124725E-2</v>
      </c>
      <c r="BG41" s="53">
        <f t="shared" si="8"/>
        <v>8.0453200147983725E-3</v>
      </c>
      <c r="BH41" s="77">
        <v>75.38</v>
      </c>
      <c r="BI41" s="42">
        <f t="shared" si="28"/>
        <v>461401.92109618429</v>
      </c>
      <c r="BJ41" s="42"/>
      <c r="BK41" s="42">
        <f t="shared" si="30"/>
        <v>4.1831298557158707</v>
      </c>
      <c r="BL41" s="42">
        <f t="shared" si="9"/>
        <v>4183129.8557158709</v>
      </c>
      <c r="BM41" s="55">
        <f t="shared" si="56"/>
        <v>69.72997953693698</v>
      </c>
      <c r="BN41" s="56">
        <f t="shared" si="57"/>
        <v>-7.4953840051247222E-2</v>
      </c>
      <c r="BO41" s="45">
        <f t="shared" si="10"/>
        <v>5868931187.5693665</v>
      </c>
      <c r="BP41" s="45">
        <f t="shared" si="31"/>
        <v>0.58689311875693662</v>
      </c>
      <c r="BQ41" s="45">
        <f t="shared" si="11"/>
        <v>1.8193686681465038</v>
      </c>
      <c r="BR41"/>
      <c r="BS41"/>
      <c r="BT41"/>
      <c r="BU41"/>
      <c r="BV41"/>
      <c r="BW41"/>
      <c r="BX41"/>
      <c r="BY41"/>
      <c r="BZ41"/>
      <c r="CA41" s="24">
        <f t="shared" si="58"/>
        <v>1.2781802750592626E-9</v>
      </c>
      <c r="CB41" s="24"/>
    </row>
    <row r="42" spans="1:80">
      <c r="M42" s="28"/>
      <c r="N42" s="28"/>
      <c r="AN42" s="78">
        <f>AVERAGE(AN2:AN41)</f>
        <v>0.26496424665034751</v>
      </c>
    </row>
    <row r="43" spans="1:80">
      <c r="M43" s="28"/>
      <c r="N43" s="28"/>
      <c r="AN43" s="78">
        <f>MAX(AN2:AN41)</f>
        <v>0.5544690106921496</v>
      </c>
    </row>
    <row r="44" spans="1:80">
      <c r="M44" s="28"/>
      <c r="N44" s="28"/>
      <c r="AN44" s="78">
        <f>MIN(AN2:AN41)</f>
        <v>3.5012409748039611E-2</v>
      </c>
      <c r="AV44" s="78">
        <v>0</v>
      </c>
    </row>
    <row r="45" spans="1:80">
      <c r="M45" s="28"/>
      <c r="N45" s="28"/>
      <c r="AV45" s="78">
        <v>250</v>
      </c>
    </row>
    <row r="46" spans="1:80">
      <c r="M46" s="28"/>
      <c r="N46" s="28"/>
      <c r="AM46" s="78" t="s">
        <v>185</v>
      </c>
    </row>
    <row r="47" spans="1:80">
      <c r="M47" s="28"/>
      <c r="N47" s="28"/>
      <c r="AM47" s="78" t="s">
        <v>186</v>
      </c>
    </row>
    <row r="48" spans="1:80">
      <c r="K48" s="28"/>
      <c r="M48" s="28"/>
      <c r="N48" s="28"/>
      <c r="AM48" s="78" t="s">
        <v>187</v>
      </c>
    </row>
    <row r="49" spans="7:39">
      <c r="M49" s="28"/>
      <c r="N49" s="28"/>
      <c r="AM49" s="78" t="s">
        <v>188</v>
      </c>
    </row>
    <row r="50" spans="7:39">
      <c r="M50" s="28"/>
      <c r="N50" s="28"/>
      <c r="AM50" s="78" t="s">
        <v>189</v>
      </c>
    </row>
    <row r="51" spans="7:39">
      <c r="G51" s="73" t="s">
        <v>157</v>
      </c>
      <c r="H51" s="73">
        <v>5.6672851556149997</v>
      </c>
      <c r="M51" s="28"/>
      <c r="N51" s="28"/>
      <c r="AM51" s="78" t="s">
        <v>190</v>
      </c>
    </row>
    <row r="52" spans="7:39">
      <c r="G52" s="73" t="s">
        <v>158</v>
      </c>
      <c r="H52" s="73">
        <v>3.6125286079999999</v>
      </c>
      <c r="M52" s="28"/>
      <c r="N52" s="28"/>
      <c r="AM52" s="78" t="s">
        <v>191</v>
      </c>
    </row>
    <row r="53" spans="7:39">
      <c r="G53" s="73" t="s">
        <v>159</v>
      </c>
      <c r="H53" s="73">
        <v>2.1603079999999997</v>
      </c>
      <c r="M53" s="28"/>
      <c r="N53" s="28"/>
      <c r="AM53" s="78" t="s">
        <v>192</v>
      </c>
    </row>
    <row r="54" spans="7:39">
      <c r="M54" s="28"/>
      <c r="N54" s="28"/>
      <c r="AM54" s="78" t="s">
        <v>193</v>
      </c>
    </row>
    <row r="55" spans="7:39">
      <c r="M55" s="28"/>
      <c r="N55" s="28"/>
      <c r="AM55" s="78" t="s">
        <v>194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A53E-2047-4DC4-9568-9A39F068485F}">
  <dimension ref="A1:AV28"/>
  <sheetViews>
    <sheetView workbookViewId="0">
      <selection activeCell="A20" sqref="A20"/>
    </sheetView>
  </sheetViews>
  <sheetFormatPr defaultRowHeight="14.25"/>
  <cols>
    <col min="1" max="1" width="27" customWidth="1"/>
    <col min="5" max="5" width="8.625" style="91" customWidth="1"/>
    <col min="6" max="6" width="7.125" style="91" hidden="1" customWidth="1"/>
    <col min="7" max="7" width="9.125" hidden="1" customWidth="1"/>
    <col min="8" max="8" width="9.125" style="92" customWidth="1"/>
    <col min="9" max="9" width="9.125" customWidth="1"/>
    <col min="10" max="15" width="1.375" hidden="1" customWidth="1"/>
    <col min="16" max="16" width="13.125" style="91" customWidth="1"/>
    <col min="17" max="20" width="13.125" hidden="1" customWidth="1"/>
    <col min="21" max="21" width="13.125" style="91" customWidth="1"/>
    <col min="22" max="22" width="11.375" style="91" customWidth="1"/>
    <col min="23" max="23" width="12" hidden="1" customWidth="1"/>
    <col min="25" max="25" width="10" bestFit="1" customWidth="1"/>
    <col min="27" max="27" width="12" bestFit="1" customWidth="1"/>
  </cols>
  <sheetData>
    <row r="1" spans="1:27">
      <c r="A1" t="s">
        <v>0</v>
      </c>
      <c r="B1" t="s">
        <v>323</v>
      </c>
      <c r="C1" t="s">
        <v>1</v>
      </c>
      <c r="D1" t="s">
        <v>2</v>
      </c>
      <c r="E1" s="91" t="s">
        <v>324</v>
      </c>
      <c r="F1" s="91" t="s">
        <v>325</v>
      </c>
      <c r="G1" t="s">
        <v>326</v>
      </c>
      <c r="H1" s="92" t="s">
        <v>17</v>
      </c>
      <c r="I1" t="s">
        <v>18</v>
      </c>
      <c r="J1" t="s">
        <v>19</v>
      </c>
      <c r="K1" t="s">
        <v>20</v>
      </c>
      <c r="L1" t="s">
        <v>327</v>
      </c>
      <c r="M1" t="s">
        <v>328</v>
      </c>
      <c r="N1" t="s">
        <v>329</v>
      </c>
      <c r="O1" t="s">
        <v>330</v>
      </c>
      <c r="P1" s="91" t="s">
        <v>371</v>
      </c>
      <c r="Q1" t="s">
        <v>331</v>
      </c>
      <c r="R1" t="s">
        <v>332</v>
      </c>
      <c r="S1" t="s">
        <v>333</v>
      </c>
      <c r="T1" t="s">
        <v>334</v>
      </c>
      <c r="U1" s="91" t="s">
        <v>372</v>
      </c>
      <c r="V1" s="91" t="s">
        <v>335</v>
      </c>
      <c r="W1" t="s">
        <v>336</v>
      </c>
      <c r="Y1" t="s">
        <v>373</v>
      </c>
      <c r="Z1" t="s">
        <v>374</v>
      </c>
      <c r="AA1" t="s">
        <v>375</v>
      </c>
    </row>
    <row r="2" spans="1:27">
      <c r="A2" t="s">
        <v>47</v>
      </c>
      <c r="B2" t="s">
        <v>272</v>
      </c>
      <c r="C2">
        <v>883</v>
      </c>
      <c r="D2">
        <v>907.84313729999997</v>
      </c>
      <c r="E2" s="91">
        <v>0.66267842200000004</v>
      </c>
      <c r="H2" s="92">
        <v>0.71088282199999997</v>
      </c>
      <c r="I2" t="s">
        <v>337</v>
      </c>
      <c r="L2">
        <v>2303686.483</v>
      </c>
      <c r="M2">
        <v>-663.78864929999997</v>
      </c>
      <c r="P2" s="91">
        <f t="shared" ref="P2:P9" si="0">(L2+M2*(C2-C2))</f>
        <v>2303686.483</v>
      </c>
      <c r="Q2">
        <v>2079.4830000000002</v>
      </c>
      <c r="R2">
        <v>-0.84899999999999998</v>
      </c>
      <c r="U2" s="91">
        <f t="shared" ref="U2:U9" si="1">Q2+R2*(C2-C2)</f>
        <v>2079.4830000000002</v>
      </c>
      <c r="V2" s="91">
        <f t="shared" ref="V2:V24" si="2">E2/(1/3*(L2+M2*(C2-C2))*(Q2+R2*(C2-C2)))</f>
        <v>4.149973617089572E-10</v>
      </c>
      <c r="W2">
        <f t="shared" ref="W2:W27" si="3">E2/(1/3*(L2+M2*(D2-C2))*(Q2+R2*(D2-C2)))</f>
        <v>4.2227251082498765E-10</v>
      </c>
      <c r="Y2">
        <f>H2/(1/3*U2*V2)</f>
        <v>2471260.7105808174</v>
      </c>
      <c r="Z2">
        <f>H2/(1/3*P2*V2)</f>
        <v>2230.748269846375</v>
      </c>
      <c r="AA2">
        <f>H2/(1/3*U2*P2)</f>
        <v>4.4518500349513148E-10</v>
      </c>
    </row>
    <row r="3" spans="1:27">
      <c r="A3" t="s">
        <v>51</v>
      </c>
      <c r="B3" t="s">
        <v>272</v>
      </c>
      <c r="C3">
        <v>1042.7</v>
      </c>
      <c r="D3">
        <v>1052.1638780000001</v>
      </c>
      <c r="E3" s="91">
        <v>0.411335328</v>
      </c>
      <c r="H3" s="92">
        <v>0.34773254300000001</v>
      </c>
      <c r="I3" t="s">
        <v>338</v>
      </c>
      <c r="L3">
        <v>1508405.084</v>
      </c>
      <c r="M3">
        <v>-575.65944520000005</v>
      </c>
      <c r="P3" s="91">
        <f t="shared" si="0"/>
        <v>1508405.084</v>
      </c>
      <c r="Q3">
        <v>1632.6594</v>
      </c>
      <c r="R3">
        <v>-0.878</v>
      </c>
      <c r="U3" s="91">
        <f t="shared" si="1"/>
        <v>1632.6594</v>
      </c>
      <c r="V3" s="91">
        <f t="shared" si="2"/>
        <v>5.0107609601944331E-10</v>
      </c>
      <c r="W3">
        <f t="shared" si="3"/>
        <v>5.0546493588176667E-10</v>
      </c>
      <c r="Y3">
        <f>H3/(1/3*U3*V3)</f>
        <v>1275167.7281982664</v>
      </c>
      <c r="Z3">
        <f>H3/(1/3*P3*V3)</f>
        <v>1380.2092024900285</v>
      </c>
      <c r="AA3">
        <f t="shared" ref="AA3:AA27" si="4">H3/(1/3*U3*P3)</f>
        <v>4.2359713169434657E-10</v>
      </c>
    </row>
    <row r="4" spans="1:27">
      <c r="A4" t="s">
        <v>53</v>
      </c>
      <c r="B4" t="s">
        <v>272</v>
      </c>
      <c r="C4">
        <v>1121.2</v>
      </c>
      <c r="D4">
        <v>1121.2</v>
      </c>
      <c r="E4" s="91">
        <v>1.3243220469999999</v>
      </c>
      <c r="H4" s="92">
        <v>1.3697681209999999</v>
      </c>
      <c r="I4" t="s">
        <v>339</v>
      </c>
      <c r="L4">
        <v>4476075.1840000004</v>
      </c>
      <c r="M4">
        <v>-1213.263426</v>
      </c>
      <c r="P4" s="91">
        <f t="shared" si="0"/>
        <v>4476075.1840000004</v>
      </c>
      <c r="Q4">
        <v>2571.7112000000002</v>
      </c>
      <c r="R4">
        <v>-1.1739999999999999</v>
      </c>
      <c r="U4" s="91">
        <f t="shared" si="1"/>
        <v>2571.7112000000002</v>
      </c>
      <c r="V4" s="91">
        <f t="shared" si="2"/>
        <v>3.4514000011127359E-10</v>
      </c>
      <c r="W4">
        <f t="shared" si="3"/>
        <v>3.4514000011127359E-10</v>
      </c>
      <c r="Y4">
        <f>H4/(1/3*U4*V4)</f>
        <v>4629678.3385366462</v>
      </c>
      <c r="Z4">
        <f>H4/(1/3*P4*V4)</f>
        <v>2659.9632817097208</v>
      </c>
      <c r="AA4">
        <f t="shared" si="4"/>
        <v>3.5698399079386393E-10</v>
      </c>
    </row>
    <row r="5" spans="1:27">
      <c r="A5" t="s">
        <v>55</v>
      </c>
      <c r="B5" t="s">
        <v>272</v>
      </c>
      <c r="C5">
        <v>1268</v>
      </c>
      <c r="D5">
        <v>1276.210826</v>
      </c>
      <c r="E5" s="91">
        <v>0.87347029300000001</v>
      </c>
      <c r="H5" s="92">
        <v>1.179152046</v>
      </c>
      <c r="I5" t="s">
        <v>282</v>
      </c>
      <c r="L5">
        <v>3257796.2850000001</v>
      </c>
      <c r="M5">
        <v>-1063.3323809999999</v>
      </c>
      <c r="P5" s="91">
        <f t="shared" si="0"/>
        <v>3257796.2850000001</v>
      </c>
      <c r="Q5">
        <v>2078.7199999999998</v>
      </c>
      <c r="R5">
        <v>-0.96</v>
      </c>
      <c r="U5" s="91">
        <f t="shared" si="1"/>
        <v>2078.7199999999998</v>
      </c>
      <c r="V5" s="91">
        <f t="shared" si="2"/>
        <v>3.8694521056268988E-10</v>
      </c>
      <c r="W5">
        <f t="shared" si="3"/>
        <v>3.8946182160162397E-10</v>
      </c>
      <c r="Y5">
        <f>H5/(1/3*U5*V5)</f>
        <v>4397902.4652518425</v>
      </c>
      <c r="Z5">
        <f>H5/(1/3*P5*V5)</f>
        <v>2806.1938233097067</v>
      </c>
      <c r="AA5">
        <f t="shared" si="4"/>
        <v>5.2236148198905786E-10</v>
      </c>
    </row>
    <row r="6" spans="1:27">
      <c r="A6" t="s">
        <v>56</v>
      </c>
      <c r="B6" t="s">
        <v>272</v>
      </c>
      <c r="C6">
        <v>1131.2</v>
      </c>
      <c r="D6">
        <v>1130.5970150000001</v>
      </c>
      <c r="E6" s="91">
        <v>0.58083041000000002</v>
      </c>
      <c r="H6" s="92">
        <v>0.62277172300000005</v>
      </c>
      <c r="I6" t="s">
        <v>57</v>
      </c>
      <c r="L6">
        <v>2198743.6889999998</v>
      </c>
      <c r="M6">
        <v>-750.21687870000005</v>
      </c>
      <c r="P6" s="91">
        <f t="shared" si="0"/>
        <v>2198743.6889999998</v>
      </c>
      <c r="Q6">
        <v>1833.136</v>
      </c>
      <c r="R6">
        <v>-0.84499999999999997</v>
      </c>
      <c r="U6" s="91">
        <f t="shared" si="1"/>
        <v>1833.136</v>
      </c>
      <c r="V6" s="91">
        <f t="shared" si="2"/>
        <v>4.3231599960583983E-10</v>
      </c>
      <c r="W6">
        <f t="shared" si="3"/>
        <v>4.3210696856386491E-10</v>
      </c>
      <c r="Y6">
        <f>H6/(1/3*U6*V6)</f>
        <v>2357513.2638697517</v>
      </c>
      <c r="Z6">
        <f>H6/(1/3*P6*V6)</f>
        <v>1965.5053274730021</v>
      </c>
      <c r="AA6">
        <f t="shared" si="4"/>
        <v>4.6353320232491993E-10</v>
      </c>
    </row>
    <row r="7" spans="1:27">
      <c r="A7" t="s">
        <v>340</v>
      </c>
      <c r="B7" t="s">
        <v>271</v>
      </c>
      <c r="C7">
        <v>1045</v>
      </c>
      <c r="L7">
        <v>1928974.585</v>
      </c>
      <c r="M7">
        <v>-390.79019499999998</v>
      </c>
      <c r="P7" s="91">
        <f t="shared" si="0"/>
        <v>1928974.585</v>
      </c>
      <c r="Q7">
        <v>2065.0300000000002</v>
      </c>
      <c r="R7" s="45">
        <v>2.2399999999999999E-16</v>
      </c>
      <c r="U7" s="91">
        <f t="shared" si="1"/>
        <v>2065.0300000000002</v>
      </c>
      <c r="V7" s="91">
        <f t="shared" si="2"/>
        <v>0</v>
      </c>
      <c r="W7">
        <f t="shared" si="3"/>
        <v>0</v>
      </c>
    </row>
    <row r="8" spans="1:27">
      <c r="A8" t="s">
        <v>341</v>
      </c>
      <c r="B8" t="s">
        <v>271</v>
      </c>
      <c r="C8">
        <v>1146</v>
      </c>
      <c r="L8">
        <v>1799756.6029999999</v>
      </c>
      <c r="M8">
        <v>-381.38097219999997</v>
      </c>
      <c r="P8" s="91">
        <f t="shared" si="0"/>
        <v>1799756.6029999999</v>
      </c>
      <c r="Q8">
        <v>1873.13</v>
      </c>
      <c r="R8" s="45">
        <v>-3.2000000000000002E-16</v>
      </c>
      <c r="U8" s="91">
        <f t="shared" si="1"/>
        <v>1873.13</v>
      </c>
      <c r="V8" s="91">
        <f t="shared" si="2"/>
        <v>0</v>
      </c>
      <c r="W8">
        <f t="shared" si="3"/>
        <v>0</v>
      </c>
    </row>
    <row r="9" spans="1:27">
      <c r="A9" t="s">
        <v>342</v>
      </c>
      <c r="B9" t="s">
        <v>343</v>
      </c>
      <c r="C9">
        <v>822</v>
      </c>
      <c r="D9">
        <v>802</v>
      </c>
      <c r="E9" s="91">
        <v>0.30155486599999998</v>
      </c>
      <c r="G9">
        <v>0.44086704799999998</v>
      </c>
      <c r="H9" s="92">
        <v>0.24178033900000001</v>
      </c>
      <c r="I9" t="s">
        <v>344</v>
      </c>
      <c r="L9">
        <v>2129019.7030000002</v>
      </c>
      <c r="M9">
        <v>-656.68401749999998</v>
      </c>
      <c r="P9" s="91">
        <f t="shared" si="0"/>
        <v>2129019.7030000002</v>
      </c>
      <c r="Q9">
        <v>1453.8835349999999</v>
      </c>
      <c r="R9">
        <v>-0.39416042800000001</v>
      </c>
      <c r="U9" s="91">
        <f t="shared" si="1"/>
        <v>1453.8835349999999</v>
      </c>
      <c r="V9" s="91">
        <f t="shared" si="2"/>
        <v>2.9226600056547161E-10</v>
      </c>
      <c r="W9">
        <f t="shared" si="3"/>
        <v>2.8890759184816846E-10</v>
      </c>
      <c r="Y9">
        <f>H9/(1/3*U9*V9)</f>
        <v>1707003.1479081465</v>
      </c>
      <c r="Z9">
        <f>H9/(1/3*P9*V9)</f>
        <v>1165.693190833201</v>
      </c>
      <c r="AA9">
        <f t="shared" si="4"/>
        <v>2.3433272237395736E-10</v>
      </c>
    </row>
    <row r="10" spans="1:27">
      <c r="A10" t="s">
        <v>345</v>
      </c>
      <c r="B10" t="s">
        <v>346</v>
      </c>
      <c r="C10">
        <v>654</v>
      </c>
      <c r="L10">
        <v>4146145.7560000001</v>
      </c>
      <c r="M10">
        <v>-396.44924509999998</v>
      </c>
      <c r="N10">
        <v>4895548.2620000001</v>
      </c>
      <c r="O10">
        <v>-926.30419610000001</v>
      </c>
      <c r="P10" s="91">
        <f>(N10+O10*(C10-C10))</f>
        <v>4895548.2620000001</v>
      </c>
      <c r="Q10">
        <v>2704.538841</v>
      </c>
      <c r="R10">
        <v>-0.34105290799999999</v>
      </c>
      <c r="S10">
        <v>3551.6475019999998</v>
      </c>
      <c r="T10">
        <v>-1.101929884</v>
      </c>
      <c r="U10" s="91">
        <f>S10+T10*(C10-C10)</f>
        <v>3551.6475019999998</v>
      </c>
      <c r="V10" s="91">
        <f t="shared" si="2"/>
        <v>0</v>
      </c>
      <c r="W10">
        <f t="shared" si="3"/>
        <v>0</v>
      </c>
    </row>
    <row r="11" spans="1:27">
      <c r="A11" t="s">
        <v>80</v>
      </c>
      <c r="B11" t="s">
        <v>347</v>
      </c>
      <c r="C11">
        <v>733</v>
      </c>
      <c r="L11">
        <v>4323157.16</v>
      </c>
      <c r="M11">
        <v>-589.00440790000005</v>
      </c>
      <c r="N11">
        <v>5313500.2589999996</v>
      </c>
      <c r="O11">
        <v>-1020.642827</v>
      </c>
      <c r="P11" s="91">
        <f>(N11+O11*(C11-C11))</f>
        <v>5313500.2589999996</v>
      </c>
      <c r="Q11">
        <v>2760.3322790000002</v>
      </c>
      <c r="R11">
        <v>-0.54504915799999998</v>
      </c>
      <c r="S11">
        <v>3464.595041</v>
      </c>
      <c r="T11">
        <v>-1.101929884</v>
      </c>
      <c r="U11" s="91">
        <f>S11+T11*(C11-C11)</f>
        <v>3464.595041</v>
      </c>
      <c r="V11" s="91">
        <f t="shared" si="2"/>
        <v>0</v>
      </c>
      <c r="W11">
        <f t="shared" si="3"/>
        <v>0</v>
      </c>
    </row>
    <row r="12" spans="1:27">
      <c r="A12" t="s">
        <v>178</v>
      </c>
      <c r="B12" t="s">
        <v>348</v>
      </c>
      <c r="C12">
        <v>930</v>
      </c>
      <c r="D12">
        <v>933.1</v>
      </c>
      <c r="E12" s="91">
        <v>0.81674049299999996</v>
      </c>
      <c r="F12" s="91">
        <v>0.75866147699999997</v>
      </c>
      <c r="G12">
        <v>1.2281979810000001</v>
      </c>
      <c r="H12" s="92">
        <v>0.86713739199999995</v>
      </c>
      <c r="I12" t="s">
        <v>349</v>
      </c>
      <c r="L12">
        <v>4176953.7779999999</v>
      </c>
      <c r="M12">
        <v>-1150.276676</v>
      </c>
      <c r="N12">
        <v>4176953.7779999999</v>
      </c>
      <c r="O12">
        <v>-1150.276676</v>
      </c>
      <c r="P12" s="91">
        <f>(N12+O12*(C12-C12))</f>
        <v>4176953.7779999999</v>
      </c>
      <c r="Q12">
        <v>2589.8139639999999</v>
      </c>
      <c r="R12">
        <v>-1.0633707729999999</v>
      </c>
      <c r="S12">
        <v>2404.86</v>
      </c>
      <c r="T12">
        <v>-0.69799999999999995</v>
      </c>
      <c r="U12" s="91">
        <f>S12+T12*(C12-C12)</f>
        <v>2404.86</v>
      </c>
      <c r="V12" s="91">
        <f t="shared" si="2"/>
        <v>2.2650464101995692E-10</v>
      </c>
      <c r="W12">
        <f t="shared" si="3"/>
        <v>2.2698709376332202E-10</v>
      </c>
      <c r="Y12">
        <f>H12/(1/3*U12*V12)</f>
        <v>4775757.4828470424</v>
      </c>
      <c r="Z12">
        <f>H12/(1/3*P12*V12)</f>
        <v>2749.6182027895875</v>
      </c>
      <c r="AA12">
        <f t="shared" si="4"/>
        <v>2.5897610836589018E-10</v>
      </c>
    </row>
    <row r="13" spans="1:27">
      <c r="A13" t="s">
        <v>42</v>
      </c>
      <c r="B13" t="s">
        <v>350</v>
      </c>
      <c r="C13">
        <v>735</v>
      </c>
      <c r="D13">
        <v>742.4</v>
      </c>
      <c r="E13" s="91">
        <v>0.66960861900000002</v>
      </c>
      <c r="F13" s="91">
        <v>0.79544602799999997</v>
      </c>
      <c r="G13">
        <v>1.0975899330000001</v>
      </c>
      <c r="H13" s="92">
        <v>0.75900891000000004</v>
      </c>
      <c r="I13" t="s">
        <v>351</v>
      </c>
      <c r="L13">
        <v>3402318.9029999999</v>
      </c>
      <c r="M13">
        <v>-957.23555229999999</v>
      </c>
      <c r="N13">
        <v>4129410.071</v>
      </c>
      <c r="O13">
        <v>-1374.743747</v>
      </c>
      <c r="P13" s="91">
        <f>(N13+O13*(C13-C13))</f>
        <v>4129410.071</v>
      </c>
      <c r="Q13">
        <v>2408.0440870000002</v>
      </c>
      <c r="R13">
        <v>-0.947632425</v>
      </c>
      <c r="S13">
        <v>2359.15</v>
      </c>
      <c r="T13">
        <v>-1.2</v>
      </c>
      <c r="U13" s="91">
        <f>S13+T13*(C13-C13)</f>
        <v>2359.15</v>
      </c>
      <c r="V13" s="91">
        <f t="shared" si="2"/>
        <v>2.4519004760489892E-10</v>
      </c>
      <c r="W13">
        <f t="shared" si="3"/>
        <v>2.4641919102747534E-10</v>
      </c>
      <c r="Y13">
        <f>H13/(1/3*U13*V13)</f>
        <v>3936495.285895403</v>
      </c>
      <c r="Z13">
        <f>H13/(1/3*P13*V13)</f>
        <v>2248.9369411236999</v>
      </c>
      <c r="AA13">
        <f t="shared" si="4"/>
        <v>2.337354367694024E-10</v>
      </c>
    </row>
    <row r="14" spans="1:27">
      <c r="A14" t="s">
        <v>352</v>
      </c>
      <c r="C14">
        <v>958</v>
      </c>
      <c r="D14">
        <v>966.7</v>
      </c>
      <c r="E14" s="91">
        <v>0.48497295200000001</v>
      </c>
      <c r="G14">
        <v>0.74255404199999997</v>
      </c>
      <c r="H14" s="92">
        <v>0.82992789700000003</v>
      </c>
      <c r="I14" t="s">
        <v>353</v>
      </c>
      <c r="L14">
        <v>2774359.2609999999</v>
      </c>
      <c r="M14">
        <v>-853.86164629999996</v>
      </c>
      <c r="P14" s="91">
        <f t="shared" ref="P14:P19" si="5">(L14+M14*(C14-C14))</f>
        <v>2774359.2609999999</v>
      </c>
      <c r="Q14">
        <v>2066.835583</v>
      </c>
      <c r="R14">
        <v>-0.85125650200000003</v>
      </c>
      <c r="U14" s="91">
        <f t="shared" ref="U14:U19" si="6">Q14+R14*(C14-C14)</f>
        <v>2066.835583</v>
      </c>
      <c r="V14" s="91">
        <f t="shared" si="2"/>
        <v>2.5372902113927941E-10</v>
      </c>
      <c r="W14">
        <f t="shared" si="3"/>
        <v>2.5532511406251184E-10</v>
      </c>
      <c r="Y14">
        <f>H14/(1/3*U14*V14)</f>
        <v>4747724.8731269538</v>
      </c>
      <c r="Z14">
        <f>H14/(1/3*P14*V14)</f>
        <v>3536.9488169805372</v>
      </c>
      <c r="AA14">
        <f t="shared" si="4"/>
        <v>4.3420316958623021E-10</v>
      </c>
    </row>
    <row r="15" spans="1:27">
      <c r="A15" t="s">
        <v>354</v>
      </c>
      <c r="C15">
        <v>750</v>
      </c>
      <c r="D15">
        <v>722.73280580000005</v>
      </c>
      <c r="E15" s="91">
        <v>0.33623307899999999</v>
      </c>
      <c r="F15" s="91">
        <v>0.28042658100000001</v>
      </c>
      <c r="G15">
        <v>0.48929503600000002</v>
      </c>
      <c r="H15" s="92">
        <v>0.45832502200000003</v>
      </c>
      <c r="I15" t="s">
        <v>45</v>
      </c>
      <c r="L15">
        <v>1797748.3729999999</v>
      </c>
      <c r="M15">
        <v>-445.16412789999998</v>
      </c>
      <c r="N15">
        <v>1499365.9469999999</v>
      </c>
      <c r="O15">
        <v>-550.0442425</v>
      </c>
      <c r="P15" s="91">
        <f t="shared" si="5"/>
        <v>1797748.3729999999</v>
      </c>
      <c r="Q15">
        <v>2041.501426</v>
      </c>
      <c r="R15">
        <v>-0.60413319399999998</v>
      </c>
      <c r="S15">
        <v>2041.501426</v>
      </c>
      <c r="T15">
        <v>-0.60413319399999998</v>
      </c>
      <c r="U15" s="91">
        <f t="shared" si="6"/>
        <v>2041.501426</v>
      </c>
      <c r="V15" s="91">
        <f t="shared" si="2"/>
        <v>2.7484200007713947E-10</v>
      </c>
      <c r="W15">
        <f t="shared" si="3"/>
        <v>2.7081350282206169E-10</v>
      </c>
      <c r="Y15">
        <f>H15/(1/3*U15*V15)</f>
        <v>2450541.3478537882</v>
      </c>
      <c r="Z15">
        <f>H15/(1/3*P15*V15)</f>
        <v>2782.805275338425</v>
      </c>
      <c r="AA15">
        <f t="shared" si="4"/>
        <v>3.7464179939261406E-10</v>
      </c>
    </row>
    <row r="16" spans="1:27">
      <c r="A16" t="s">
        <v>355</v>
      </c>
      <c r="C16">
        <v>750</v>
      </c>
      <c r="L16">
        <v>1823037.1529999999</v>
      </c>
      <c r="M16">
        <v>-516.78925059999995</v>
      </c>
      <c r="N16">
        <v>1499365.9469999999</v>
      </c>
      <c r="O16">
        <v>-550.0442425</v>
      </c>
      <c r="P16" s="91">
        <f t="shared" si="5"/>
        <v>1823037.1529999999</v>
      </c>
      <c r="Q16">
        <v>2008.041469</v>
      </c>
      <c r="R16">
        <v>-0.75955695300000003</v>
      </c>
      <c r="S16">
        <v>2008.041469</v>
      </c>
      <c r="T16">
        <v>-0.75955695300000003</v>
      </c>
      <c r="U16" s="91">
        <f t="shared" si="6"/>
        <v>2008.041469</v>
      </c>
      <c r="V16" s="91">
        <f t="shared" si="2"/>
        <v>0</v>
      </c>
      <c r="W16">
        <f t="shared" si="3"/>
        <v>0</v>
      </c>
    </row>
    <row r="17" spans="1:48">
      <c r="A17" t="s">
        <v>356</v>
      </c>
      <c r="B17" t="s">
        <v>348</v>
      </c>
      <c r="C17">
        <v>750</v>
      </c>
      <c r="L17">
        <v>4270154.1720000003</v>
      </c>
      <c r="M17">
        <v>-981.92887069999995</v>
      </c>
      <c r="P17" s="91">
        <f t="shared" si="5"/>
        <v>4270154.1720000003</v>
      </c>
      <c r="Q17">
        <v>2018.702849</v>
      </c>
      <c r="R17">
        <v>-0.50070394799999995</v>
      </c>
      <c r="U17" s="91">
        <f t="shared" si="6"/>
        <v>2018.702849</v>
      </c>
      <c r="V17" s="91">
        <f t="shared" si="2"/>
        <v>0</v>
      </c>
      <c r="W17">
        <f t="shared" si="3"/>
        <v>0</v>
      </c>
    </row>
    <row r="18" spans="1:48">
      <c r="A18" t="s">
        <v>357</v>
      </c>
      <c r="C18">
        <v>750</v>
      </c>
      <c r="L18">
        <v>2238425.11</v>
      </c>
      <c r="M18">
        <v>-537.62750419999998</v>
      </c>
      <c r="P18" s="91">
        <f t="shared" si="5"/>
        <v>2238425.11</v>
      </c>
      <c r="Q18">
        <v>2112.201047</v>
      </c>
      <c r="R18">
        <v>-0.57362520699999997</v>
      </c>
      <c r="U18" s="91">
        <f t="shared" si="6"/>
        <v>2112.201047</v>
      </c>
      <c r="V18" s="91">
        <f t="shared" si="2"/>
        <v>0</v>
      </c>
      <c r="W18">
        <f t="shared" si="3"/>
        <v>0</v>
      </c>
    </row>
    <row r="19" spans="1:48">
      <c r="A19" t="s">
        <v>358</v>
      </c>
      <c r="B19" t="s">
        <v>359</v>
      </c>
      <c r="C19">
        <v>750</v>
      </c>
      <c r="L19">
        <v>2051550.0090000001</v>
      </c>
      <c r="M19">
        <v>-491.51931689999998</v>
      </c>
      <c r="P19" s="91">
        <f t="shared" si="5"/>
        <v>2051550.0090000001</v>
      </c>
      <c r="Q19">
        <v>2052.6091350000002</v>
      </c>
      <c r="R19">
        <v>-0.50634043799999995</v>
      </c>
      <c r="U19" s="91">
        <f t="shared" si="6"/>
        <v>2052.6091350000002</v>
      </c>
      <c r="V19" s="91">
        <f t="shared" si="2"/>
        <v>0</v>
      </c>
      <c r="W19">
        <f t="shared" si="3"/>
        <v>0</v>
      </c>
    </row>
    <row r="20" spans="1:48">
      <c r="A20" t="s">
        <v>360</v>
      </c>
      <c r="B20" t="s">
        <v>359</v>
      </c>
      <c r="C20">
        <v>750</v>
      </c>
      <c r="L20">
        <v>1790703.442</v>
      </c>
      <c r="M20">
        <v>-534.21577569999999</v>
      </c>
      <c r="N20">
        <v>1790703.442</v>
      </c>
      <c r="O20">
        <v>-534.21577569999999</v>
      </c>
      <c r="P20" s="91">
        <f>(N20+O20*(C20-C20))</f>
        <v>1790703.442</v>
      </c>
      <c r="Q20">
        <v>1915.948813</v>
      </c>
      <c r="R20">
        <v>-0.77595472300000001</v>
      </c>
      <c r="S20">
        <v>1915.948813</v>
      </c>
      <c r="T20">
        <v>-0.77595472300000001</v>
      </c>
      <c r="U20" s="91">
        <f>S20+T20*(C20-C20)</f>
        <v>1915.948813</v>
      </c>
      <c r="V20" s="91">
        <f t="shared" si="2"/>
        <v>0</v>
      </c>
      <c r="W20">
        <f t="shared" si="3"/>
        <v>0</v>
      </c>
    </row>
    <row r="21" spans="1:48">
      <c r="A21" t="s">
        <v>360</v>
      </c>
      <c r="B21" t="s">
        <v>359</v>
      </c>
      <c r="C21">
        <v>750</v>
      </c>
      <c r="L21">
        <v>1790703.442</v>
      </c>
      <c r="M21">
        <v>-534.21577569999999</v>
      </c>
      <c r="P21" s="91">
        <f t="shared" ref="P21:P27" si="7">(L21+M21*(C21-C21))</f>
        <v>1790703.442</v>
      </c>
      <c r="Q21">
        <v>1915.948813</v>
      </c>
      <c r="R21">
        <v>-0.77595472300000001</v>
      </c>
      <c r="U21" s="91">
        <f t="shared" ref="U21:U27" si="8">Q21+R21*(C21-C21)</f>
        <v>1915.948813</v>
      </c>
      <c r="V21" s="91">
        <f t="shared" si="2"/>
        <v>0</v>
      </c>
      <c r="W21">
        <f t="shared" si="3"/>
        <v>0</v>
      </c>
    </row>
    <row r="22" spans="1:48">
      <c r="A22" t="s">
        <v>361</v>
      </c>
      <c r="C22">
        <v>750</v>
      </c>
      <c r="L22">
        <v>1984667.638</v>
      </c>
      <c r="M22">
        <v>-477.19297410000001</v>
      </c>
      <c r="P22" s="91">
        <f t="shared" si="7"/>
        <v>1984667.638</v>
      </c>
      <c r="Q22">
        <v>2060.6051980000002</v>
      </c>
      <c r="R22">
        <v>-0.53339629</v>
      </c>
      <c r="U22" s="91">
        <f t="shared" si="8"/>
        <v>2060.6051980000002</v>
      </c>
      <c r="V22" s="91">
        <f t="shared" si="2"/>
        <v>0</v>
      </c>
      <c r="W22">
        <f t="shared" si="3"/>
        <v>0</v>
      </c>
    </row>
    <row r="23" spans="1:48">
      <c r="A23" t="s">
        <v>362</v>
      </c>
      <c r="C23">
        <v>750</v>
      </c>
      <c r="L23">
        <v>1839447.4620000001</v>
      </c>
      <c r="M23">
        <v>-593.08118509999997</v>
      </c>
      <c r="P23" s="91">
        <f t="shared" si="7"/>
        <v>1839447.4620000001</v>
      </c>
      <c r="Q23">
        <v>1953.049571</v>
      </c>
      <c r="R23">
        <v>-0.87096256599999999</v>
      </c>
      <c r="U23" s="91">
        <f t="shared" si="8"/>
        <v>1953.049571</v>
      </c>
      <c r="V23" s="91">
        <f t="shared" si="2"/>
        <v>0</v>
      </c>
      <c r="W23">
        <f t="shared" si="3"/>
        <v>0</v>
      </c>
    </row>
    <row r="24" spans="1:48">
      <c r="A24" t="s">
        <v>363</v>
      </c>
      <c r="B24" t="s">
        <v>364</v>
      </c>
      <c r="C24">
        <v>930</v>
      </c>
      <c r="L24">
        <v>1735132.7339999999</v>
      </c>
      <c r="M24">
        <v>-609.70091279999997</v>
      </c>
      <c r="P24" s="91">
        <f t="shared" si="7"/>
        <v>1735132.7339999999</v>
      </c>
      <c r="Q24">
        <v>1799.5981159999999</v>
      </c>
      <c r="R24">
        <v>-0.89749908199999995</v>
      </c>
      <c r="U24" s="91">
        <f t="shared" si="8"/>
        <v>1799.5981159999999</v>
      </c>
      <c r="V24" s="91">
        <f t="shared" si="2"/>
        <v>0</v>
      </c>
      <c r="W24">
        <f t="shared" si="3"/>
        <v>0</v>
      </c>
    </row>
    <row r="25" spans="1:48">
      <c r="A25" t="s">
        <v>365</v>
      </c>
      <c r="B25" t="s">
        <v>366</v>
      </c>
      <c r="C25">
        <v>930</v>
      </c>
      <c r="D25">
        <v>761.2</v>
      </c>
      <c r="G25">
        <v>0.53512760500000001</v>
      </c>
      <c r="H25" s="92">
        <v>0.51005292000000002</v>
      </c>
      <c r="I25" t="s">
        <v>367</v>
      </c>
      <c r="L25">
        <v>1838632.3019999999</v>
      </c>
      <c r="M25">
        <v>-621.80968800000005</v>
      </c>
      <c r="P25" s="91">
        <f t="shared" si="7"/>
        <v>1838632.3019999999</v>
      </c>
      <c r="Q25">
        <v>1835.1641850000001</v>
      </c>
      <c r="R25">
        <v>-0.88713783599999996</v>
      </c>
      <c r="U25" s="91">
        <f t="shared" si="8"/>
        <v>1835.1641850000001</v>
      </c>
      <c r="V25" s="93">
        <v>5.6547000000000001E-10</v>
      </c>
      <c r="W25">
        <f t="shared" si="3"/>
        <v>0</v>
      </c>
      <c r="Y25">
        <f>H25/(1/3*U25*V25)</f>
        <v>1474524.519762431</v>
      </c>
      <c r="Z25" s="45">
        <f>H25/(1/3*P25*V25)</f>
        <v>1471.7432004370053</v>
      </c>
      <c r="AA25">
        <f t="shared" si="4"/>
        <v>4.5348892178337343E-10</v>
      </c>
    </row>
    <row r="26" spans="1:48">
      <c r="A26" t="s">
        <v>49</v>
      </c>
      <c r="B26" t="s">
        <v>272</v>
      </c>
      <c r="C26">
        <v>1073.8</v>
      </c>
      <c r="D26">
        <v>1072.765073</v>
      </c>
      <c r="E26" s="91">
        <v>0.50445163000000004</v>
      </c>
      <c r="G26">
        <v>0.48673466799999998</v>
      </c>
      <c r="H26" s="92">
        <v>0.52444601099999999</v>
      </c>
      <c r="I26" t="s">
        <v>368</v>
      </c>
      <c r="L26">
        <v>1853848.9790000001</v>
      </c>
      <c r="M26">
        <v>-646.84667109999998</v>
      </c>
      <c r="P26" s="91">
        <f t="shared" si="7"/>
        <v>1853848.9790000001</v>
      </c>
      <c r="Q26">
        <v>1773.623</v>
      </c>
      <c r="R26">
        <v>-0.91500000000000004</v>
      </c>
      <c r="U26" s="91">
        <f t="shared" si="8"/>
        <v>1773.623</v>
      </c>
      <c r="V26" s="91">
        <f>E26/(1/3*(L26+M26*(C26-C26))*(Q26+R26*(C26-C26)))</f>
        <v>4.6026200000596282E-10</v>
      </c>
      <c r="W26">
        <f t="shared" si="3"/>
        <v>4.5985033635406583E-10</v>
      </c>
      <c r="Y26">
        <f>H26/(1/3*U26*V26)</f>
        <v>1927327.9026434557</v>
      </c>
      <c r="Z26">
        <f>H26/(1/3*P26*V26)</f>
        <v>1843.9220968873722</v>
      </c>
      <c r="AA26">
        <f t="shared" si="4"/>
        <v>4.7850488642094223E-10</v>
      </c>
    </row>
    <row r="27" spans="1:48">
      <c r="A27" t="s">
        <v>58</v>
      </c>
      <c r="B27" t="s">
        <v>369</v>
      </c>
      <c r="C27">
        <v>987</v>
      </c>
      <c r="D27">
        <v>986.86210640000002</v>
      </c>
      <c r="E27" s="91">
        <v>0.279655665</v>
      </c>
      <c r="G27">
        <v>0.43829220299999999</v>
      </c>
      <c r="H27" s="92">
        <v>0.79153948100000004</v>
      </c>
      <c r="I27" t="s">
        <v>370</v>
      </c>
      <c r="L27">
        <v>1628871.879</v>
      </c>
      <c r="M27">
        <v>-278.432366</v>
      </c>
      <c r="P27" s="91">
        <f t="shared" si="7"/>
        <v>1628871.879</v>
      </c>
      <c r="Q27">
        <v>2101</v>
      </c>
      <c r="R27" s="45">
        <v>6.3900000000000003E-16</v>
      </c>
      <c r="U27" s="91">
        <f t="shared" si="8"/>
        <v>2101</v>
      </c>
      <c r="V27" s="91">
        <f>E27/(1/3*(L27+M27*(C27-C27))*(Q27+R27*(C27-C27)))</f>
        <v>2.4515000019620903E-10</v>
      </c>
      <c r="W27">
        <f t="shared" si="3"/>
        <v>2.451442219164664E-10</v>
      </c>
      <c r="Y27">
        <f>H27/(1/3*U27*V27)</f>
        <v>4610371.1209252812</v>
      </c>
      <c r="Z27">
        <f>H27/(1/3*P27*V27)</f>
        <v>5946.6860776126232</v>
      </c>
      <c r="AA27">
        <f t="shared" si="4"/>
        <v>6.9387438985889014E-10</v>
      </c>
      <c r="AV27" s="45"/>
    </row>
    <row r="28" spans="1:48">
      <c r="A28" t="s">
        <v>58</v>
      </c>
      <c r="B28" t="s">
        <v>376</v>
      </c>
      <c r="C28">
        <v>1073</v>
      </c>
      <c r="D28">
        <v>986.86210640000002</v>
      </c>
      <c r="E28" s="94">
        <f>1/3*P28*U28*V28</f>
        <v>0.50882615272047205</v>
      </c>
      <c r="G28">
        <v>0.43829220299999999</v>
      </c>
      <c r="H28" s="92">
        <v>0.79153948100000004</v>
      </c>
      <c r="I28" t="s">
        <v>370</v>
      </c>
      <c r="L28">
        <v>1628871.879</v>
      </c>
      <c r="M28">
        <v>-278.432366</v>
      </c>
      <c r="P28" s="91">
        <v>1628871.879</v>
      </c>
      <c r="Q28">
        <v>2101</v>
      </c>
      <c r="R28">
        <v>6.3900000000000003E-16</v>
      </c>
      <c r="U28" s="91">
        <v>2101</v>
      </c>
      <c r="V28" s="93">
        <v>4.4604399999999997E-10</v>
      </c>
      <c r="W28">
        <v>2.451442219164664E-10</v>
      </c>
      <c r="Y28">
        <f>H28/(1/3*U28*V28)</f>
        <v>2533903.5637726975</v>
      </c>
      <c r="Z28">
        <f>H28/(1/3*P28*V28)</f>
        <v>3268.3549001747101</v>
      </c>
      <c r="AA28">
        <f>H28/(1/3*U28*P28)</f>
        <v>6.9387438985889014E-10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D833-40D7-4C24-9620-12A08A60C7E9}">
  <dimension ref="A1:AK35"/>
  <sheetViews>
    <sheetView topLeftCell="G1" zoomScale="87" zoomScaleNormal="90" workbookViewId="0">
      <selection activeCell="AA1" sqref="AA1:AA2"/>
    </sheetView>
  </sheetViews>
  <sheetFormatPr defaultRowHeight="14.25"/>
  <cols>
    <col min="1" max="2" width="5" customWidth="1"/>
    <col min="3" max="3" width="28.25" customWidth="1"/>
    <col min="4" max="4" width="17.75" customWidth="1"/>
    <col min="5" max="12" width="9.125" customWidth="1"/>
    <col min="13" max="14" width="9" customWidth="1"/>
    <col min="15" max="18" width="4.375" customWidth="1"/>
    <col min="19" max="21" width="7.375" customWidth="1"/>
    <col min="22" max="22" width="4.375" customWidth="1"/>
    <col min="23" max="23" width="7.375" customWidth="1"/>
    <col min="24" max="26" width="4.375" customWidth="1"/>
    <col min="27" max="27" width="12.75" customWidth="1"/>
    <col min="28" max="35" width="10.625" customWidth="1"/>
    <col min="36" max="36" width="12.75" bestFit="1" customWidth="1"/>
    <col min="37" max="37" width="13.25" bestFit="1" customWidth="1"/>
  </cols>
  <sheetData>
    <row r="1" spans="1:37">
      <c r="C1" t="s">
        <v>0</v>
      </c>
      <c r="D1" t="s">
        <v>323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390</v>
      </c>
      <c r="O1" t="s">
        <v>391</v>
      </c>
      <c r="P1" t="s">
        <v>392</v>
      </c>
      <c r="Q1" t="s">
        <v>393</v>
      </c>
      <c r="R1" t="s">
        <v>324</v>
      </c>
      <c r="S1" t="s">
        <v>325</v>
      </c>
      <c r="T1" t="s">
        <v>325</v>
      </c>
      <c r="U1" t="s">
        <v>325</v>
      </c>
      <c r="V1" t="s">
        <v>326</v>
      </c>
      <c r="W1" t="s">
        <v>17</v>
      </c>
      <c r="X1" t="s">
        <v>18</v>
      </c>
      <c r="Y1" t="s">
        <v>19</v>
      </c>
      <c r="Z1" t="s">
        <v>20</v>
      </c>
      <c r="AA1" s="45">
        <v>1.3806490000000001E-23</v>
      </c>
      <c r="AB1" t="s">
        <v>327</v>
      </c>
      <c r="AC1" t="s">
        <v>328</v>
      </c>
      <c r="AD1" t="s">
        <v>329</v>
      </c>
      <c r="AE1" t="s">
        <v>330</v>
      </c>
      <c r="AF1" t="s">
        <v>331</v>
      </c>
      <c r="AG1" t="s">
        <v>332</v>
      </c>
      <c r="AH1" t="s">
        <v>333</v>
      </c>
      <c r="AI1" t="s">
        <v>334</v>
      </c>
      <c r="AJ1" t="s">
        <v>421</v>
      </c>
    </row>
    <row r="2" spans="1:37">
      <c r="C2" t="s">
        <v>0</v>
      </c>
      <c r="D2" t="s">
        <v>323</v>
      </c>
      <c r="E2" t="s">
        <v>1</v>
      </c>
      <c r="F2" t="s">
        <v>2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16</v>
      </c>
      <c r="N2" t="s">
        <v>390</v>
      </c>
      <c r="O2" t="s">
        <v>82</v>
      </c>
      <c r="P2" t="s">
        <v>392</v>
      </c>
      <c r="Q2" t="s">
        <v>393</v>
      </c>
      <c r="R2" t="s">
        <v>324</v>
      </c>
      <c r="S2" t="s">
        <v>424</v>
      </c>
      <c r="T2" t="s">
        <v>436</v>
      </c>
      <c r="U2" t="s">
        <v>437</v>
      </c>
      <c r="V2" t="s">
        <v>326</v>
      </c>
      <c r="W2" t="s">
        <v>17</v>
      </c>
      <c r="X2" t="s">
        <v>18</v>
      </c>
      <c r="Y2" t="s">
        <v>19</v>
      </c>
      <c r="Z2" t="s">
        <v>20</v>
      </c>
      <c r="AA2" t="s">
        <v>439</v>
      </c>
      <c r="AB2" t="s">
        <v>327</v>
      </c>
      <c r="AC2" t="s">
        <v>328</v>
      </c>
      <c r="AD2" t="s">
        <v>329</v>
      </c>
      <c r="AE2" t="s">
        <v>330</v>
      </c>
      <c r="AF2" t="s">
        <v>331</v>
      </c>
      <c r="AG2" t="s">
        <v>332</v>
      </c>
      <c r="AH2" t="s">
        <v>333</v>
      </c>
      <c r="AI2" t="s">
        <v>334</v>
      </c>
      <c r="AJ2" t="s">
        <v>421</v>
      </c>
      <c r="AK2" t="s">
        <v>435</v>
      </c>
    </row>
    <row r="3" spans="1:37">
      <c r="A3" t="s">
        <v>431</v>
      </c>
      <c r="B3" t="s">
        <v>432</v>
      </c>
      <c r="C3" t="s">
        <v>53</v>
      </c>
      <c r="D3" t="s">
        <v>272</v>
      </c>
      <c r="E3">
        <v>1121.2</v>
      </c>
      <c r="F3">
        <v>1121.2</v>
      </c>
      <c r="G3">
        <v>1.3498414940000001</v>
      </c>
      <c r="I3">
        <v>0.80194502999999995</v>
      </c>
      <c r="K3">
        <v>1.3243220469999999</v>
      </c>
      <c r="N3">
        <v>1.3498414940000001</v>
      </c>
      <c r="O3" s="95">
        <v>1.3498414940000001</v>
      </c>
      <c r="P3">
        <v>0.80194502999999995</v>
      </c>
      <c r="R3">
        <v>1.3243220469999999</v>
      </c>
      <c r="S3" s="95">
        <v>1.3243220469999999</v>
      </c>
      <c r="T3" s="97">
        <f>1/3*AB3*AF3*AJ3</f>
        <v>1.3243220469999999</v>
      </c>
      <c r="U3" s="99">
        <f>1/3*AB3*AF3*AJ3</f>
        <v>1.3243220469999999</v>
      </c>
      <c r="W3">
        <v>1.354220022</v>
      </c>
      <c r="X3" t="s">
        <v>394</v>
      </c>
      <c r="AB3">
        <v>4476075.1840000004</v>
      </c>
      <c r="AC3">
        <v>-1213.263426</v>
      </c>
      <c r="AF3">
        <v>2571.7112000000002</v>
      </c>
      <c r="AG3">
        <v>-1.1739999999999999</v>
      </c>
      <c r="AJ3" s="96">
        <f>K3/(1/3*AB3*AF3)</f>
        <v>3.4514000011127359E-10</v>
      </c>
      <c r="AK3">
        <f>W3/(1/3*AB3*AF3)</f>
        <v>3.5293190172478415E-10</v>
      </c>
    </row>
    <row r="4" spans="1:37">
      <c r="C4" t="s">
        <v>55</v>
      </c>
      <c r="D4" t="s">
        <v>272</v>
      </c>
      <c r="E4">
        <v>1268</v>
      </c>
      <c r="F4">
        <v>1276.210826</v>
      </c>
      <c r="G4">
        <v>0.84226810100000005</v>
      </c>
      <c r="I4">
        <v>0.53047696</v>
      </c>
      <c r="K4">
        <v>0.87920122599999995</v>
      </c>
      <c r="N4">
        <v>0.84016734199999998</v>
      </c>
      <c r="O4" s="95">
        <v>0.84016734199999998</v>
      </c>
      <c r="P4">
        <v>0.52713702200000001</v>
      </c>
      <c r="R4">
        <v>0.873665684</v>
      </c>
      <c r="S4" s="95">
        <v>0.873665684</v>
      </c>
      <c r="T4" s="97">
        <f t="shared" ref="T4:T14" si="0">1/3*AB4*AF4*AJ4</f>
        <v>0.87920122599999995</v>
      </c>
      <c r="U4" s="99">
        <f t="shared" ref="U4:U14" si="1">1/3*AB4*AF4*AJ4</f>
        <v>0.87920122599999995</v>
      </c>
      <c r="W4">
        <v>1.179152046</v>
      </c>
      <c r="X4" t="s">
        <v>282</v>
      </c>
      <c r="AB4">
        <v>3257796.2850000001</v>
      </c>
      <c r="AC4">
        <v>-1063.3323809999999</v>
      </c>
      <c r="AF4">
        <v>2078.7199999999998</v>
      </c>
      <c r="AG4">
        <v>-0.96</v>
      </c>
      <c r="AJ4" s="96">
        <f t="shared" ref="AJ4:AJ9" si="2">K4/(1/3*AB4*AF4)</f>
        <v>3.8948399991154029E-10</v>
      </c>
      <c r="AK4">
        <f t="shared" ref="AK4:AK14" si="3">W4/(1/3*AB4*AF4)</f>
        <v>5.2236148198905786E-10</v>
      </c>
    </row>
    <row r="5" spans="1:37">
      <c r="C5" t="s">
        <v>56</v>
      </c>
      <c r="D5" t="s">
        <v>272</v>
      </c>
      <c r="E5">
        <v>1131.2</v>
      </c>
      <c r="F5">
        <v>1130.5970150000001</v>
      </c>
      <c r="G5">
        <v>0.58268227900000003</v>
      </c>
      <c r="I5">
        <v>0.36409719099999999</v>
      </c>
      <c r="K5">
        <v>0.58083041000000002</v>
      </c>
      <c r="N5">
        <v>0.58268227900000003</v>
      </c>
      <c r="O5" s="95">
        <v>0.58268227900000003</v>
      </c>
      <c r="P5">
        <v>0.36409719099999999</v>
      </c>
      <c r="R5">
        <v>0.58083041000000002</v>
      </c>
      <c r="S5" s="95">
        <v>0.58083041000000002</v>
      </c>
      <c r="T5" s="97">
        <f t="shared" si="0"/>
        <v>0.58083041000000002</v>
      </c>
      <c r="U5" s="99">
        <f t="shared" si="1"/>
        <v>0.58083041000000002</v>
      </c>
      <c r="W5">
        <v>0.62277172300000005</v>
      </c>
      <c r="X5" t="s">
        <v>57</v>
      </c>
      <c r="AB5">
        <v>2198743.6889999998</v>
      </c>
      <c r="AC5">
        <v>-750.21687870000005</v>
      </c>
      <c r="AF5">
        <v>1833.136</v>
      </c>
      <c r="AG5">
        <v>-0.84499999999999997</v>
      </c>
      <c r="AJ5" s="96">
        <f t="shared" si="2"/>
        <v>4.3231599960583983E-10</v>
      </c>
      <c r="AK5">
        <f t="shared" si="3"/>
        <v>4.6353320232491993E-10</v>
      </c>
    </row>
    <row r="6" spans="1:37">
      <c r="C6" t="s">
        <v>47</v>
      </c>
      <c r="D6" t="s">
        <v>272</v>
      </c>
      <c r="E6">
        <v>883</v>
      </c>
      <c r="F6">
        <v>965.57734200000004</v>
      </c>
      <c r="G6">
        <v>0.68631947400000004</v>
      </c>
      <c r="I6">
        <v>0.41038418599999998</v>
      </c>
      <c r="K6">
        <v>0.67489675400000004</v>
      </c>
      <c r="N6">
        <v>0.66799848799999995</v>
      </c>
      <c r="O6" s="95">
        <v>0.66799848799999995</v>
      </c>
      <c r="P6">
        <v>0.38692536900000002</v>
      </c>
      <c r="R6">
        <v>0.63631758900000002</v>
      </c>
      <c r="S6" s="95">
        <v>0.63631758900000002</v>
      </c>
      <c r="T6" s="97">
        <f t="shared" si="0"/>
        <v>0.67489675400000004</v>
      </c>
      <c r="U6" s="99">
        <f t="shared" si="1"/>
        <v>0.67489675400000004</v>
      </c>
      <c r="W6">
        <v>0.65551426099999999</v>
      </c>
      <c r="X6" t="s">
        <v>48</v>
      </c>
      <c r="AB6">
        <v>2303686.483</v>
      </c>
      <c r="AC6">
        <v>-663.78864929999997</v>
      </c>
      <c r="AF6">
        <v>2079.4830000000002</v>
      </c>
      <c r="AG6">
        <v>-0.84899999999999998</v>
      </c>
      <c r="AJ6" s="96">
        <f t="shared" si="2"/>
        <v>4.2264899993369499E-10</v>
      </c>
      <c r="AK6">
        <f t="shared" si="3"/>
        <v>4.1051085993803002E-10</v>
      </c>
    </row>
    <row r="7" spans="1:37">
      <c r="C7" t="s">
        <v>49</v>
      </c>
      <c r="D7" t="s">
        <v>272</v>
      </c>
      <c r="E7">
        <v>1073.8</v>
      </c>
      <c r="F7">
        <v>1087.3180870000001</v>
      </c>
      <c r="G7">
        <v>0.48681288099999998</v>
      </c>
      <c r="I7">
        <v>0.31017075300000002</v>
      </c>
      <c r="K7">
        <v>0.50445163000000004</v>
      </c>
      <c r="N7">
        <v>0.484113611</v>
      </c>
      <c r="O7" s="95">
        <v>0.484113611</v>
      </c>
      <c r="P7">
        <v>0.30671570599999998</v>
      </c>
      <c r="R7">
        <v>0.49883245300000001</v>
      </c>
      <c r="S7" s="95">
        <v>0.49883245300000001</v>
      </c>
      <c r="T7" s="97">
        <f t="shared" si="0"/>
        <v>0.50445163000000004</v>
      </c>
      <c r="U7" s="99">
        <f t="shared" si="1"/>
        <v>0.50445163000000004</v>
      </c>
      <c r="W7">
        <v>0.491042596</v>
      </c>
      <c r="X7" t="s">
        <v>395</v>
      </c>
      <c r="AB7">
        <v>1853848.9790000001</v>
      </c>
      <c r="AC7">
        <v>-646.84667109999998</v>
      </c>
      <c r="AF7">
        <v>1773.623</v>
      </c>
      <c r="AG7">
        <v>-0.91500000000000004</v>
      </c>
      <c r="AJ7" s="96">
        <f t="shared" si="2"/>
        <v>4.6026200000596282E-10</v>
      </c>
      <c r="AK7">
        <f t="shared" si="3"/>
        <v>4.4802758853823105E-10</v>
      </c>
    </row>
    <row r="8" spans="1:37">
      <c r="C8" t="s">
        <v>49</v>
      </c>
      <c r="D8" t="s">
        <v>369</v>
      </c>
      <c r="E8">
        <v>1073.8</v>
      </c>
      <c r="F8">
        <v>1087.3180870000001</v>
      </c>
      <c r="G8">
        <v>0.48681288099999998</v>
      </c>
      <c r="I8">
        <v>0.31017075300000002</v>
      </c>
      <c r="K8">
        <v>0.50445163000000004</v>
      </c>
      <c r="N8">
        <v>0.484113611</v>
      </c>
      <c r="O8" s="95">
        <v>0.484113611</v>
      </c>
      <c r="P8">
        <v>0.30671570599999998</v>
      </c>
      <c r="R8">
        <v>0.49883245300000001</v>
      </c>
      <c r="S8" s="95">
        <v>0.49883245300000001</v>
      </c>
      <c r="T8" s="97">
        <f t="shared" si="0"/>
        <v>0.49727824631567419</v>
      </c>
      <c r="U8" s="99">
        <f t="shared" si="1"/>
        <v>0.49727824631567419</v>
      </c>
      <c r="W8">
        <v>0.491042596</v>
      </c>
      <c r="X8" t="s">
        <v>395</v>
      </c>
      <c r="AB8">
        <v>1853848.9790000001</v>
      </c>
      <c r="AC8">
        <v>-646.84667109999998</v>
      </c>
      <c r="AF8">
        <v>1773.623</v>
      </c>
      <c r="AG8">
        <v>-0.91500000000000004</v>
      </c>
      <c r="AJ8" s="45">
        <v>4.5371699999999999E-10</v>
      </c>
      <c r="AK8">
        <f t="shared" si="3"/>
        <v>4.4802758853823105E-10</v>
      </c>
    </row>
    <row r="9" spans="1:37">
      <c r="C9" t="s">
        <v>51</v>
      </c>
      <c r="D9" t="s">
        <v>272</v>
      </c>
      <c r="E9">
        <v>1042.7</v>
      </c>
      <c r="F9">
        <v>1052.1638780000001</v>
      </c>
      <c r="G9">
        <v>0.37423569899999998</v>
      </c>
      <c r="I9">
        <v>0.26186834799999997</v>
      </c>
      <c r="K9">
        <v>0.41546111200000002</v>
      </c>
      <c r="N9">
        <v>0.37219191699999998</v>
      </c>
      <c r="O9" s="95">
        <v>0.37219191699999998</v>
      </c>
      <c r="P9">
        <v>0.25926783399999997</v>
      </c>
      <c r="R9">
        <v>0.411335328</v>
      </c>
      <c r="S9" s="95">
        <v>0.411335328</v>
      </c>
      <c r="T9" s="97">
        <f t="shared" si="0"/>
        <v>0.41546111200000002</v>
      </c>
      <c r="U9" s="99">
        <f t="shared" si="1"/>
        <v>0.41546111200000002</v>
      </c>
      <c r="W9">
        <v>0.36749821500000002</v>
      </c>
      <c r="X9" t="s">
        <v>52</v>
      </c>
      <c r="AB9">
        <v>1508405.084</v>
      </c>
      <c r="AC9">
        <v>-575.65944520000005</v>
      </c>
      <c r="AF9">
        <v>1632.6594</v>
      </c>
      <c r="AG9">
        <v>-0.878</v>
      </c>
      <c r="AJ9" s="96">
        <f t="shared" si="2"/>
        <v>5.0610199970194807E-10</v>
      </c>
      <c r="AK9">
        <f t="shared" si="3"/>
        <v>4.4767506783738748E-10</v>
      </c>
    </row>
    <row r="10" spans="1:37">
      <c r="A10" t="s">
        <v>433</v>
      </c>
      <c r="B10" t="s">
        <v>434</v>
      </c>
      <c r="C10" t="s">
        <v>58</v>
      </c>
      <c r="D10" t="s">
        <v>376</v>
      </c>
      <c r="E10">
        <v>987</v>
      </c>
      <c r="F10">
        <v>986.86210640607999</v>
      </c>
      <c r="G10">
        <v>0.43829220310135403</v>
      </c>
      <c r="I10">
        <v>0.28861057804145501</v>
      </c>
      <c r="K10">
        <v>0.50882615285345101</v>
      </c>
      <c r="N10">
        <v>0.43829220310135403</v>
      </c>
      <c r="O10" s="95">
        <v>0.43829220310135403</v>
      </c>
      <c r="P10">
        <v>0.28861057804145501</v>
      </c>
      <c r="R10">
        <v>0.50882615285345101</v>
      </c>
      <c r="S10" s="95">
        <v>0.50882615285345101</v>
      </c>
      <c r="T10" s="97">
        <f t="shared" si="0"/>
        <v>0.51755063388452016</v>
      </c>
      <c r="U10" s="99">
        <f t="shared" si="1"/>
        <v>0.51755063388452016</v>
      </c>
      <c r="W10">
        <v>0.54390685781354797</v>
      </c>
      <c r="X10" t="s">
        <v>283</v>
      </c>
      <c r="AB10">
        <v>1628871.87942569</v>
      </c>
      <c r="AC10">
        <v>-278.43236600812799</v>
      </c>
      <c r="AF10">
        <v>2101</v>
      </c>
      <c r="AG10" s="45">
        <v>4.8008563169245504E-15</v>
      </c>
      <c r="AJ10" s="96">
        <v>4.5369199999999998E-10</v>
      </c>
      <c r="AK10">
        <f t="shared" si="3"/>
        <v>4.7679622819321007E-10</v>
      </c>
    </row>
    <row r="11" spans="1:37">
      <c r="C11" t="s">
        <v>58</v>
      </c>
      <c r="D11" t="s">
        <v>271</v>
      </c>
      <c r="E11">
        <v>987</v>
      </c>
      <c r="F11">
        <v>986.86210640607999</v>
      </c>
      <c r="G11">
        <v>0.43829220310135403</v>
      </c>
      <c r="I11">
        <v>0.28861057804145501</v>
      </c>
      <c r="K11">
        <v>0.50882615285345101</v>
      </c>
      <c r="N11">
        <v>0.43829220310135403</v>
      </c>
      <c r="O11" s="95">
        <v>0.43829220310135403</v>
      </c>
      <c r="P11">
        <v>0.28861057804145501</v>
      </c>
      <c r="R11">
        <v>0.50882615285345101</v>
      </c>
      <c r="S11" s="95">
        <v>0.50882615285345101</v>
      </c>
      <c r="T11" s="97">
        <f t="shared" si="0"/>
        <v>0.53380750877649152</v>
      </c>
      <c r="U11" s="99">
        <f t="shared" si="1"/>
        <v>0.53380750877649152</v>
      </c>
      <c r="W11">
        <v>0.54390685781354797</v>
      </c>
      <c r="X11" t="s">
        <v>283</v>
      </c>
      <c r="AB11">
        <v>1628871.87942569</v>
      </c>
      <c r="AC11">
        <v>-278.43236600812799</v>
      </c>
      <c r="AF11">
        <v>2101</v>
      </c>
      <c r="AG11" s="45">
        <v>4.8008563169245504E-15</v>
      </c>
      <c r="AJ11" s="96">
        <v>4.6794299999999996E-10</v>
      </c>
      <c r="AK11">
        <f t="shared" si="3"/>
        <v>4.7679622819321007E-10</v>
      </c>
    </row>
    <row r="12" spans="1:37">
      <c r="C12" t="s">
        <v>58</v>
      </c>
      <c r="D12" t="s">
        <v>369</v>
      </c>
      <c r="E12">
        <v>987</v>
      </c>
      <c r="F12">
        <v>986.86210640607999</v>
      </c>
      <c r="G12">
        <v>0.43829220310135403</v>
      </c>
      <c r="I12">
        <v>0.28861057804145501</v>
      </c>
      <c r="K12">
        <v>0.50882615285345101</v>
      </c>
      <c r="N12">
        <v>0.43829220310135403</v>
      </c>
      <c r="O12" s="95">
        <v>0.43829220310135403</v>
      </c>
      <c r="P12">
        <v>0.28861057804145501</v>
      </c>
      <c r="R12">
        <v>0.50882615285345101</v>
      </c>
      <c r="S12" s="95">
        <v>0.50882615285345101</v>
      </c>
      <c r="T12" s="97">
        <f t="shared" si="0"/>
        <v>0.50482096811232813</v>
      </c>
      <c r="U12" s="99">
        <f t="shared" si="1"/>
        <v>0.50482096811232813</v>
      </c>
      <c r="W12">
        <v>0.54390685781354797</v>
      </c>
      <c r="X12" t="s">
        <v>283</v>
      </c>
      <c r="AB12">
        <v>1628871.87942569</v>
      </c>
      <c r="AC12">
        <v>-278.43236600812799</v>
      </c>
      <c r="AF12">
        <v>2101</v>
      </c>
      <c r="AG12" s="45">
        <v>4.8008563169245504E-15</v>
      </c>
      <c r="AJ12" s="96">
        <v>4.42533E-10</v>
      </c>
      <c r="AK12">
        <f t="shared" si="3"/>
        <v>4.7679622819321007E-10</v>
      </c>
    </row>
    <row r="13" spans="1:37">
      <c r="C13" t="s">
        <v>340</v>
      </c>
      <c r="D13" t="s">
        <v>271</v>
      </c>
      <c r="E13">
        <v>1045</v>
      </c>
      <c r="F13">
        <v>1099.77997799779</v>
      </c>
      <c r="G13">
        <v>0.448735993317051</v>
      </c>
      <c r="I13">
        <v>0.37311089961278099</v>
      </c>
      <c r="K13">
        <v>0.62790713794123298</v>
      </c>
      <c r="N13">
        <v>0.44251165203382697</v>
      </c>
      <c r="O13" s="95">
        <v>0.44251165203382697</v>
      </c>
      <c r="P13">
        <v>0.36904516051010999</v>
      </c>
      <c r="R13">
        <v>0.62106491862728797</v>
      </c>
      <c r="S13" s="95">
        <v>0.62106491862728797</v>
      </c>
      <c r="T13" s="97">
        <f t="shared" si="0"/>
        <v>0.73070914926052133</v>
      </c>
      <c r="U13" s="99">
        <f t="shared" si="1"/>
        <v>0.73070914926052133</v>
      </c>
      <c r="W13">
        <v>1.0258529508908301</v>
      </c>
      <c r="X13" t="s">
        <v>423</v>
      </c>
      <c r="AB13">
        <v>1928974.58503027</v>
      </c>
      <c r="AC13">
        <v>-390.79019498306099</v>
      </c>
      <c r="AF13">
        <v>2065.0300000000002</v>
      </c>
      <c r="AG13" s="45">
        <v>2.2410472797632E-16</v>
      </c>
      <c r="AJ13" s="45">
        <v>5.5031699999999999E-10</v>
      </c>
      <c r="AK13">
        <f t="shared" si="3"/>
        <v>7.7259785093249284E-10</v>
      </c>
    </row>
    <row r="14" spans="1:37">
      <c r="C14" t="s">
        <v>340</v>
      </c>
      <c r="D14" t="s">
        <v>422</v>
      </c>
      <c r="E14">
        <v>1045</v>
      </c>
      <c r="F14">
        <v>1099.77997799779</v>
      </c>
      <c r="G14">
        <v>0.448735993317051</v>
      </c>
      <c r="I14">
        <v>0.37311089961278099</v>
      </c>
      <c r="K14">
        <v>0.62790713794123298</v>
      </c>
      <c r="N14">
        <v>0.44251165203382697</v>
      </c>
      <c r="O14" s="95">
        <v>0.44251165203382697</v>
      </c>
      <c r="P14">
        <v>0.36904516051010999</v>
      </c>
      <c r="R14">
        <v>0.62106491862728797</v>
      </c>
      <c r="S14" s="95">
        <v>0.62106491862728797</v>
      </c>
      <c r="T14" s="97">
        <f t="shared" si="0"/>
        <v>0.63127481120498741</v>
      </c>
      <c r="U14" s="99">
        <f t="shared" si="1"/>
        <v>0.63127481120498741</v>
      </c>
      <c r="W14">
        <v>1.0258529508908301</v>
      </c>
      <c r="X14" t="s">
        <v>423</v>
      </c>
      <c r="AB14">
        <v>1928974.58503027</v>
      </c>
      <c r="AC14">
        <v>-390.79019498306099</v>
      </c>
      <c r="AF14">
        <v>2065.0300000000002</v>
      </c>
      <c r="AG14" s="45">
        <v>2.2410472797632E-16</v>
      </c>
      <c r="AJ14" s="96">
        <v>4.7543028663246597E-10</v>
      </c>
      <c r="AK14">
        <f t="shared" si="3"/>
        <v>7.7259785093249284E-10</v>
      </c>
    </row>
    <row r="15" spans="1:37">
      <c r="C15" t="s">
        <v>341</v>
      </c>
      <c r="D15" t="s">
        <v>271</v>
      </c>
      <c r="E15">
        <v>1146</v>
      </c>
      <c r="G15">
        <v>0.38351170800000001</v>
      </c>
      <c r="I15">
        <v>0.33599408200000003</v>
      </c>
      <c r="K15">
        <v>0.546883746</v>
      </c>
      <c r="AB15">
        <v>1799756.6029999999</v>
      </c>
      <c r="AC15">
        <v>-381.38097219999997</v>
      </c>
      <c r="AF15">
        <v>1873.13</v>
      </c>
      <c r="AG15" s="45">
        <v>-3.2000000000000002E-16</v>
      </c>
      <c r="AJ15" s="45">
        <v>5.0506200000000003E-10</v>
      </c>
    </row>
    <row r="16" spans="1:37">
      <c r="A16" t="s">
        <v>425</v>
      </c>
      <c r="B16" t="s">
        <v>428</v>
      </c>
      <c r="C16" t="s">
        <v>178</v>
      </c>
      <c r="D16" t="s">
        <v>348</v>
      </c>
      <c r="E16">
        <v>927.15</v>
      </c>
      <c r="F16">
        <v>933.1</v>
      </c>
      <c r="G16">
        <v>1.014055878</v>
      </c>
      <c r="H16">
        <v>1.067383376</v>
      </c>
      <c r="I16">
        <v>0.792669662</v>
      </c>
      <c r="J16">
        <v>0.73580819600000003</v>
      </c>
      <c r="K16">
        <v>0.81987116500000001</v>
      </c>
      <c r="L16">
        <v>0.76105842300000004</v>
      </c>
      <c r="M16">
        <v>1.2300446970000001</v>
      </c>
      <c r="N16">
        <v>1.0124409320000001</v>
      </c>
      <c r="O16">
        <v>1.065558754</v>
      </c>
      <c r="P16">
        <v>0.78967818400000001</v>
      </c>
      <c r="Q16">
        <v>0.73351782499999996</v>
      </c>
      <c r="R16">
        <v>0.81677703099999999</v>
      </c>
      <c r="S16">
        <v>0.75868945499999996</v>
      </c>
      <c r="T16" s="98">
        <f>1/3*AB16*AF16*AJ16</f>
        <v>0.82444870625291233</v>
      </c>
      <c r="U16" s="98">
        <f>1/3*AD16*AH16*AJ16</f>
        <v>0.76530759833171536</v>
      </c>
      <c r="V16">
        <v>1.228219553</v>
      </c>
      <c r="W16">
        <v>0.86868920999999999</v>
      </c>
      <c r="X16" t="s">
        <v>349</v>
      </c>
      <c r="AB16">
        <v>4180231.6949999998</v>
      </c>
      <c r="AC16">
        <v>-1150.5433379999999</v>
      </c>
      <c r="AD16">
        <v>4180231.6949999998</v>
      </c>
      <c r="AE16">
        <v>-1150.5433379999999</v>
      </c>
      <c r="AF16">
        <v>2592.8447540000002</v>
      </c>
      <c r="AG16">
        <v>-1.0632393819999999</v>
      </c>
      <c r="AH16">
        <v>2406.8492999999999</v>
      </c>
      <c r="AI16">
        <v>-0.69799999999999995</v>
      </c>
      <c r="AJ16" s="45">
        <v>2.2819599999999999E-10</v>
      </c>
      <c r="AK16">
        <f>W16/(1/3*AD16*AH16)</f>
        <v>2.5902186702089745E-10</v>
      </c>
    </row>
    <row r="17" spans="1:37">
      <c r="C17" t="s">
        <v>397</v>
      </c>
      <c r="D17" t="s">
        <v>346</v>
      </c>
      <c r="E17">
        <v>648.15</v>
      </c>
      <c r="F17">
        <v>746.27899339999999</v>
      </c>
      <c r="G17">
        <v>0.98532243799999997</v>
      </c>
      <c r="H17">
        <v>1.535953012</v>
      </c>
      <c r="I17">
        <v>0.70337308200000004</v>
      </c>
      <c r="J17">
        <v>1.0927876480000001</v>
      </c>
      <c r="K17">
        <v>0.75008004699999997</v>
      </c>
      <c r="L17">
        <v>1.1653533979999999</v>
      </c>
      <c r="M17">
        <v>1.238570596</v>
      </c>
      <c r="N17">
        <v>0.97854224499999998</v>
      </c>
      <c r="O17">
        <v>1.520883459</v>
      </c>
      <c r="P17">
        <v>0.691384216</v>
      </c>
      <c r="Q17">
        <v>1.0387508649999999</v>
      </c>
      <c r="R17">
        <v>0.73729507000000005</v>
      </c>
      <c r="S17">
        <v>1.107728343</v>
      </c>
      <c r="T17" s="98">
        <f t="shared" ref="T17:T33" si="4">1/3*AB17*AF17*AJ17</f>
        <v>0.75493631478082701</v>
      </c>
      <c r="U17" s="98">
        <f t="shared" ref="U17:U33" si="5">1/3*AD17*AH17*AJ17</f>
        <v>1.1728982824634968</v>
      </c>
      <c r="V17">
        <v>1.2195234070000001</v>
      </c>
      <c r="W17">
        <v>1.23948167</v>
      </c>
      <c r="X17" t="s">
        <v>398</v>
      </c>
      <c r="AB17">
        <v>4148286.111</v>
      </c>
      <c r="AC17">
        <v>-396.11656770000002</v>
      </c>
      <c r="AD17">
        <v>4900967.1409999998</v>
      </c>
      <c r="AE17">
        <v>-926.30419610000001</v>
      </c>
      <c r="AF17">
        <v>2705.7050159999999</v>
      </c>
      <c r="AG17">
        <v>-0.33945409300000001</v>
      </c>
      <c r="AH17">
        <v>3558.0937920000001</v>
      </c>
      <c r="AI17">
        <v>-1.101929884</v>
      </c>
      <c r="AJ17" s="45">
        <v>2.0178199999999999E-10</v>
      </c>
      <c r="AK17">
        <f t="shared" ref="AK17:AK22" si="6">W17/(1/3*AD17*AH17)</f>
        <v>2.1323681181511477E-10</v>
      </c>
    </row>
    <row r="18" spans="1:37">
      <c r="C18" t="s">
        <v>399</v>
      </c>
      <c r="D18" t="s">
        <v>417</v>
      </c>
      <c r="E18">
        <v>732.2</v>
      </c>
      <c r="F18">
        <v>733</v>
      </c>
      <c r="G18">
        <v>1.002538852</v>
      </c>
      <c r="H18">
        <v>1.51903579</v>
      </c>
      <c r="I18">
        <v>0.77472216000000005</v>
      </c>
      <c r="J18">
        <v>1.1953627360000001</v>
      </c>
      <c r="K18">
        <v>0.79321491200000005</v>
      </c>
      <c r="L18">
        <v>1.223896251</v>
      </c>
      <c r="M18">
        <v>1.3125596450000001</v>
      </c>
      <c r="N18">
        <v>1.002538852</v>
      </c>
      <c r="O18">
        <v>1.51903579</v>
      </c>
      <c r="P18">
        <v>0.77472216000000005</v>
      </c>
      <c r="Q18">
        <v>1.1953627360000001</v>
      </c>
      <c r="R18">
        <v>0.79321491200000005</v>
      </c>
      <c r="S18">
        <v>1.223896251</v>
      </c>
      <c r="T18" s="98">
        <f t="shared" si="4"/>
        <v>0.81583352061625736</v>
      </c>
      <c r="U18" s="98">
        <f t="shared" si="5"/>
        <v>1.2587957840231683</v>
      </c>
      <c r="V18">
        <v>1.3125596450000001</v>
      </c>
      <c r="W18">
        <v>1.1819500000000001</v>
      </c>
      <c r="X18" t="s">
        <v>400</v>
      </c>
      <c r="Y18">
        <v>1.1000000000000001</v>
      </c>
      <c r="Z18" t="s">
        <v>81</v>
      </c>
      <c r="AB18">
        <v>4323604.2419999996</v>
      </c>
      <c r="AC18">
        <v>-588.95195820000004</v>
      </c>
      <c r="AD18">
        <v>5314316.773</v>
      </c>
      <c r="AE18">
        <v>-1020.642827</v>
      </c>
      <c r="AF18">
        <v>2760.646115</v>
      </c>
      <c r="AG18">
        <v>-0.54478049699999997</v>
      </c>
      <c r="AH18">
        <v>3465.4765849999999</v>
      </c>
      <c r="AI18">
        <v>-1.101929884</v>
      </c>
      <c r="AJ18" s="45">
        <v>2.0505300000000001E-10</v>
      </c>
      <c r="AK18">
        <f t="shared" si="6"/>
        <v>1.9253511683634566E-10</v>
      </c>
    </row>
    <row r="19" spans="1:37">
      <c r="C19" t="s">
        <v>399</v>
      </c>
      <c r="D19" t="s">
        <v>347</v>
      </c>
      <c r="E19">
        <v>713.15</v>
      </c>
      <c r="F19">
        <v>742</v>
      </c>
      <c r="G19">
        <v>1.0026613717161601</v>
      </c>
      <c r="H19">
        <v>1.5321496703039901</v>
      </c>
      <c r="I19">
        <v>0.77869667496149497</v>
      </c>
      <c r="J19">
        <v>1.2070034314887701</v>
      </c>
      <c r="K19">
        <v>0.83996625054225205</v>
      </c>
      <c r="L19">
        <v>1.30197312938236</v>
      </c>
      <c r="M19">
        <v>1.3173179153819901</v>
      </c>
      <c r="N19">
        <v>0.99913346997283503</v>
      </c>
      <c r="O19">
        <v>1.5247355271605501</v>
      </c>
      <c r="P19">
        <v>0.77251605532610301</v>
      </c>
      <c r="Q19">
        <v>1.1889959754678101</v>
      </c>
      <c r="R19">
        <v>0.83329932609259405</v>
      </c>
      <c r="S19">
        <v>1.28254880691883</v>
      </c>
      <c r="T19" s="98">
        <f t="shared" si="4"/>
        <v>0.85830993197224359</v>
      </c>
      <c r="U19" s="98">
        <f t="shared" si="5"/>
        <v>1.3304063911954205</v>
      </c>
      <c r="V19">
        <v>1.3099479510700101</v>
      </c>
      <c r="W19">
        <v>1.10003584410532</v>
      </c>
      <c r="X19" t="s">
        <v>401</v>
      </c>
      <c r="Y19">
        <v>1.1000000000000001</v>
      </c>
      <c r="Z19" t="s">
        <v>81</v>
      </c>
      <c r="AB19">
        <v>4334227.3380131098</v>
      </c>
      <c r="AC19">
        <v>-587.70577569964496</v>
      </c>
      <c r="AD19">
        <v>5333760.0191836702</v>
      </c>
      <c r="AE19">
        <v>-1020.64282723632</v>
      </c>
      <c r="AF19">
        <v>2768.0079108828199</v>
      </c>
      <c r="AG19">
        <v>-0.538406484156978</v>
      </c>
      <c r="AH19">
        <v>3486.4683492253998</v>
      </c>
      <c r="AI19">
        <v>-1.10192988399999</v>
      </c>
      <c r="AJ19" s="45">
        <v>2.14628E-10</v>
      </c>
      <c r="AK19">
        <f t="shared" si="6"/>
        <v>1.7746343877414268E-10</v>
      </c>
    </row>
    <row r="20" spans="1:37">
      <c r="C20" t="s">
        <v>399</v>
      </c>
      <c r="D20" t="s">
        <v>347</v>
      </c>
      <c r="E20">
        <v>713.15</v>
      </c>
      <c r="F20">
        <v>733</v>
      </c>
      <c r="G20">
        <v>1.0026613717161601</v>
      </c>
      <c r="H20">
        <v>1.5321496703039901</v>
      </c>
      <c r="I20">
        <v>0.77869667496149497</v>
      </c>
      <c r="J20">
        <v>1.2070034314887701</v>
      </c>
      <c r="K20">
        <v>0.83996625054225205</v>
      </c>
      <c r="L20">
        <v>1.30197312938236</v>
      </c>
      <c r="M20">
        <v>1.3173179153819901</v>
      </c>
      <c r="N20">
        <v>1.00030953329204</v>
      </c>
      <c r="O20">
        <v>1.5272069694145101</v>
      </c>
      <c r="P20">
        <v>0.77459168631564501</v>
      </c>
      <c r="Q20">
        <v>1.19498433780674</v>
      </c>
      <c r="R20">
        <v>0.83553827231627098</v>
      </c>
      <c r="S20">
        <v>1.28900834684299</v>
      </c>
      <c r="T20" s="98">
        <f t="shared" si="4"/>
        <v>0.85830993197224359</v>
      </c>
      <c r="U20" s="98">
        <f t="shared" si="5"/>
        <v>1.3304063911954205</v>
      </c>
      <c r="V20">
        <v>1.31240460584067</v>
      </c>
      <c r="W20">
        <v>1.1867124999999901</v>
      </c>
      <c r="X20" t="s">
        <v>400</v>
      </c>
      <c r="Y20">
        <v>1.1000000000000001</v>
      </c>
      <c r="Z20" t="s">
        <v>81</v>
      </c>
      <c r="AB20">
        <v>4334227.3380131098</v>
      </c>
      <c r="AC20">
        <v>-587.70577569964496</v>
      </c>
      <c r="AD20">
        <v>5333760.0191836702</v>
      </c>
      <c r="AE20">
        <v>-1020.64282723632</v>
      </c>
      <c r="AF20">
        <v>2768.0079108828199</v>
      </c>
      <c r="AG20">
        <v>-0.538406484156978</v>
      </c>
      <c r="AH20">
        <v>3486.4683492253998</v>
      </c>
      <c r="AI20">
        <v>-1.10192988399999</v>
      </c>
      <c r="AJ20" s="45">
        <v>2.14628E-10</v>
      </c>
      <c r="AK20">
        <f t="shared" si="6"/>
        <v>1.9144656259591383E-10</v>
      </c>
    </row>
    <row r="21" spans="1:37">
      <c r="C21" t="s">
        <v>402</v>
      </c>
      <c r="D21" t="s">
        <v>350</v>
      </c>
      <c r="E21">
        <v>735</v>
      </c>
      <c r="F21">
        <v>742.4</v>
      </c>
      <c r="G21">
        <v>0.69546259799999999</v>
      </c>
      <c r="H21">
        <v>0.905096868</v>
      </c>
      <c r="I21">
        <v>0.65005468700000002</v>
      </c>
      <c r="J21">
        <v>0.77295464199999997</v>
      </c>
      <c r="K21">
        <v>0.68950912499999994</v>
      </c>
      <c r="L21">
        <v>0.81986837400000001</v>
      </c>
      <c r="M21">
        <v>1.0993871340000001</v>
      </c>
      <c r="N21">
        <v>0.69317885499999998</v>
      </c>
      <c r="O21">
        <v>0.90175870999999996</v>
      </c>
      <c r="P21">
        <v>0.64594060200000003</v>
      </c>
      <c r="Q21">
        <v>0.76685545600000005</v>
      </c>
      <c r="R21">
        <v>0.68514534000000005</v>
      </c>
      <c r="S21">
        <v>0.81339900399999998</v>
      </c>
      <c r="T21" s="98">
        <f t="shared" si="4"/>
        <v>0.69709851325975669</v>
      </c>
      <c r="U21" s="98">
        <f t="shared" si="5"/>
        <v>0.82889261897459166</v>
      </c>
      <c r="V21">
        <v>1.0964289089999999</v>
      </c>
      <c r="W21">
        <v>0.79004699</v>
      </c>
      <c r="X21" t="s">
        <v>43</v>
      </c>
      <c r="AB21">
        <v>3402318.9029999999</v>
      </c>
      <c r="AC21">
        <v>-956.9619434</v>
      </c>
      <c r="AD21">
        <v>4129410.071</v>
      </c>
      <c r="AE21">
        <v>-1374.743747</v>
      </c>
      <c r="AF21">
        <v>2408.0440870000002</v>
      </c>
      <c r="AG21">
        <v>-0.94777014900000001</v>
      </c>
      <c r="AH21">
        <v>2359.15</v>
      </c>
      <c r="AI21">
        <v>-1.2</v>
      </c>
      <c r="AJ21" s="45">
        <v>2.5525600000000002E-10</v>
      </c>
      <c r="AK21">
        <f t="shared" si="6"/>
        <v>2.4329355801106695E-10</v>
      </c>
    </row>
    <row r="22" spans="1:37">
      <c r="C22" t="s">
        <v>403</v>
      </c>
      <c r="D22" t="s">
        <v>418</v>
      </c>
      <c r="E22">
        <v>958</v>
      </c>
      <c r="F22">
        <v>993.01377730000002</v>
      </c>
      <c r="G22">
        <v>0.57197134999999999</v>
      </c>
      <c r="H22">
        <v>0.59758620600000001</v>
      </c>
      <c r="I22">
        <v>0.48604519699999998</v>
      </c>
      <c r="J22">
        <v>0.49336010899999999</v>
      </c>
      <c r="K22">
        <v>0.48768133899999999</v>
      </c>
      <c r="L22">
        <v>0.49502087500000003</v>
      </c>
      <c r="M22">
        <v>0.74453172700000003</v>
      </c>
      <c r="N22">
        <v>0.56448951300000005</v>
      </c>
      <c r="O22">
        <v>0.58988275099999998</v>
      </c>
      <c r="P22">
        <v>0.47418605600000002</v>
      </c>
      <c r="Q22">
        <v>0.48283678699999999</v>
      </c>
      <c r="R22">
        <v>0.475782278</v>
      </c>
      <c r="S22">
        <v>0.48446212999999999</v>
      </c>
      <c r="T22" s="98">
        <f t="shared" si="4"/>
        <v>0.49332756004481509</v>
      </c>
      <c r="U22" s="98">
        <f t="shared" si="5"/>
        <v>0.50075207103009023</v>
      </c>
      <c r="V22">
        <v>0.735807251</v>
      </c>
      <c r="W22">
        <v>0.76602038500000003</v>
      </c>
      <c r="X22" t="s">
        <v>46</v>
      </c>
      <c r="AB22">
        <v>2774359.2609999999</v>
      </c>
      <c r="AC22">
        <v>-854.0082443</v>
      </c>
      <c r="AD22">
        <v>2816112.9810000001</v>
      </c>
      <c r="AE22">
        <v>-610.09615399999996</v>
      </c>
      <c r="AF22">
        <v>2066.835583</v>
      </c>
      <c r="AG22">
        <v>-0.85263324900000004</v>
      </c>
      <c r="AH22">
        <v>2066.835583</v>
      </c>
      <c r="AI22">
        <v>-0.85263324900000004</v>
      </c>
      <c r="AJ22" s="45">
        <v>2.5810000000000002E-10</v>
      </c>
      <c r="AK22">
        <f t="shared" si="6"/>
        <v>3.9482584857171684E-10</v>
      </c>
    </row>
    <row r="23" spans="1:37">
      <c r="T23" s="98"/>
      <c r="U23" s="98"/>
      <c r="AJ23" s="96"/>
    </row>
    <row r="24" spans="1:37">
      <c r="A24" t="s">
        <v>426</v>
      </c>
      <c r="B24" t="s">
        <v>429</v>
      </c>
      <c r="C24" t="s">
        <v>414</v>
      </c>
      <c r="D24" t="s">
        <v>364</v>
      </c>
      <c r="E24">
        <v>927.15</v>
      </c>
      <c r="G24">
        <v>0.41485046880626703</v>
      </c>
      <c r="I24">
        <v>0.314054329772467</v>
      </c>
      <c r="K24">
        <v>0.29741153703425899</v>
      </c>
      <c r="M24">
        <v>0.45658874923387299</v>
      </c>
      <c r="T24" s="98"/>
      <c r="U24" s="98"/>
      <c r="AB24">
        <v>1736870.05256554</v>
      </c>
      <c r="AC24">
        <v>-609.72765824218902</v>
      </c>
      <c r="AF24">
        <v>1802.1553163621099</v>
      </c>
      <c r="AG24">
        <v>-0.89755401367129894</v>
      </c>
      <c r="AJ24" s="45">
        <v>3.0525299999999998E-10</v>
      </c>
    </row>
    <row r="25" spans="1:37">
      <c r="C25" t="s">
        <v>409</v>
      </c>
      <c r="D25" t="s">
        <v>419</v>
      </c>
      <c r="E25">
        <v>771.15</v>
      </c>
      <c r="G25">
        <v>0.41872534571375503</v>
      </c>
      <c r="I25">
        <v>0.41213211347363599</v>
      </c>
      <c r="K25">
        <v>0.37096881971760898</v>
      </c>
      <c r="M25">
        <v>0.641026601296109</v>
      </c>
      <c r="T25" s="98"/>
      <c r="U25" s="98"/>
      <c r="AB25">
        <v>2227090.39103508</v>
      </c>
      <c r="AC25">
        <v>-537.97423144434299</v>
      </c>
      <c r="AF25">
        <v>2101.2951277836</v>
      </c>
      <c r="AG25">
        <v>-0.58476860713520495</v>
      </c>
      <c r="AJ25" s="45">
        <v>2.8376199999999998E-10</v>
      </c>
    </row>
    <row r="26" spans="1:37">
      <c r="C26" t="s">
        <v>410</v>
      </c>
      <c r="D26" t="s">
        <v>359</v>
      </c>
      <c r="E26">
        <v>779.15</v>
      </c>
      <c r="F26">
        <v>822.88235294117601</v>
      </c>
      <c r="G26">
        <v>0.40278115588343499</v>
      </c>
      <c r="H26">
        <v>0.40544836849627802</v>
      </c>
      <c r="I26">
        <v>0.390665315849135</v>
      </c>
      <c r="J26">
        <v>0.381247522638679</v>
      </c>
      <c r="K26">
        <v>0.39864458045138601</v>
      </c>
      <c r="L26">
        <v>0.38903443060995502</v>
      </c>
      <c r="M26">
        <v>0.51314106671456505</v>
      </c>
      <c r="N26">
        <v>0.39721038333759101</v>
      </c>
      <c r="O26">
        <v>0.39998305221610098</v>
      </c>
      <c r="P26">
        <v>0.383066739278836</v>
      </c>
      <c r="Q26">
        <v>0.37476826072071401</v>
      </c>
      <c r="R26">
        <v>0.39089080440318302</v>
      </c>
      <c r="S26">
        <v>0.38242283100248098</v>
      </c>
      <c r="T26" s="98">
        <f t="shared" si="4"/>
        <v>0.40383856992838557</v>
      </c>
      <c r="U26" s="98">
        <f t="shared" si="5"/>
        <v>0.39410320825768014</v>
      </c>
      <c r="V26">
        <v>0.50629198168391398</v>
      </c>
      <c r="W26">
        <v>0.58073622386404899</v>
      </c>
      <c r="X26" t="s">
        <v>411</v>
      </c>
      <c r="AB26">
        <v>2037424.17418427</v>
      </c>
      <c r="AC26">
        <v>-494.77865418926399</v>
      </c>
      <c r="AD26">
        <v>1988307.8621493899</v>
      </c>
      <c r="AE26">
        <v>-363.81379873041402</v>
      </c>
      <c r="AF26">
        <v>2039.9777232997301</v>
      </c>
      <c r="AG26">
        <v>-0.53529196719592897</v>
      </c>
      <c r="AH26">
        <v>2039.9777232997301</v>
      </c>
      <c r="AI26">
        <v>-0.53529196719592897</v>
      </c>
      <c r="AJ26" s="45">
        <v>2.9148899999999998E-10</v>
      </c>
      <c r="AK26">
        <f>W26/(1/3*AD26*AH26)</f>
        <v>4.2952764050382206E-10</v>
      </c>
    </row>
    <row r="27" spans="1:37">
      <c r="C27" t="s">
        <v>410</v>
      </c>
      <c r="D27" t="s">
        <v>359</v>
      </c>
      <c r="E27">
        <v>779.15</v>
      </c>
      <c r="F27">
        <v>792.88235294117601</v>
      </c>
      <c r="G27">
        <v>0.40278115588343499</v>
      </c>
      <c r="H27">
        <v>0.40544836849627802</v>
      </c>
      <c r="I27">
        <v>0.390665315849135</v>
      </c>
      <c r="J27">
        <v>0.381247522638679</v>
      </c>
      <c r="K27">
        <v>0.39864458045138601</v>
      </c>
      <c r="L27">
        <v>0.38903443060995502</v>
      </c>
      <c r="M27">
        <v>0.51314106671456505</v>
      </c>
      <c r="N27">
        <v>0.40110992463079898</v>
      </c>
      <c r="O27">
        <v>0.40380877376209401</v>
      </c>
      <c r="P27">
        <v>0.38839417673531501</v>
      </c>
      <c r="Q27">
        <v>0.37931329036105699</v>
      </c>
      <c r="R27">
        <v>0.39632705375412203</v>
      </c>
      <c r="S27">
        <v>0.387060692006792</v>
      </c>
      <c r="T27" s="98">
        <f t="shared" si="4"/>
        <v>0.40383856992838557</v>
      </c>
      <c r="U27" s="98">
        <f t="shared" si="5"/>
        <v>0.39410320825768014</v>
      </c>
      <c r="V27">
        <v>0.51108634120537</v>
      </c>
      <c r="W27">
        <v>0.61309196768942897</v>
      </c>
      <c r="X27" t="s">
        <v>412</v>
      </c>
      <c r="AB27">
        <v>2037424.17418427</v>
      </c>
      <c r="AC27">
        <v>-494.77865418926399</v>
      </c>
      <c r="AD27">
        <v>1988307.8621493899</v>
      </c>
      <c r="AE27">
        <v>-363.81379873041402</v>
      </c>
      <c r="AF27">
        <v>2039.9777232997301</v>
      </c>
      <c r="AG27">
        <v>-0.53529196719592897</v>
      </c>
      <c r="AH27">
        <v>2039.9777232997301</v>
      </c>
      <c r="AI27">
        <v>-0.53529196719592897</v>
      </c>
      <c r="AJ27" s="45">
        <v>2.9148899999999998E-10</v>
      </c>
      <c r="AK27">
        <f>W27/(1/3*AD27*AH27)</f>
        <v>4.5345879156856956E-10</v>
      </c>
    </row>
    <row r="28" spans="1:37">
      <c r="C28" t="s">
        <v>404</v>
      </c>
      <c r="D28" t="s">
        <v>359</v>
      </c>
      <c r="E28">
        <v>921.15</v>
      </c>
      <c r="G28">
        <v>0.33458127100000001</v>
      </c>
      <c r="I28">
        <v>0.31245402700000002</v>
      </c>
      <c r="K28">
        <v>0.40005312900000001</v>
      </c>
      <c r="M28">
        <v>0.41564916200000002</v>
      </c>
      <c r="T28" s="98"/>
      <c r="U28" s="98"/>
      <c r="AB28">
        <v>1699665.4909999999</v>
      </c>
      <c r="AC28">
        <v>-536.55342389999998</v>
      </c>
      <c r="AF28">
        <v>1788.92832</v>
      </c>
      <c r="AG28">
        <v>-0.807659138</v>
      </c>
      <c r="AJ28" s="45">
        <v>4.0100299999999999E-10</v>
      </c>
    </row>
    <row r="29" spans="1:37">
      <c r="C29" t="s">
        <v>404</v>
      </c>
      <c r="D29" t="s">
        <v>359</v>
      </c>
      <c r="E29">
        <v>921.15</v>
      </c>
      <c r="G29">
        <v>0.334581271495481</v>
      </c>
      <c r="I29">
        <v>0.31245402733677802</v>
      </c>
      <c r="K29">
        <v>0.40005312940732901</v>
      </c>
      <c r="M29">
        <v>0.41564916186099998</v>
      </c>
      <c r="T29" s="98"/>
      <c r="U29" s="98"/>
      <c r="AB29">
        <v>1699665.49092353</v>
      </c>
      <c r="AC29">
        <v>-536.55342388549798</v>
      </c>
      <c r="AF29">
        <v>1788.9283202763399</v>
      </c>
      <c r="AG29">
        <v>-0.80765913810327095</v>
      </c>
      <c r="AJ29" s="45">
        <v>4.0100299999999999E-10</v>
      </c>
    </row>
    <row r="30" spans="1:37">
      <c r="C30" t="s">
        <v>405</v>
      </c>
      <c r="D30" t="s">
        <v>420</v>
      </c>
      <c r="E30">
        <v>658.15</v>
      </c>
      <c r="F30">
        <v>722.73280584297004</v>
      </c>
      <c r="G30">
        <v>0.415599756638869</v>
      </c>
      <c r="H30">
        <v>0.41029940953758698</v>
      </c>
      <c r="I30">
        <v>0.35068436878095199</v>
      </c>
      <c r="J30">
        <v>0.26195244520996502</v>
      </c>
      <c r="K30">
        <v>0.34371290207405603</v>
      </c>
      <c r="L30">
        <v>0.25674493408844101</v>
      </c>
      <c r="M30">
        <v>0.49816349735321303</v>
      </c>
      <c r="N30">
        <v>0.40661804145337699</v>
      </c>
      <c r="O30">
        <v>0.40015577375356698</v>
      </c>
      <c r="P30">
        <v>0.34048017882007398</v>
      </c>
      <c r="Q30">
        <v>0.25226821129067301</v>
      </c>
      <c r="R30">
        <v>0.33371156737824298</v>
      </c>
      <c r="S30">
        <v>0.247253218913526</v>
      </c>
      <c r="T30" s="98">
        <f t="shared" si="4"/>
        <v>0.34683268082883584</v>
      </c>
      <c r="U30" s="98">
        <f t="shared" si="5"/>
        <v>0.25907533072450972</v>
      </c>
      <c r="V30">
        <v>0.48823177174833698</v>
      </c>
      <c r="W30">
        <v>0.48206143203948898</v>
      </c>
      <c r="X30" t="s">
        <v>406</v>
      </c>
      <c r="Y30">
        <v>0.481881</v>
      </c>
      <c r="Z30" t="s">
        <v>407</v>
      </c>
      <c r="AB30">
        <v>1820781.03589645</v>
      </c>
      <c r="AC30">
        <v>-431.00377355244501</v>
      </c>
      <c r="AD30">
        <v>1360077.8563441799</v>
      </c>
      <c r="AE30">
        <v>-482.68212307184803</v>
      </c>
      <c r="AF30">
        <v>2082.7741277432401</v>
      </c>
      <c r="AG30">
        <v>-0.56546558834648497</v>
      </c>
      <c r="AH30">
        <v>2082.7741277432401</v>
      </c>
      <c r="AI30">
        <v>-0.56546558834648497</v>
      </c>
      <c r="AJ30" s="45">
        <v>2.7437299999999998E-10</v>
      </c>
      <c r="AK30">
        <f>W30/(1/3*AD30*AH30)</f>
        <v>5.1052580314416583E-10</v>
      </c>
    </row>
    <row r="31" spans="1:37">
      <c r="C31" t="s">
        <v>408</v>
      </c>
      <c r="D31" t="s">
        <v>420</v>
      </c>
      <c r="E31">
        <v>660.15</v>
      </c>
      <c r="F31">
        <v>722.73280584297004</v>
      </c>
      <c r="G31">
        <v>0.393714521475093</v>
      </c>
      <c r="H31">
        <v>0.39118930950951902</v>
      </c>
      <c r="I31">
        <v>0.34976748010176301</v>
      </c>
      <c r="J31">
        <v>0.26709170835509199</v>
      </c>
      <c r="K31">
        <v>0.338372799204049</v>
      </c>
      <c r="L31">
        <v>0.25839042833258602</v>
      </c>
      <c r="M31">
        <v>0.48112820506210002</v>
      </c>
      <c r="N31">
        <v>0.38518774592563298</v>
      </c>
      <c r="O31">
        <v>0.38163468391340599</v>
      </c>
      <c r="P31">
        <v>0.33909051274901397</v>
      </c>
      <c r="Q31">
        <v>0.25729941208292401</v>
      </c>
      <c r="R31">
        <v>0.32804366474847102</v>
      </c>
      <c r="S31">
        <v>0.24891714425459099</v>
      </c>
      <c r="T31" s="98">
        <f t="shared" si="4"/>
        <v>0.35325953634429208</v>
      </c>
      <c r="U31" s="98">
        <f t="shared" si="5"/>
        <v>0.26975833495862195</v>
      </c>
      <c r="V31">
        <v>0.47179184813351899</v>
      </c>
      <c r="W31">
        <v>0.481544580427339</v>
      </c>
      <c r="X31" t="s">
        <v>406</v>
      </c>
      <c r="Y31">
        <v>0.48136099999999998</v>
      </c>
      <c r="Z31" t="s">
        <v>407</v>
      </c>
      <c r="AB31">
        <v>1785221.7495239601</v>
      </c>
      <c r="AC31">
        <v>-455.02882324819899</v>
      </c>
      <c r="AD31">
        <v>1363242.5940064299</v>
      </c>
      <c r="AE31">
        <v>-484.14890846985099</v>
      </c>
      <c r="AF31">
        <v>2052.5614117156001</v>
      </c>
      <c r="AG31">
        <v>-0.65308249636897897</v>
      </c>
      <c r="AH31">
        <v>2052.5614117156001</v>
      </c>
      <c r="AI31">
        <v>-0.65308249636897897</v>
      </c>
      <c r="AJ31" s="45">
        <v>2.89219E-10</v>
      </c>
      <c r="AK31">
        <f>W31/(1/3*AD31*AH31)</f>
        <v>5.1628373977018122E-10</v>
      </c>
    </row>
    <row r="32" spans="1:37">
      <c r="C32" t="s">
        <v>413</v>
      </c>
      <c r="D32" t="s">
        <v>359</v>
      </c>
      <c r="E32">
        <v>769.45</v>
      </c>
      <c r="G32">
        <v>0.419530868485185</v>
      </c>
      <c r="H32">
        <v>0.419530868485185</v>
      </c>
      <c r="I32">
        <v>0.388028966963262</v>
      </c>
      <c r="J32">
        <v>0.388028966963262</v>
      </c>
      <c r="K32">
        <v>0.38903579474212202</v>
      </c>
      <c r="L32">
        <v>0.38903579474212202</v>
      </c>
      <c r="M32">
        <v>0.50641835214741004</v>
      </c>
      <c r="T32" s="98"/>
      <c r="U32" s="98"/>
      <c r="AB32">
        <v>2019238.0687336901</v>
      </c>
      <c r="AC32">
        <v>-491.56569451511302</v>
      </c>
      <c r="AD32">
        <v>2019238.0687336901</v>
      </c>
      <c r="AE32">
        <v>-491.56569451511302</v>
      </c>
      <c r="AF32">
        <v>2029.6512982499301</v>
      </c>
      <c r="AG32">
        <v>-0.54189987165813402</v>
      </c>
      <c r="AH32">
        <v>2029.6512982499301</v>
      </c>
      <c r="AI32">
        <v>-0.54189987165813402</v>
      </c>
      <c r="AJ32" s="45">
        <v>2.8761700000000001E-10</v>
      </c>
    </row>
    <row r="33" spans="1:37">
      <c r="C33" t="s">
        <v>415</v>
      </c>
      <c r="D33" t="s">
        <v>359</v>
      </c>
      <c r="E33">
        <v>693.98</v>
      </c>
      <c r="F33">
        <v>749.18962722852496</v>
      </c>
      <c r="G33">
        <v>0.39286591394850101</v>
      </c>
      <c r="H33">
        <v>0.40084534235158698</v>
      </c>
      <c r="I33">
        <v>0.36978447341794801</v>
      </c>
      <c r="J33">
        <v>0.349107649067602</v>
      </c>
      <c r="K33">
        <v>0.34304766887515398</v>
      </c>
      <c r="L33">
        <v>0.323865856487077</v>
      </c>
      <c r="M33">
        <v>0.522609724140501</v>
      </c>
      <c r="N33">
        <v>0.385897697082353</v>
      </c>
      <c r="O33">
        <v>0.39371521148919802</v>
      </c>
      <c r="P33">
        <v>0.36107462040670901</v>
      </c>
      <c r="Q33">
        <v>0.34240071201634398</v>
      </c>
      <c r="R33">
        <v>0.33496757090853801</v>
      </c>
      <c r="S33">
        <v>0.31764385614330798</v>
      </c>
      <c r="T33" s="98">
        <f t="shared" si="4"/>
        <v>0.34658785618516608</v>
      </c>
      <c r="U33" s="98">
        <f t="shared" si="5"/>
        <v>0.32720809110724236</v>
      </c>
      <c r="V33">
        <v>0.51375373188596696</v>
      </c>
      <c r="W33">
        <v>0.53550323241367803</v>
      </c>
      <c r="X33" t="s">
        <v>416</v>
      </c>
      <c r="AB33">
        <v>1937107.5416000001</v>
      </c>
      <c r="AC33">
        <v>-448.02543559863301</v>
      </c>
      <c r="AD33">
        <v>1828792.4681866199</v>
      </c>
      <c r="AE33">
        <v>-275.79915850202298</v>
      </c>
      <c r="AF33">
        <v>2095.8298625132702</v>
      </c>
      <c r="AG33">
        <v>-0.51172527966872094</v>
      </c>
      <c r="AH33">
        <v>2095.8298625132702</v>
      </c>
      <c r="AI33">
        <v>-0.51172527966872094</v>
      </c>
      <c r="AJ33" s="45">
        <v>2.56109E-10</v>
      </c>
      <c r="AK33">
        <f>W33/(1/3*AD33*AH33)</f>
        <v>4.1914366141173662E-10</v>
      </c>
    </row>
    <row r="34" spans="1:37">
      <c r="A34" t="s">
        <v>427</v>
      </c>
      <c r="B34" t="s">
        <v>430</v>
      </c>
      <c r="C34" t="s">
        <v>342</v>
      </c>
      <c r="D34" t="s">
        <v>396</v>
      </c>
      <c r="E34">
        <v>796.15</v>
      </c>
      <c r="F34">
        <v>802</v>
      </c>
      <c r="G34">
        <v>0.113477225</v>
      </c>
      <c r="I34">
        <v>0.30138327399999998</v>
      </c>
      <c r="K34">
        <v>0.308801714</v>
      </c>
      <c r="M34">
        <v>0.44540780899999999</v>
      </c>
      <c r="N34">
        <v>0.113273346</v>
      </c>
      <c r="O34" s="95">
        <v>0.113273346</v>
      </c>
      <c r="P34">
        <v>0.300722557</v>
      </c>
      <c r="R34">
        <v>0.30812473400000001</v>
      </c>
      <c r="S34" s="95">
        <v>0.30812473400000001</v>
      </c>
      <c r="T34" s="95">
        <v>0.30812473400000001</v>
      </c>
      <c r="U34" s="99">
        <f t="shared" ref="U34" si="7">1/3*AB34*AF34*AJ34</f>
        <v>0.31197207672008526</v>
      </c>
      <c r="V34">
        <v>0.44469124900000001</v>
      </c>
      <c r="W34">
        <v>0.23702504099999999</v>
      </c>
      <c r="X34" t="s">
        <v>344</v>
      </c>
      <c r="AB34">
        <v>2145991.5460000001</v>
      </c>
      <c r="AC34">
        <v>-656.67519870000001</v>
      </c>
      <c r="AF34">
        <v>1462.7145860000001</v>
      </c>
      <c r="AG34">
        <v>-0.390721394</v>
      </c>
      <c r="AJ34" s="45">
        <v>2.9815999999999998E-10</v>
      </c>
    </row>
    <row r="35" spans="1:37">
      <c r="C35" t="s">
        <v>356</v>
      </c>
      <c r="D35" t="s">
        <v>348</v>
      </c>
      <c r="E35">
        <v>923</v>
      </c>
      <c r="G35">
        <v>0.18974505999999999</v>
      </c>
      <c r="I35">
        <v>0.58214845999999998</v>
      </c>
      <c r="K35">
        <v>0.57584661400000003</v>
      </c>
      <c r="M35">
        <v>1.146454514</v>
      </c>
      <c r="AB35">
        <v>4101032.9019999998</v>
      </c>
      <c r="AC35">
        <v>-986.34718090000001</v>
      </c>
      <c r="AF35">
        <v>1938.9072839999999</v>
      </c>
      <c r="AG35">
        <v>-0.53988028300000002</v>
      </c>
      <c r="AJ35" s="45">
        <v>2.1898100000000001E-10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EFE-C2E4-40BF-B69D-827973F85C12}">
  <sheetPr>
    <outlinePr summaryBelow="0"/>
  </sheetPr>
  <dimension ref="A1:BD56"/>
  <sheetViews>
    <sheetView topLeftCell="D1" zoomScale="48" zoomScaleNormal="48" workbookViewId="0">
      <selection activeCell="U2" sqref="U2"/>
    </sheetView>
  </sheetViews>
  <sheetFormatPr defaultColWidth="9.125" defaultRowHeight="14.25"/>
  <cols>
    <col min="1" max="1" width="40.125" style="73" customWidth="1"/>
    <col min="2" max="2" width="7.875" style="73" hidden="1" customWidth="1"/>
    <col min="3" max="3" width="6.375" style="73" hidden="1" customWidth="1"/>
    <col min="4" max="4" width="8.375" style="73" customWidth="1"/>
    <col min="5" max="5" width="9" style="73" customWidth="1"/>
    <col min="6" max="6" width="10.375" style="73" customWidth="1"/>
    <col min="7" max="7" width="11.125" style="73" customWidth="1"/>
    <col min="8" max="8" width="12.75" style="73" customWidth="1"/>
    <col min="9" max="9" width="13" style="73" customWidth="1"/>
    <col min="10" max="10" width="10.625" style="73" customWidth="1"/>
    <col min="11" max="11" width="12.125" style="58" customWidth="1"/>
    <col min="12" max="12" width="13.875" style="58" customWidth="1"/>
    <col min="13" max="13" width="2.375" style="62" customWidth="1"/>
    <col min="14" max="14" width="14.625" style="62" customWidth="1"/>
    <col min="15" max="15" width="13.125" style="62" customWidth="1"/>
    <col min="16" max="16" width="8.875" style="28" customWidth="1"/>
    <col min="17" max="17" width="9.375" style="62" customWidth="1"/>
    <col min="18" max="18" width="2.25" customWidth="1"/>
    <col min="19" max="20" width="5.625" style="62" customWidth="1"/>
    <col min="21" max="22" width="12" style="62" customWidth="1"/>
    <col min="23" max="23" width="12.125" style="24" customWidth="1"/>
    <col min="24" max="24" width="10.125" style="28" customWidth="1"/>
    <col min="25" max="25" width="7.625" style="28" customWidth="1"/>
    <col min="26" max="26" width="6.25" style="28" customWidth="1"/>
    <col min="27" max="27" width="8.375" style="28" customWidth="1"/>
    <col min="28" max="28" width="7.875" style="28" customWidth="1"/>
    <col min="29" max="29" width="6.125" style="28" customWidth="1"/>
    <col min="30" max="33" width="8.875" style="28" customWidth="1"/>
    <col min="34" max="34" width="13.625" style="28" customWidth="1"/>
    <col min="35" max="37" width="11.75" style="28" customWidth="1"/>
    <col min="38" max="38" width="4.25" style="28" customWidth="1"/>
    <col min="39" max="39" width="15.125" customWidth="1"/>
    <col min="40" max="42" width="15.125" hidden="1" customWidth="1"/>
    <col min="43" max="43" width="11.875" style="28" customWidth="1"/>
    <col min="44" max="44" width="9.125" style="28"/>
    <col min="45" max="45" width="14.75" style="28" bestFit="1" customWidth="1"/>
    <col min="46" max="46" width="11" style="28" customWidth="1"/>
    <col min="47" max="49" width="10.875" style="28" customWidth="1"/>
    <col min="50" max="50" width="11" style="28" customWidth="1"/>
    <col min="51" max="52" width="10.875" style="28" customWidth="1"/>
    <col min="53" max="16384" width="9.125" style="28"/>
  </cols>
  <sheetData>
    <row r="1" spans="1:56">
      <c r="AI1" s="100" t="s">
        <v>264</v>
      </c>
      <c r="AJ1" s="100"/>
      <c r="AK1" s="87"/>
      <c r="AL1" s="87"/>
      <c r="AT1" s="100" t="s">
        <v>261</v>
      </c>
      <c r="AU1" s="100"/>
      <c r="AV1" s="100"/>
      <c r="AW1" s="87"/>
      <c r="AX1" s="100" t="s">
        <v>260</v>
      </c>
      <c r="AY1" s="100"/>
      <c r="AZ1" s="100"/>
    </row>
    <row r="2" spans="1:56" s="10" customFormat="1" ht="20.25" customHeight="1" thickBot="1">
      <c r="A2" s="3" t="s">
        <v>96</v>
      </c>
      <c r="B2" s="4" t="s">
        <v>97</v>
      </c>
      <c r="C2" s="3" t="s">
        <v>98</v>
      </c>
      <c r="D2" s="3" t="s">
        <v>99</v>
      </c>
      <c r="E2" s="3" t="s">
        <v>100</v>
      </c>
      <c r="F2" s="5" t="s">
        <v>101</v>
      </c>
      <c r="G2" s="5" t="s">
        <v>102</v>
      </c>
      <c r="H2" s="3" t="s">
        <v>103</v>
      </c>
      <c r="I2" s="3" t="s">
        <v>104</v>
      </c>
      <c r="J2" s="3" t="s">
        <v>105</v>
      </c>
      <c r="K2" s="6" t="s">
        <v>106</v>
      </c>
      <c r="L2" s="6" t="s">
        <v>107</v>
      </c>
      <c r="M2" s="7" t="s">
        <v>108</v>
      </c>
      <c r="N2" s="7" t="s">
        <v>109</v>
      </c>
      <c r="O2" s="7" t="s">
        <v>110</v>
      </c>
      <c r="P2" s="10" t="s">
        <v>230</v>
      </c>
      <c r="Q2" s="8" t="s">
        <v>111</v>
      </c>
      <c r="R2" s="4"/>
      <c r="S2" s="7" t="s">
        <v>112</v>
      </c>
      <c r="T2" s="7" t="s">
        <v>113</v>
      </c>
      <c r="U2" s="7" t="s">
        <v>114</v>
      </c>
      <c r="V2" s="83" t="s">
        <v>197</v>
      </c>
      <c r="W2" s="9" t="s">
        <v>115</v>
      </c>
      <c r="X2" s="10" t="s">
        <v>116</v>
      </c>
      <c r="Y2" s="10" t="s">
        <v>117</v>
      </c>
      <c r="Z2" s="10" t="s">
        <v>118</v>
      </c>
      <c r="AA2" s="10" t="s">
        <v>119</v>
      </c>
      <c r="AB2" s="10" t="s">
        <v>120</v>
      </c>
      <c r="AC2" s="10" t="s">
        <v>121</v>
      </c>
      <c r="AD2" s="10" t="s">
        <v>122</v>
      </c>
      <c r="AE2" s="10" t="s">
        <v>231</v>
      </c>
      <c r="AF2" s="10" t="s">
        <v>234</v>
      </c>
      <c r="AG2" s="10" t="s">
        <v>17</v>
      </c>
      <c r="AH2" s="10" t="s">
        <v>18</v>
      </c>
      <c r="AI2" s="10" t="s">
        <v>263</v>
      </c>
      <c r="AJ2" s="10" t="s">
        <v>262</v>
      </c>
      <c r="AK2" s="10" t="s">
        <v>267</v>
      </c>
      <c r="AM2" s="82" t="s">
        <v>224</v>
      </c>
      <c r="AN2" s="82" t="s">
        <v>225</v>
      </c>
      <c r="AO2" s="82"/>
      <c r="AP2" s="82" t="s">
        <v>226</v>
      </c>
      <c r="AQ2" s="4" t="s">
        <v>232</v>
      </c>
      <c r="AR2" s="4" t="s">
        <v>233</v>
      </c>
      <c r="AS2" s="84" t="s">
        <v>227</v>
      </c>
      <c r="AT2" s="4" t="s">
        <v>235</v>
      </c>
      <c r="AU2" s="4" t="s">
        <v>236</v>
      </c>
      <c r="AV2" s="4" t="s">
        <v>237</v>
      </c>
      <c r="AW2" s="4" t="s">
        <v>270</v>
      </c>
      <c r="AX2" s="4" t="s">
        <v>235</v>
      </c>
      <c r="AY2" s="4" t="s">
        <v>236</v>
      </c>
      <c r="AZ2" s="4" t="s">
        <v>237</v>
      </c>
      <c r="BA2" s="4"/>
      <c r="BB2" s="4"/>
      <c r="BC2" s="10" t="s">
        <v>151</v>
      </c>
    </row>
    <row r="3" spans="1:56" ht="20.25" customHeight="1">
      <c r="A3" s="22" t="s">
        <v>152</v>
      </c>
      <c r="B3" s="23">
        <v>9.9499999999999993</v>
      </c>
      <c r="C3" s="22">
        <v>1</v>
      </c>
      <c r="D3" s="22">
        <v>12</v>
      </c>
      <c r="E3" s="22">
        <v>12</v>
      </c>
      <c r="F3" s="24">
        <f t="shared" ref="F3:F38" si="0">D3*1.6726219E-27</f>
        <v>2.0071462799999999E-26</v>
      </c>
      <c r="G3" s="24">
        <f t="shared" ref="G3:G42" si="1">E3*9.1093856E-31</f>
        <v>1.0931262719999999E-29</v>
      </c>
      <c r="H3" s="25">
        <f>((F3*D3)/(G3*E3))</f>
        <v>1836.1522647586683</v>
      </c>
      <c r="I3" s="25">
        <f>D3/E3</f>
        <v>1</v>
      </c>
      <c r="J3" s="26">
        <f>(F3)-(G3)</f>
        <v>2.0060531537279999E-26</v>
      </c>
      <c r="K3" s="27">
        <v>25.939</v>
      </c>
      <c r="L3" s="28">
        <f>0.115*EXP(27000/(8.3144598*N3))/1000</f>
        <v>2.0988673196732184E-3</v>
      </c>
      <c r="M3" s="29">
        <f>N3^-1</f>
        <v>8.9433439162902998E-4</v>
      </c>
      <c r="N3" s="27">
        <v>1118.1500000000001</v>
      </c>
      <c r="O3" s="30">
        <v>1.42E-5</v>
      </c>
      <c r="P3" s="28">
        <f>6.0223E+23/O3</f>
        <v>4.2410563380281691E+28</v>
      </c>
      <c r="Q3" s="30">
        <v>2.6800000000000001E-4</v>
      </c>
      <c r="S3" s="31">
        <v>7.5999999999999996E-11</v>
      </c>
      <c r="T3" s="31">
        <v>1.3300000000000001E-10</v>
      </c>
      <c r="U3" s="31">
        <f>T3+S3</f>
        <v>2.09E-10</v>
      </c>
      <c r="V3" s="31">
        <f>U3*10000000000</f>
        <v>2.09</v>
      </c>
      <c r="W3" s="31">
        <v>1810000</v>
      </c>
      <c r="X3" s="32">
        <v>2547.8000000000002</v>
      </c>
      <c r="Y3" s="28">
        <v>0</v>
      </c>
      <c r="Z3" s="24">
        <v>2.3580999999999999</v>
      </c>
      <c r="AA3" s="24">
        <v>-4.9019999999999999E-4</v>
      </c>
      <c r="AB3" s="28">
        <v>1</v>
      </c>
      <c r="AC3" s="28">
        <v>1</v>
      </c>
      <c r="AD3" s="28">
        <f>AB3+AC3</f>
        <v>2</v>
      </c>
      <c r="AE3" s="28">
        <f t="shared" ref="AE3:AE14" si="2">6.0223E+23/O3*ABS(AQ3)/(ABS(AQ3)+ABS(AR3))</f>
        <v>2.1205281690140846E+28</v>
      </c>
      <c r="AF3" s="28">
        <f t="shared" ref="AF3:AF14" si="3">6.0223E+23/O3*ABS(AR3)/(ABS(AQ3)+ABS(AR3))</f>
        <v>2.1205281690140846E+28</v>
      </c>
      <c r="AG3" s="28">
        <v>1.2596773073498</v>
      </c>
      <c r="AH3" s="28" t="s">
        <v>54</v>
      </c>
      <c r="AI3" s="88">
        <f>WalzPDFpeaks!D3*0.000000000001</f>
        <v>1.8399999999999998E-10</v>
      </c>
      <c r="AJ3" s="88">
        <f>WalzPDFpeaks!F3*0.000000000001</f>
        <v>2.8200000000000001E-10</v>
      </c>
      <c r="AK3" s="88">
        <f>WalzPDFpeaks!H3*0.000000000001</f>
        <v>2.84E-10</v>
      </c>
      <c r="AL3" s="28" t="s">
        <v>272</v>
      </c>
      <c r="AM3">
        <v>5.9</v>
      </c>
      <c r="AN3" t="s">
        <v>210</v>
      </c>
      <c r="AO3" t="s">
        <v>203</v>
      </c>
      <c r="AP3" t="s">
        <v>204</v>
      </c>
      <c r="AQ3">
        <v>1</v>
      </c>
      <c r="AR3">
        <f>AQ3*-1</f>
        <v>-1</v>
      </c>
      <c r="AS3">
        <f t="shared" ref="AS3:AS23" si="4">SQRT(($AM$46*AM3*$AM$48*N3)/(AE3*(AQ3*$AM$50)^2+AF3*(AR3*$AM$50)^2))</f>
        <v>2.7220278683722049E-11</v>
      </c>
      <c r="AT3" s="45">
        <f t="shared" ref="AT3:AT10" si="5">(AQ3*AR3*$AM$50)/(4*PI()*$AM$46*AM3*AI3)*EXP(-AI3/AS3)</f>
        <v>-1.5379712256758634E-3</v>
      </c>
      <c r="AU3" s="45">
        <f t="shared" ref="AU3:AU10" si="6">(AQ3*AQ3*$AM$50)/(4*PI()*$AM$46*AM3*AJ3)*EXP(-AJ3/AS3)</f>
        <v>2.7412279946817221E-5</v>
      </c>
      <c r="AV3" s="45">
        <f t="shared" ref="AV3:AV10" si="7">(AR3*AR3*$AM$50)/(4*PI()*$AM$46*AM3*AK3)*EXP(-AK3/AS3)</f>
        <v>2.5291017306485122E-5</v>
      </c>
      <c r="AW3" s="45"/>
      <c r="AX3" s="45">
        <f t="shared" ref="AX3:AX13" si="8">(AQ3*AR3*$AM$50)/(4*PI()*$AM$46*AM3*$AM$52)*EXP(-$AM$52/AS3)</f>
        <v>-6.5464268762555351E-5</v>
      </c>
      <c r="AY3" s="45">
        <f t="shared" ref="AY3:AY13" si="9">(AQ3*AQ3*$AM$50)/(4*PI()*$AM$46*AM3*$AM$52)*EXP(-$AM$52/AS3)</f>
        <v>6.5464268762555351E-5</v>
      </c>
      <c r="AZ3" s="45">
        <f t="shared" ref="AZ3:AZ13" si="10">(AR3*AR3*$AM$50)/(4*PI()*$AM$46*AM3*$AM$52)*EXP(-$AM$52/AS3)</f>
        <v>6.5464268762555351E-5</v>
      </c>
      <c r="BA3"/>
      <c r="BB3"/>
      <c r="BC3" s="24">
        <f t="shared" ref="BC3:BC10" si="11">L3/(W3/1000*(X3+Y3*N3))</f>
        <v>4.5513588360128237E-10</v>
      </c>
      <c r="BD3" s="24"/>
    </row>
    <row r="4" spans="1:56" ht="20.25" customHeight="1">
      <c r="A4" s="22" t="s">
        <v>153</v>
      </c>
      <c r="B4" s="23">
        <v>6.9</v>
      </c>
      <c r="C4" s="22">
        <v>1</v>
      </c>
      <c r="D4" s="22">
        <v>20</v>
      </c>
      <c r="E4" s="22">
        <v>20</v>
      </c>
      <c r="F4" s="24">
        <f t="shared" si="0"/>
        <v>3.3452438000000001E-26</v>
      </c>
      <c r="G4" s="24">
        <f t="shared" si="1"/>
        <v>1.82187712E-29</v>
      </c>
      <c r="H4" s="25">
        <f t="shared" ref="H4:H42" si="12">((F4*D4)/(G4*E4))</f>
        <v>1836.1522647586683</v>
      </c>
      <c r="I4" s="25">
        <f t="shared" ref="I4:I42" si="13">D4/E4</f>
        <v>1</v>
      </c>
      <c r="J4" s="26">
        <f t="shared" ref="J4:J42" si="14">(F4)-(G4)</f>
        <v>3.3434219228800004E-26</v>
      </c>
      <c r="K4" s="27">
        <v>41.988</v>
      </c>
      <c r="L4" s="28">
        <f>0.12*EXP(26500/(8.3144598*N4))/1000</f>
        <v>1.4814456494713717E-3</v>
      </c>
      <c r="M4" s="29">
        <f t="shared" ref="M4:M42" si="15">N4^-1</f>
        <v>7.885502503647044E-4</v>
      </c>
      <c r="N4" s="27">
        <v>1268.1500000000001</v>
      </c>
      <c r="O4" s="30">
        <v>2.16E-5</v>
      </c>
      <c r="P4" s="28">
        <f t="shared" ref="P4:P42" si="16">6.0223E+23/O4</f>
        <v>2.7881018518518517E+28</v>
      </c>
      <c r="Q4" s="30">
        <v>2.8800000000000001E-4</v>
      </c>
      <c r="S4" s="31">
        <v>1.02E-10</v>
      </c>
      <c r="T4" s="31">
        <v>1.3300000000000001E-10</v>
      </c>
      <c r="U4" s="31">
        <f t="shared" ref="U4:U23" si="17">T4+S4</f>
        <v>2.3500000000000002E-10</v>
      </c>
      <c r="V4" s="31">
        <f t="shared" ref="V4:V42" si="18">U4*10000000000</f>
        <v>2.35</v>
      </c>
      <c r="W4" s="31">
        <v>1950000</v>
      </c>
      <c r="X4" s="32">
        <v>2085.5</v>
      </c>
      <c r="Y4" s="28">
        <v>0</v>
      </c>
      <c r="Z4" s="24">
        <v>2.7549999999999999</v>
      </c>
      <c r="AA4" s="28">
        <v>-6.3599999999999996E-4</v>
      </c>
      <c r="AB4" s="28">
        <v>1</v>
      </c>
      <c r="AC4" s="28">
        <v>1</v>
      </c>
      <c r="AD4" s="28">
        <f t="shared" ref="AD4:AD41" si="19">AB4+AC4</f>
        <v>2</v>
      </c>
      <c r="AE4" s="28">
        <f t="shared" si="2"/>
        <v>1.3940509259259258E+28</v>
      </c>
      <c r="AF4" s="28">
        <f t="shared" si="3"/>
        <v>1.3940509259259258E+28</v>
      </c>
      <c r="AG4" s="28">
        <v>1.17915204552163</v>
      </c>
      <c r="AH4" s="28" t="s">
        <v>282</v>
      </c>
      <c r="AI4" s="88">
        <f>WalzPDFpeaks!D4*0.000000000001</f>
        <v>2.1399999999999998E-10</v>
      </c>
      <c r="AJ4" s="88">
        <f>WalzPDFpeaks!F4*0.000000000001</f>
        <v>3.2600000000000001E-10</v>
      </c>
      <c r="AK4" s="88">
        <f>WalzPDFpeaks!H4*0.000000000001</f>
        <v>3.3399999999999998E-10</v>
      </c>
      <c r="AL4" s="28" t="s">
        <v>273</v>
      </c>
      <c r="AM4">
        <v>5.9</v>
      </c>
      <c r="AN4" t="s">
        <v>211</v>
      </c>
      <c r="AO4" t="s">
        <v>203</v>
      </c>
      <c r="AP4" t="s">
        <v>204</v>
      </c>
      <c r="AQ4">
        <v>1</v>
      </c>
      <c r="AR4">
        <f t="shared" ref="AR4:AR19" si="20">AQ4*-1</f>
        <v>-1</v>
      </c>
      <c r="AS4">
        <f t="shared" si="4"/>
        <v>3.5752840346591388E-11</v>
      </c>
      <c r="AT4" s="45">
        <f t="shared" si="5"/>
        <v>-2.867818834700974E-3</v>
      </c>
      <c r="AU4" s="45">
        <f t="shared" si="6"/>
        <v>8.2085995226339041E-5</v>
      </c>
      <c r="AV4" s="45">
        <f t="shared" si="7"/>
        <v>6.4056490768239833E-5</v>
      </c>
      <c r="AW4" s="45"/>
      <c r="AX4" s="45">
        <f t="shared" si="8"/>
        <v>-6.4235936444315676E-4</v>
      </c>
      <c r="AY4" s="45">
        <f t="shared" si="9"/>
        <v>6.4235936444315676E-4</v>
      </c>
      <c r="AZ4" s="45">
        <f t="shared" si="10"/>
        <v>6.4235936444315676E-4</v>
      </c>
      <c r="BA4"/>
      <c r="BB4"/>
      <c r="BC4" s="24">
        <f t="shared" si="11"/>
        <v>3.6428468840931505E-10</v>
      </c>
      <c r="BD4" s="24"/>
    </row>
    <row r="5" spans="1:56" ht="20.25" customHeight="1">
      <c r="A5" s="22" t="s">
        <v>154</v>
      </c>
      <c r="B5" s="57">
        <v>5.0999999999999996</v>
      </c>
      <c r="C5" s="22">
        <v>1</v>
      </c>
      <c r="D5" s="22">
        <v>28</v>
      </c>
      <c r="E5" s="22">
        <v>28</v>
      </c>
      <c r="F5" s="24">
        <f t="shared" si="0"/>
        <v>4.6833413199999998E-26</v>
      </c>
      <c r="G5" s="24">
        <f t="shared" si="1"/>
        <v>2.5506279679999997E-29</v>
      </c>
      <c r="H5" s="25">
        <f t="shared" si="12"/>
        <v>1836.1522647586683</v>
      </c>
      <c r="I5" s="25">
        <f t="shared" si="13"/>
        <v>1</v>
      </c>
      <c r="J5" s="26">
        <f t="shared" si="14"/>
        <v>4.680790692032E-26</v>
      </c>
      <c r="K5" s="27">
        <v>58.097000000000001</v>
      </c>
      <c r="L5" s="28">
        <f>0.107*EXP(23800/(8.3144598*N5))/1000</f>
        <v>1.3500630387524655E-3</v>
      </c>
      <c r="M5" s="29">
        <f t="shared" si="15"/>
        <v>8.856219279989372E-4</v>
      </c>
      <c r="N5" s="27">
        <v>1129.1500000000001</v>
      </c>
      <c r="O5" s="30">
        <v>3.04E-5</v>
      </c>
      <c r="P5" s="28">
        <f t="shared" si="16"/>
        <v>1.9810197368421051E+28</v>
      </c>
      <c r="Q5" s="30">
        <v>3.4099999999999999E-4</v>
      </c>
      <c r="S5" s="31">
        <v>1.3799999999999999E-10</v>
      </c>
      <c r="T5" s="31">
        <v>1.3300000000000001E-10</v>
      </c>
      <c r="U5" s="31">
        <f t="shared" si="17"/>
        <v>2.7099999999999999E-10</v>
      </c>
      <c r="V5" s="31">
        <f t="shared" si="18"/>
        <v>2.71</v>
      </c>
      <c r="W5" s="31">
        <v>1910000</v>
      </c>
      <c r="X5" s="32">
        <v>1816.4</v>
      </c>
      <c r="Y5" s="28">
        <v>0</v>
      </c>
      <c r="Z5" s="28">
        <v>2.6463999999999999</v>
      </c>
      <c r="AA5" s="28">
        <v>-6.5149999999999995E-4</v>
      </c>
      <c r="AB5" s="28">
        <v>1</v>
      </c>
      <c r="AC5" s="28">
        <v>1</v>
      </c>
      <c r="AD5" s="28">
        <f t="shared" si="19"/>
        <v>2</v>
      </c>
      <c r="AE5" s="28">
        <f t="shared" si="2"/>
        <v>9.9050986842105257E+27</v>
      </c>
      <c r="AF5" s="28">
        <f t="shared" si="3"/>
        <v>9.9050986842105257E+27</v>
      </c>
      <c r="AG5" s="28">
        <v>0.62277172330456099</v>
      </c>
      <c r="AH5" s="28" t="s">
        <v>57</v>
      </c>
      <c r="AI5" s="88">
        <f>WalzPDFpeaks!D5*0.000000000001</f>
        <v>2.4399999999999998E-10</v>
      </c>
      <c r="AJ5" s="88">
        <f>WalzPDFpeaks!F5*0.000000000001</f>
        <v>3.7999999999999998E-10</v>
      </c>
      <c r="AK5" s="88">
        <f>WalzPDFpeaks!H5*0.000000000001</f>
        <v>3.8400000000000002E-10</v>
      </c>
      <c r="AL5" s="28" t="s">
        <v>274</v>
      </c>
      <c r="AM5">
        <v>5.9</v>
      </c>
      <c r="AN5" t="s">
        <v>212</v>
      </c>
      <c r="AO5" t="s">
        <v>203</v>
      </c>
      <c r="AP5" t="s">
        <v>204</v>
      </c>
      <c r="AQ5">
        <v>1</v>
      </c>
      <c r="AR5">
        <f t="shared" si="20"/>
        <v>-1</v>
      </c>
      <c r="AS5">
        <f t="shared" si="4"/>
        <v>4.0023122874836718E-11</v>
      </c>
      <c r="AT5" s="45">
        <f t="shared" si="5"/>
        <v>-2.2511071847353434E-3</v>
      </c>
      <c r="AU5" s="45">
        <f t="shared" si="6"/>
        <v>4.8334168730991109E-5</v>
      </c>
      <c r="AV5" s="45">
        <f t="shared" si="7"/>
        <v>4.3281496521753598E-5</v>
      </c>
      <c r="AW5" s="45"/>
      <c r="AX5" s="45">
        <f t="shared" si="8"/>
        <v>-1.3975067443463746E-3</v>
      </c>
      <c r="AY5" s="45">
        <f t="shared" si="9"/>
        <v>1.3975067443463746E-3</v>
      </c>
      <c r="AZ5" s="45">
        <f t="shared" si="10"/>
        <v>1.3975067443463746E-3</v>
      </c>
      <c r="BA5"/>
      <c r="BB5"/>
      <c r="BC5" s="24">
        <f t="shared" si="11"/>
        <v>3.8914296812648964E-10</v>
      </c>
      <c r="BD5" s="24"/>
    </row>
    <row r="6" spans="1:56" ht="20.25" customHeight="1">
      <c r="A6" s="22" t="s">
        <v>155</v>
      </c>
      <c r="B6" s="57"/>
      <c r="C6" s="22">
        <v>1</v>
      </c>
      <c r="D6" s="22">
        <v>46</v>
      </c>
      <c r="E6" s="22">
        <v>46</v>
      </c>
      <c r="F6" s="24">
        <f t="shared" si="0"/>
        <v>7.6940607399999996E-26</v>
      </c>
      <c r="G6" s="24">
        <f t="shared" si="1"/>
        <v>4.1903173759999999E-29</v>
      </c>
      <c r="H6" s="25">
        <f t="shared" si="12"/>
        <v>1836.1522647586683</v>
      </c>
      <c r="I6" s="25">
        <f t="shared" si="13"/>
        <v>1</v>
      </c>
      <c r="J6" s="26">
        <f t="shared" si="14"/>
        <v>7.689870422624E-26</v>
      </c>
      <c r="K6" s="58">
        <v>104.4662</v>
      </c>
      <c r="L6" s="28">
        <f>0.115*EXP(27000/(8.3144598*N6))/1000</f>
        <v>2.5481160758264749E-3</v>
      </c>
      <c r="M6" s="29">
        <f t="shared" si="15"/>
        <v>9.5406191861851825E-4</v>
      </c>
      <c r="N6" s="28">
        <v>1048.1500000000001</v>
      </c>
      <c r="O6" s="30">
        <v>3.57E-5</v>
      </c>
      <c r="P6" s="28">
        <f t="shared" si="16"/>
        <v>1.6869187675070028E+28</v>
      </c>
      <c r="Q6" s="30">
        <v>3.4900000000000003E-4</v>
      </c>
      <c r="S6" s="31">
        <v>1.5199999999999999E-10</v>
      </c>
      <c r="T6" s="31">
        <v>1.3300000000000001E-10</v>
      </c>
      <c r="U6" s="31">
        <f t="shared" si="17"/>
        <v>2.85E-10</v>
      </c>
      <c r="V6" s="31">
        <f t="shared" si="18"/>
        <v>2.85</v>
      </c>
      <c r="W6" s="31">
        <f>K6/O6</f>
        <v>2926224.0896358541</v>
      </c>
      <c r="X6" s="32">
        <v>1760.4</v>
      </c>
      <c r="Y6" s="28">
        <v>0</v>
      </c>
      <c r="Z6" s="31">
        <f>W6*100^3/1000</f>
        <v>2926224089.6358538</v>
      </c>
      <c r="AA6" s="28">
        <v>0</v>
      </c>
      <c r="AE6" s="28">
        <f t="shared" si="2"/>
        <v>8.4345938375350141E+27</v>
      </c>
      <c r="AF6" s="28">
        <f t="shared" si="3"/>
        <v>8.4345938375350141E+27</v>
      </c>
      <c r="AI6" s="88">
        <f>WalzPDFpeaks!D6*0.000000000001</f>
        <v>2.5599999999999999E-10</v>
      </c>
      <c r="AJ6" s="88">
        <f>WalzPDFpeaks!F6*0.000000000001</f>
        <v>4.0000000000000001E-10</v>
      </c>
      <c r="AK6" s="88">
        <f>WalzPDFpeaks!H6*0.000000000001</f>
        <v>4.0599999999999999E-10</v>
      </c>
      <c r="AL6" s="28" t="s">
        <v>275</v>
      </c>
      <c r="AM6">
        <v>5.9</v>
      </c>
      <c r="AN6" t="s">
        <v>213</v>
      </c>
      <c r="AO6" t="s">
        <v>203</v>
      </c>
      <c r="AP6" t="s">
        <v>204</v>
      </c>
      <c r="AQ6">
        <v>1</v>
      </c>
      <c r="AR6">
        <f t="shared" si="20"/>
        <v>-1</v>
      </c>
      <c r="AS6">
        <f t="shared" si="4"/>
        <v>4.1787288199734446E-11</v>
      </c>
      <c r="AT6" s="45">
        <f t="shared" si="5"/>
        <v>-2.0826138934222842E-3</v>
      </c>
      <c r="AU6" s="45">
        <f t="shared" si="6"/>
        <v>4.2481467139577348E-5</v>
      </c>
      <c r="AV6" s="45">
        <f t="shared" si="7"/>
        <v>3.6255640374368967E-5</v>
      </c>
      <c r="AW6" s="45"/>
      <c r="AX6" s="45">
        <f t="shared" si="8"/>
        <v>-1.8393987211277479E-3</v>
      </c>
      <c r="AY6" s="45">
        <f t="shared" si="9"/>
        <v>1.8393987211277479E-3</v>
      </c>
      <c r="AZ6" s="45">
        <f t="shared" si="10"/>
        <v>1.8393987211277479E-3</v>
      </c>
      <c r="BA6"/>
      <c r="BB6"/>
      <c r="BC6" s="24">
        <f t="shared" si="11"/>
        <v>4.94652566383765E-10</v>
      </c>
      <c r="BD6" s="24"/>
    </row>
    <row r="7" spans="1:56" ht="20.25" customHeight="1">
      <c r="A7" s="22" t="s">
        <v>156</v>
      </c>
      <c r="B7" s="57"/>
      <c r="C7" s="22">
        <v>1</v>
      </c>
      <c r="D7" s="22">
        <v>64</v>
      </c>
      <c r="E7" s="22">
        <v>64</v>
      </c>
      <c r="F7" s="24">
        <f t="shared" si="0"/>
        <v>1.070478016E-25</v>
      </c>
      <c r="G7" s="24">
        <f t="shared" si="1"/>
        <v>5.8300067839999996E-29</v>
      </c>
      <c r="H7" s="25">
        <f t="shared" si="12"/>
        <v>1836.1522647586685</v>
      </c>
      <c r="I7" s="25">
        <f t="shared" si="13"/>
        <v>1</v>
      </c>
      <c r="J7" s="26">
        <f t="shared" si="14"/>
        <v>1.0698950153215999E-25</v>
      </c>
      <c r="K7" s="27">
        <v>58.44</v>
      </c>
      <c r="L7" s="28">
        <f>0.115*EXP(27000/(8.3144598*N7))/1000</f>
        <v>3.4453112314492135E-3</v>
      </c>
      <c r="M7" s="29">
        <f t="shared" si="15"/>
        <v>1.0469559755012302E-3</v>
      </c>
      <c r="N7" s="27">
        <v>955.15</v>
      </c>
      <c r="O7" s="30">
        <v>4.57E-5</v>
      </c>
      <c r="P7" s="28">
        <f t="shared" si="16"/>
        <v>1.3177899343544859E+28</v>
      </c>
      <c r="Q7" s="30">
        <v>3.8499999999999998E-4</v>
      </c>
      <c r="S7" s="31">
        <v>1.6699999999999999E-10</v>
      </c>
      <c r="T7" s="31">
        <v>1.3300000000000001E-10</v>
      </c>
      <c r="U7" s="31">
        <f t="shared" si="17"/>
        <v>3E-10</v>
      </c>
      <c r="V7" s="31">
        <f t="shared" si="18"/>
        <v>3</v>
      </c>
      <c r="W7" s="31">
        <v>2196977.25</v>
      </c>
      <c r="X7" s="28">
        <v>2732.9322499999998</v>
      </c>
      <c r="Y7" s="28">
        <v>-0.91500000000000004</v>
      </c>
      <c r="Z7" s="28">
        <v>4.8985000000000003</v>
      </c>
      <c r="AA7" s="28">
        <v>-5.4299999999999997E-4</v>
      </c>
      <c r="AE7" s="28">
        <f t="shared" si="2"/>
        <v>6.5889496717724293E+27</v>
      </c>
      <c r="AF7" s="28">
        <f t="shared" si="3"/>
        <v>6.5889496717724293E+27</v>
      </c>
      <c r="AI7" s="88">
        <f>WalzPDFpeaks!D7*0.000000000001</f>
        <v>2.7599999999999998E-10</v>
      </c>
      <c r="AJ7" s="88">
        <f>WalzPDFpeaks!F7*0.000000000001</f>
        <v>4.2399999999999998E-10</v>
      </c>
      <c r="AK7" s="88">
        <f>WalzPDFpeaks!H7*0.000000000001</f>
        <v>4.2799999999999997E-10</v>
      </c>
      <c r="AL7" s="28" t="s">
        <v>276</v>
      </c>
      <c r="AM7">
        <v>5.9</v>
      </c>
      <c r="AN7" t="s">
        <v>214</v>
      </c>
      <c r="AO7" t="s">
        <v>203</v>
      </c>
      <c r="AP7" t="s">
        <v>204</v>
      </c>
      <c r="AQ7">
        <v>1</v>
      </c>
      <c r="AR7">
        <f t="shared" si="20"/>
        <v>-1</v>
      </c>
      <c r="AS7">
        <f t="shared" si="4"/>
        <v>4.5132797237041764E-11</v>
      </c>
      <c r="AT7" s="45">
        <f t="shared" si="5"/>
        <v>-1.9530231741785981E-3</v>
      </c>
      <c r="AU7" s="45">
        <f t="shared" si="6"/>
        <v>4.7874807916114803E-5</v>
      </c>
      <c r="AV7" s="45">
        <f t="shared" si="7"/>
        <v>4.3404900512195838E-5</v>
      </c>
      <c r="AW7" s="45"/>
      <c r="AX7" s="45">
        <f t="shared" si="8"/>
        <v>-2.9196880729902793E-3</v>
      </c>
      <c r="AY7" s="45">
        <f t="shared" si="9"/>
        <v>2.9196880729902793E-3</v>
      </c>
      <c r="AZ7" s="45">
        <f t="shared" si="10"/>
        <v>2.9196880729902793E-3</v>
      </c>
      <c r="BA7"/>
      <c r="BB7"/>
      <c r="BC7" s="24">
        <f t="shared" si="11"/>
        <v>8.4358824408450485E-10</v>
      </c>
      <c r="BD7" s="24"/>
    </row>
    <row r="8" spans="1:56" ht="20.25" customHeight="1">
      <c r="A8" s="22" t="s">
        <v>157</v>
      </c>
      <c r="B8" s="57">
        <v>3.67</v>
      </c>
      <c r="C8" s="22">
        <v>1</v>
      </c>
      <c r="D8" s="22">
        <v>20</v>
      </c>
      <c r="E8" s="22">
        <v>20</v>
      </c>
      <c r="F8" s="24">
        <f t="shared" si="0"/>
        <v>3.3452438000000001E-26</v>
      </c>
      <c r="G8" s="24">
        <f t="shared" si="1"/>
        <v>1.82187712E-29</v>
      </c>
      <c r="H8" s="25">
        <f t="shared" si="12"/>
        <v>1836.1522647586683</v>
      </c>
      <c r="I8" s="25">
        <f t="shared" si="13"/>
        <v>1</v>
      </c>
      <c r="J8" s="26">
        <f t="shared" si="14"/>
        <v>3.3434219228800004E-26</v>
      </c>
      <c r="K8" s="27">
        <v>42.393999999999998</v>
      </c>
      <c r="L8" s="28">
        <f>0.0726*EXP(22400/(8.3144598*N8))/1000</f>
        <v>1.5609788980515524E-3</v>
      </c>
      <c r="M8" s="29">
        <f t="shared" si="15"/>
        <v>1.1388224575788635E-3</v>
      </c>
      <c r="N8" s="27">
        <v>878.1</v>
      </c>
      <c r="O8" s="30">
        <f>K8/W8</f>
        <v>2.828152101400934E-5</v>
      </c>
      <c r="P8" s="28">
        <f t="shared" si="16"/>
        <v>2.129411638439402E+28</v>
      </c>
      <c r="Q8" s="30">
        <v>2.8800000000000001E-4</v>
      </c>
      <c r="S8" s="31">
        <v>7.5999999999999996E-11</v>
      </c>
      <c r="T8" s="31">
        <v>1.81E-10</v>
      </c>
      <c r="U8" s="31">
        <f t="shared" si="17"/>
        <v>2.5699999999999999E-10</v>
      </c>
      <c r="V8" s="31">
        <f t="shared" si="18"/>
        <v>2.57</v>
      </c>
      <c r="W8" s="31">
        <v>1499000</v>
      </c>
      <c r="X8" s="28">
        <v>2787.9043499999998</v>
      </c>
      <c r="Y8" s="28">
        <v>-0.84899999999999998</v>
      </c>
      <c r="Z8" s="28">
        <v>1.8842000000000001</v>
      </c>
      <c r="AA8" s="28">
        <v>-4.328E-4</v>
      </c>
      <c r="AB8" s="28">
        <v>1</v>
      </c>
      <c r="AC8" s="28">
        <v>1</v>
      </c>
      <c r="AD8" s="28">
        <f t="shared" si="19"/>
        <v>2</v>
      </c>
      <c r="AE8" s="28">
        <f t="shared" si="2"/>
        <v>1.064705819219701E+28</v>
      </c>
      <c r="AF8" s="28">
        <f t="shared" si="3"/>
        <v>1.064705819219701E+28</v>
      </c>
      <c r="AG8" s="28">
        <v>0.65551426087602205</v>
      </c>
      <c r="AH8" s="28" t="s">
        <v>48</v>
      </c>
      <c r="AI8" s="88">
        <f>WalzPDFpeaks!D8*0.000000000001</f>
        <v>2.3600000000000001E-10</v>
      </c>
      <c r="AJ8" s="88">
        <f>WalzPDFpeaks!F8*0.000000000001</f>
        <v>3.5199999999999997E-10</v>
      </c>
      <c r="AK8" s="88">
        <f>WalzPDFpeaks!H8*0.000000000001</f>
        <v>3.6199999999999999E-10</v>
      </c>
      <c r="AL8" s="28" t="s">
        <v>277</v>
      </c>
      <c r="AM8">
        <v>5.9</v>
      </c>
      <c r="AN8" t="s">
        <v>215</v>
      </c>
      <c r="AO8" t="s">
        <v>203</v>
      </c>
      <c r="AP8" t="s">
        <v>204</v>
      </c>
      <c r="AQ8">
        <v>1</v>
      </c>
      <c r="AR8">
        <f t="shared" si="20"/>
        <v>-1</v>
      </c>
      <c r="AS8">
        <f t="shared" si="4"/>
        <v>3.4042522319269552E-11</v>
      </c>
      <c r="AT8" s="45">
        <f t="shared" si="5"/>
        <v>-1.0087663105003439E-3</v>
      </c>
      <c r="AU8" s="45">
        <f t="shared" si="6"/>
        <v>2.2402687463982093E-5</v>
      </c>
      <c r="AV8" s="45">
        <f t="shared" si="7"/>
        <v>1.6239030344722491E-5</v>
      </c>
      <c r="AW8" s="45"/>
      <c r="AX8" s="45">
        <f t="shared" si="8"/>
        <v>-4.4547220629326256E-4</v>
      </c>
      <c r="AY8" s="45">
        <f t="shared" si="9"/>
        <v>4.4547220629326256E-4</v>
      </c>
      <c r="AZ8" s="45">
        <f t="shared" si="10"/>
        <v>4.4547220629326256E-4</v>
      </c>
      <c r="BA8"/>
      <c r="BB8"/>
      <c r="BC8" s="24">
        <f t="shared" si="11"/>
        <v>5.0986492855295244E-10</v>
      </c>
      <c r="BD8" s="24"/>
    </row>
    <row r="9" spans="1:56" ht="20.25" customHeight="1">
      <c r="A9" s="22" t="s">
        <v>158</v>
      </c>
      <c r="B9" s="57">
        <v>3.94</v>
      </c>
      <c r="C9" s="22">
        <v>1</v>
      </c>
      <c r="D9" s="22">
        <v>28</v>
      </c>
      <c r="E9" s="22">
        <v>28</v>
      </c>
      <c r="F9" s="24">
        <f t="shared" si="0"/>
        <v>4.6833413199999998E-26</v>
      </c>
      <c r="G9" s="24">
        <f t="shared" si="1"/>
        <v>2.5506279679999997E-29</v>
      </c>
      <c r="H9" s="25">
        <f t="shared" si="12"/>
        <v>1836.1522647586683</v>
      </c>
      <c r="I9" s="25">
        <f t="shared" si="13"/>
        <v>1</v>
      </c>
      <c r="J9" s="26">
        <f t="shared" si="14"/>
        <v>4.680790692032E-26</v>
      </c>
      <c r="K9" s="27">
        <v>58.44</v>
      </c>
      <c r="L9" s="28">
        <f>0.0893*EXP(22000/(8.3144598*N9))/1000</f>
        <v>1.0321390978018604E-3</v>
      </c>
      <c r="M9" s="29">
        <f t="shared" si="15"/>
        <v>9.2494103500901812E-4</v>
      </c>
      <c r="N9" s="27">
        <v>1081.1500000000001</v>
      </c>
      <c r="O9" s="30">
        <v>3.765E-5</v>
      </c>
      <c r="P9" s="28">
        <f t="shared" si="16"/>
        <v>1.5995484727755644E+28</v>
      </c>
      <c r="Q9" s="30">
        <v>3.5E-4</v>
      </c>
      <c r="S9" s="31">
        <v>1.02E-10</v>
      </c>
      <c r="T9" s="31">
        <v>1.81E-10</v>
      </c>
      <c r="U9" s="31">
        <f t="shared" si="17"/>
        <v>2.8300000000000001E-10</v>
      </c>
      <c r="V9" s="31">
        <f t="shared" si="18"/>
        <v>2.83</v>
      </c>
      <c r="W9" s="31">
        <v>1560000</v>
      </c>
      <c r="X9" s="28">
        <v>2732.9322499999998</v>
      </c>
      <c r="Y9" s="28">
        <v>-0.91500000000000004</v>
      </c>
      <c r="Z9" s="28">
        <v>2.1393</v>
      </c>
      <c r="AA9" s="28">
        <v>-5.4299999999999997E-4</v>
      </c>
      <c r="AB9" s="28">
        <v>1</v>
      </c>
      <c r="AC9" s="28">
        <v>1</v>
      </c>
      <c r="AD9" s="28">
        <f t="shared" si="19"/>
        <v>2</v>
      </c>
      <c r="AE9" s="28">
        <f t="shared" si="2"/>
        <v>7.9977423638778222E+27</v>
      </c>
      <c r="AF9" s="28">
        <f t="shared" si="3"/>
        <v>7.9977423638778222E+27</v>
      </c>
      <c r="AG9" s="28">
        <v>0.52636070227842102</v>
      </c>
      <c r="AH9" s="28" t="s">
        <v>50</v>
      </c>
      <c r="AI9" s="88">
        <f>WalzPDFpeaks!D9*0.000000000001</f>
        <v>2.6400000000000002E-10</v>
      </c>
      <c r="AJ9" s="88">
        <f>WalzPDFpeaks!F9*0.000000000001</f>
        <v>3.9599999999999998E-10</v>
      </c>
      <c r="AK9" s="88">
        <f>WalzPDFpeaks!H9*0.000000000001</f>
        <v>4.04E-10</v>
      </c>
      <c r="AL9" s="28" t="s">
        <v>278</v>
      </c>
      <c r="AM9">
        <v>5.9</v>
      </c>
      <c r="AN9" t="s">
        <v>202</v>
      </c>
      <c r="AO9" t="s">
        <v>203</v>
      </c>
      <c r="AP9" t="s">
        <v>204</v>
      </c>
      <c r="AQ9">
        <v>1</v>
      </c>
      <c r="AR9">
        <f t="shared" si="20"/>
        <v>-1</v>
      </c>
      <c r="AS9">
        <f t="shared" si="4"/>
        <v>4.3583673009380713E-11</v>
      </c>
      <c r="AT9" s="45">
        <f t="shared" si="5"/>
        <v>-2.1636636747153024E-3</v>
      </c>
      <c r="AU9" s="45">
        <f t="shared" si="6"/>
        <v>6.9786181514140577E-5</v>
      </c>
      <c r="AV9" s="45">
        <f t="shared" si="7"/>
        <v>5.6933298229426857E-5</v>
      </c>
      <c r="AW9" s="45"/>
      <c r="AX9" s="45">
        <f t="shared" si="8"/>
        <v>-2.378214772284633E-3</v>
      </c>
      <c r="AY9" s="45">
        <f t="shared" si="9"/>
        <v>2.378214772284633E-3</v>
      </c>
      <c r="AZ9" s="45">
        <f t="shared" si="10"/>
        <v>2.378214772284633E-3</v>
      </c>
      <c r="BA9"/>
      <c r="BB9"/>
      <c r="BC9" s="24">
        <f t="shared" si="11"/>
        <v>3.7944326183477726E-10</v>
      </c>
      <c r="BD9" s="24"/>
    </row>
    <row r="10" spans="1:56" ht="20.25" customHeight="1">
      <c r="A10" s="22" t="s">
        <v>159</v>
      </c>
      <c r="B10" s="57">
        <v>3.34</v>
      </c>
      <c r="C10" s="22">
        <v>1</v>
      </c>
      <c r="D10" s="22">
        <v>36</v>
      </c>
      <c r="E10" s="22">
        <v>36</v>
      </c>
      <c r="F10" s="24">
        <f t="shared" si="0"/>
        <v>6.0214388399999996E-26</v>
      </c>
      <c r="G10" s="24">
        <f t="shared" si="1"/>
        <v>3.2793788159999999E-29</v>
      </c>
      <c r="H10" s="25">
        <f t="shared" si="12"/>
        <v>1836.1522647586683</v>
      </c>
      <c r="I10" s="25">
        <f t="shared" si="13"/>
        <v>1</v>
      </c>
      <c r="J10" s="26">
        <f t="shared" si="14"/>
        <v>6.0181594611840001E-26</v>
      </c>
      <c r="K10" s="27">
        <v>74.551299999999998</v>
      </c>
      <c r="L10" s="28">
        <f>0.0708*EXP(23900/(8.3144598*N10))/1000</f>
        <v>1.1078669041234444E-3</v>
      </c>
      <c r="M10" s="29">
        <f t="shared" si="15"/>
        <v>9.5680045926422035E-4</v>
      </c>
      <c r="N10" s="27">
        <v>1045.1500000000001</v>
      </c>
      <c r="O10" s="30">
        <v>4.884E-5</v>
      </c>
      <c r="P10" s="28">
        <f t="shared" si="16"/>
        <v>1.233067158067158E+28</v>
      </c>
      <c r="Q10" s="30">
        <v>3.8200000000000002E-4</v>
      </c>
      <c r="S10" s="31">
        <v>1.3799999999999999E-10</v>
      </c>
      <c r="T10" s="31">
        <v>1.81E-10</v>
      </c>
      <c r="U10" s="31">
        <f>T10+S10</f>
        <v>3.1899999999999998E-10</v>
      </c>
      <c r="V10" s="31">
        <f t="shared" si="18"/>
        <v>3.19</v>
      </c>
      <c r="W10" s="31">
        <v>1530000</v>
      </c>
      <c r="X10" s="28">
        <v>2514.8256999999999</v>
      </c>
      <c r="Y10" s="28">
        <v>-0.878</v>
      </c>
      <c r="Z10" s="28">
        <v>2.1358999999999999</v>
      </c>
      <c r="AA10" s="28">
        <v>-5.8310000000000002E-4</v>
      </c>
      <c r="AB10" s="28">
        <v>1</v>
      </c>
      <c r="AC10" s="28">
        <v>1</v>
      </c>
      <c r="AD10" s="28">
        <f t="shared" si="19"/>
        <v>2</v>
      </c>
      <c r="AE10" s="28">
        <f t="shared" si="2"/>
        <v>6.1653357903357898E+27</v>
      </c>
      <c r="AF10" s="28">
        <f t="shared" si="3"/>
        <v>6.1653357903357898E+27</v>
      </c>
      <c r="AG10" s="28">
        <v>0.36749821512915098</v>
      </c>
      <c r="AH10" s="28" t="s">
        <v>52</v>
      </c>
      <c r="AI10" s="88">
        <f>WalzPDFpeaks!D10*0.000000000001</f>
        <v>2.9600000000000001E-10</v>
      </c>
      <c r="AJ10" s="88">
        <f>WalzPDFpeaks!F10*0.000000000001</f>
        <v>4.3799999999999999E-10</v>
      </c>
      <c r="AK10" s="88">
        <f>WalzPDFpeaks!H10*0.000000000001</f>
        <v>4.5199999999999999E-10</v>
      </c>
      <c r="AL10" s="28" t="s">
        <v>279</v>
      </c>
      <c r="AM10">
        <v>5.2</v>
      </c>
      <c r="AN10" t="s">
        <v>205</v>
      </c>
      <c r="AO10" t="s">
        <v>203</v>
      </c>
      <c r="AP10" t="s">
        <v>204</v>
      </c>
      <c r="AQ10">
        <v>1</v>
      </c>
      <c r="AR10">
        <f t="shared" si="20"/>
        <v>-1</v>
      </c>
      <c r="AS10">
        <f t="shared" si="4"/>
        <v>4.581958665715092E-11</v>
      </c>
      <c r="AT10" s="45">
        <f t="shared" si="5"/>
        <v>-1.4635735569911118E-3</v>
      </c>
      <c r="AU10" s="45">
        <f t="shared" si="6"/>
        <v>4.4596954992975695E-5</v>
      </c>
      <c r="AV10" s="45">
        <f t="shared" si="7"/>
        <v>3.1837859322638512E-5</v>
      </c>
      <c r="AW10" s="45"/>
      <c r="AX10" s="45">
        <f t="shared" si="8"/>
        <v>-3.6120436037413097E-3</v>
      </c>
      <c r="AY10" s="45">
        <f t="shared" si="9"/>
        <v>3.6120436037413097E-3</v>
      </c>
      <c r="AZ10" s="45">
        <f t="shared" si="10"/>
        <v>3.6120436037413097E-3</v>
      </c>
      <c r="BA10"/>
      <c r="BB10"/>
      <c r="BC10" s="24">
        <f t="shared" si="11"/>
        <v>4.5335791979318428E-10</v>
      </c>
      <c r="BD10" s="24"/>
    </row>
    <row r="11" spans="1:56" ht="20.25" customHeight="1">
      <c r="A11" s="22" t="s">
        <v>160</v>
      </c>
      <c r="B11" s="57">
        <v>0.52</v>
      </c>
      <c r="C11" s="22">
        <v>1</v>
      </c>
      <c r="D11" s="22">
        <v>13</v>
      </c>
      <c r="E11" s="22">
        <v>12</v>
      </c>
      <c r="F11" s="24">
        <f t="shared" si="0"/>
        <v>2.17440847E-26</v>
      </c>
      <c r="G11" s="24">
        <f t="shared" si="1"/>
        <v>1.0931262719999999E-29</v>
      </c>
      <c r="H11" s="25">
        <f t="shared" si="12"/>
        <v>2154.9286996126039</v>
      </c>
      <c r="I11" s="25">
        <f t="shared" si="13"/>
        <v>1.0833333333333333</v>
      </c>
      <c r="J11" s="26">
        <f t="shared" si="14"/>
        <v>2.1733153437280001E-26</v>
      </c>
      <c r="K11" s="27">
        <v>47.01</v>
      </c>
      <c r="L11" s="58">
        <f>10^(-8.12+11500/N11+639000/N11^2)/1000</f>
        <v>1.5280162636820758</v>
      </c>
      <c r="M11" s="29">
        <f t="shared" si="15"/>
        <v>9.3444844180722323E-4</v>
      </c>
      <c r="N11" s="27">
        <v>1070.1500000000001</v>
      </c>
      <c r="O11" s="30">
        <v>2.4000000000000001E-5</v>
      </c>
      <c r="P11" s="28">
        <f t="shared" si="16"/>
        <v>2.5092916666666666E+28</v>
      </c>
      <c r="Q11" s="30">
        <v>7.4200000000000001E-6</v>
      </c>
      <c r="S11" s="60">
        <v>3.3999999999999999E-11</v>
      </c>
      <c r="T11" s="31">
        <v>1.3300000000000001E-10</v>
      </c>
      <c r="U11" s="31">
        <f t="shared" si="17"/>
        <v>1.6699999999999999E-10</v>
      </c>
      <c r="V11" s="31">
        <f t="shared" si="18"/>
        <v>1.67</v>
      </c>
      <c r="W11" s="31">
        <v>1960000</v>
      </c>
      <c r="X11" s="32">
        <v>2547.8000000000002</v>
      </c>
      <c r="Y11" s="28">
        <v>0</v>
      </c>
      <c r="Z11" s="28">
        <v>1.972</v>
      </c>
      <c r="AA11" s="24">
        <v>-1.45E-5</v>
      </c>
      <c r="AB11" s="28">
        <v>1</v>
      </c>
      <c r="AC11" s="28">
        <v>2</v>
      </c>
      <c r="AD11" s="28">
        <f t="shared" si="19"/>
        <v>3</v>
      </c>
      <c r="AE11" s="28">
        <f t="shared" si="2"/>
        <v>1.6728611111111111E+28</v>
      </c>
      <c r="AF11" s="28">
        <f t="shared" si="3"/>
        <v>8.3643055555555557E+27</v>
      </c>
      <c r="AI11" s="88"/>
      <c r="AJ11" s="88"/>
      <c r="AK11" s="88"/>
      <c r="AM11">
        <v>5.9</v>
      </c>
      <c r="AN11" t="s">
        <v>216</v>
      </c>
      <c r="AO11" t="s">
        <v>203</v>
      </c>
      <c r="AP11" t="s">
        <v>204</v>
      </c>
      <c r="AQ11">
        <v>2</v>
      </c>
      <c r="AR11">
        <v>-1</v>
      </c>
      <c r="AS11">
        <f t="shared" si="4"/>
        <v>1.9987831626977541E-11</v>
      </c>
      <c r="AT11" s="45"/>
      <c r="AU11" s="45"/>
      <c r="AV11" s="45"/>
      <c r="AW11" s="45"/>
      <c r="AX11" s="45">
        <f t="shared" si="8"/>
        <v>-4.1051312559396724E-6</v>
      </c>
      <c r="AY11" s="45">
        <f t="shared" si="9"/>
        <v>8.2102625118793448E-6</v>
      </c>
      <c r="AZ11" s="45">
        <f t="shared" si="10"/>
        <v>2.0525656279698362E-6</v>
      </c>
      <c r="BA11"/>
      <c r="BB11"/>
      <c r="BC11" s="24"/>
      <c r="BD11" s="24"/>
    </row>
    <row r="12" spans="1:56" ht="20.25" customHeight="1">
      <c r="A12" s="22" t="s">
        <v>161</v>
      </c>
      <c r="B12" s="57">
        <v>0.02</v>
      </c>
      <c r="C12" s="22">
        <v>1</v>
      </c>
      <c r="D12" s="22">
        <v>21</v>
      </c>
      <c r="E12" s="22">
        <v>20</v>
      </c>
      <c r="F12" s="24">
        <f t="shared" si="0"/>
        <v>3.51250599E-26</v>
      </c>
      <c r="G12" s="24">
        <f t="shared" si="1"/>
        <v>1.82187712E-29</v>
      </c>
      <c r="H12" s="25">
        <f t="shared" si="12"/>
        <v>2024.3578718964318</v>
      </c>
      <c r="I12" s="25">
        <f t="shared" si="13"/>
        <v>1.05</v>
      </c>
      <c r="J12" s="26">
        <f t="shared" si="14"/>
        <v>3.5106841128800003E-26</v>
      </c>
      <c r="K12" s="28">
        <v>62.3018</v>
      </c>
      <c r="L12" s="28">
        <f>0.187*EXP(32100/(8.3144598*N12))/1000</f>
        <v>2.3159210132636244E-3</v>
      </c>
      <c r="M12" s="29">
        <f t="shared" si="15"/>
        <v>6.5180550123843041E-4</v>
      </c>
      <c r="N12" s="28">
        <v>1534.2</v>
      </c>
      <c r="O12" s="30">
        <f t="shared" ref="O12:O17" si="21">K12/W12</f>
        <v>2.5574620069823672E-5</v>
      </c>
      <c r="P12" s="28">
        <f t="shared" si="16"/>
        <v>2.3547954900436264E+28</v>
      </c>
      <c r="Q12" s="30">
        <v>2.1599999999999999E-4</v>
      </c>
      <c r="S12" s="31">
        <v>7.1999999999999997E-11</v>
      </c>
      <c r="T12" s="31">
        <v>1.3300000000000001E-10</v>
      </c>
      <c r="U12" s="31">
        <f t="shared" si="17"/>
        <v>2.0500000000000002E-10</v>
      </c>
      <c r="V12" s="31">
        <f t="shared" si="18"/>
        <v>2.0500000000000003</v>
      </c>
      <c r="W12" s="31">
        <f t="shared" ref="W12:W19" si="22">(Z12+N12*AA12)*1000000</f>
        <v>2436079.2000000002</v>
      </c>
      <c r="X12" s="32">
        <v>2175.6</v>
      </c>
      <c r="Y12" s="28">
        <v>0</v>
      </c>
      <c r="Z12" s="24">
        <v>3.24</v>
      </c>
      <c r="AA12" s="24">
        <v>-5.2400000000000005E-4</v>
      </c>
      <c r="AB12" s="28">
        <v>1</v>
      </c>
      <c r="AC12" s="28">
        <v>2</v>
      </c>
      <c r="AD12" s="28">
        <f t="shared" si="19"/>
        <v>3</v>
      </c>
      <c r="AE12" s="28">
        <f t="shared" si="2"/>
        <v>1.5698636600290843E+28</v>
      </c>
      <c r="AF12" s="28">
        <f t="shared" si="3"/>
        <v>7.8493183001454213E+27</v>
      </c>
      <c r="AG12" s="28">
        <v>0.70228664735933899</v>
      </c>
      <c r="AH12" s="28" t="s">
        <v>60</v>
      </c>
      <c r="AI12" s="88"/>
      <c r="AJ12" s="88"/>
      <c r="AK12" s="88"/>
      <c r="AM12">
        <v>5.9</v>
      </c>
      <c r="AN12" t="s">
        <v>217</v>
      </c>
      <c r="AO12" t="s">
        <v>203</v>
      </c>
      <c r="AP12" t="s">
        <v>204</v>
      </c>
      <c r="AQ12">
        <v>2</v>
      </c>
      <c r="AR12">
        <v>-1</v>
      </c>
      <c r="AS12">
        <f t="shared" si="4"/>
        <v>2.4704912392704827E-11</v>
      </c>
      <c r="AT12" s="45"/>
      <c r="AU12" s="45"/>
      <c r="AV12" s="45"/>
      <c r="AW12" s="45"/>
      <c r="AX12" s="45">
        <f t="shared" si="8"/>
        <v>-4.9421529829090682E-5</v>
      </c>
      <c r="AY12" s="45">
        <f t="shared" si="9"/>
        <v>9.8843059658181365E-5</v>
      </c>
      <c r="AZ12" s="45">
        <f t="shared" si="10"/>
        <v>2.4710764914545341E-5</v>
      </c>
      <c r="BA12"/>
      <c r="BB12"/>
      <c r="BC12" s="24">
        <f t="shared" ref="BC12:BC17" si="23">L12/(W12/1000*(X12+Y12*N12))</f>
        <v>4.369716780765129E-10</v>
      </c>
      <c r="BD12" s="24"/>
    </row>
    <row r="13" spans="1:56" ht="20.25" customHeight="1">
      <c r="A13" s="22" t="s">
        <v>162</v>
      </c>
      <c r="B13" s="57">
        <v>0.12</v>
      </c>
      <c r="C13" s="22">
        <v>1</v>
      </c>
      <c r="D13" s="22">
        <v>29</v>
      </c>
      <c r="E13" s="22">
        <v>28</v>
      </c>
      <c r="F13" s="24">
        <f t="shared" si="0"/>
        <v>4.8506035099999997E-26</v>
      </c>
      <c r="G13" s="24">
        <f t="shared" si="1"/>
        <v>2.5506279679999997E-29</v>
      </c>
      <c r="H13" s="25">
        <f t="shared" si="12"/>
        <v>1969.6480289056633</v>
      </c>
      <c r="I13" s="25">
        <f t="shared" si="13"/>
        <v>1.0357142857142858</v>
      </c>
      <c r="J13" s="26">
        <f t="shared" si="14"/>
        <v>4.8480528820319999E-26</v>
      </c>
      <c r="K13" s="28">
        <v>78.074799999999996</v>
      </c>
      <c r="L13" s="28">
        <f>0.1*EXP(47600/(8.3144598*N13))/1000</f>
        <v>2.9475212895614506E-3</v>
      </c>
      <c r="M13" s="29">
        <f t="shared" si="15"/>
        <v>5.9101654846335696E-4</v>
      </c>
      <c r="N13" s="28">
        <v>1692</v>
      </c>
      <c r="O13" s="30">
        <f t="shared" si="21"/>
        <v>3.1001402462170846E-5</v>
      </c>
      <c r="P13" s="28">
        <f t="shared" si="16"/>
        <v>1.9425895352149478E+28</v>
      </c>
      <c r="Q13" s="30">
        <v>1.55E-4</v>
      </c>
      <c r="S13" s="31">
        <v>1E-10</v>
      </c>
      <c r="T13" s="31">
        <v>1.3300000000000001E-10</v>
      </c>
      <c r="U13" s="31">
        <f t="shared" si="17"/>
        <v>2.3300000000000002E-10</v>
      </c>
      <c r="V13" s="31">
        <f t="shared" si="18"/>
        <v>2.33</v>
      </c>
      <c r="W13" s="31">
        <f t="shared" si="22"/>
        <v>2518428</v>
      </c>
      <c r="X13" s="32">
        <v>1710.3</v>
      </c>
      <c r="Y13" s="28">
        <v>0</v>
      </c>
      <c r="Z13" s="24">
        <v>3.18</v>
      </c>
      <c r="AA13" s="24">
        <v>-3.9100000000000002E-4</v>
      </c>
      <c r="AB13" s="28">
        <v>1</v>
      </c>
      <c r="AC13" s="28">
        <v>2</v>
      </c>
      <c r="AD13" s="28">
        <f t="shared" si="19"/>
        <v>3</v>
      </c>
      <c r="AE13" s="28">
        <f t="shared" si="2"/>
        <v>1.2950596901432986E+28</v>
      </c>
      <c r="AF13" s="28">
        <f t="shared" si="3"/>
        <v>6.4752984507164929E+27</v>
      </c>
      <c r="AG13" s="28">
        <v>0.59290478268263602</v>
      </c>
      <c r="AH13" s="28" t="s">
        <v>62</v>
      </c>
      <c r="AI13" s="88"/>
      <c r="AJ13" s="88"/>
      <c r="AK13" s="88"/>
      <c r="AM13">
        <v>5.9</v>
      </c>
      <c r="AN13" t="s">
        <v>199</v>
      </c>
      <c r="AO13" t="s">
        <v>203</v>
      </c>
      <c r="AP13" t="s">
        <v>204</v>
      </c>
      <c r="AQ13">
        <v>2</v>
      </c>
      <c r="AR13">
        <v>-1</v>
      </c>
      <c r="AS13">
        <f t="shared" si="4"/>
        <v>2.8564628722799152E-11</v>
      </c>
      <c r="AT13" s="45"/>
      <c r="AU13" s="45"/>
      <c r="AV13" s="45"/>
      <c r="AW13" s="45"/>
      <c r="AX13" s="45">
        <f t="shared" si="8"/>
        <v>-2.0540721467734608E-4</v>
      </c>
      <c r="AY13" s="45">
        <f t="shared" si="9"/>
        <v>4.1081442935469217E-4</v>
      </c>
      <c r="AZ13" s="45">
        <f t="shared" si="10"/>
        <v>1.0270360733867304E-4</v>
      </c>
      <c r="BA13"/>
      <c r="BB13"/>
      <c r="BC13" s="24">
        <f t="shared" si="23"/>
        <v>6.843135125098611E-10</v>
      </c>
      <c r="BD13" s="24"/>
    </row>
    <row r="14" spans="1:56" ht="20.25" customHeight="1">
      <c r="A14" s="22" t="s">
        <v>163</v>
      </c>
      <c r="B14" s="57"/>
      <c r="C14" s="22">
        <v>1</v>
      </c>
      <c r="D14" s="22">
        <v>47</v>
      </c>
      <c r="E14" s="22">
        <v>46</v>
      </c>
      <c r="F14" s="24">
        <f>D14*1.6726219E-27</f>
        <v>7.8613229299999995E-26</v>
      </c>
      <c r="G14" s="24">
        <f>E14*9.1093856E-31</f>
        <v>4.1903173759999999E-29</v>
      </c>
      <c r="H14" s="25">
        <f>((F14*D14)/(G14*E14))</f>
        <v>1916.8527187390821</v>
      </c>
      <c r="I14" s="25">
        <f>D14/E14</f>
        <v>1.0217391304347827</v>
      </c>
      <c r="J14" s="26">
        <f>(F14)-(G14)</f>
        <v>7.8571326126239999E-26</v>
      </c>
      <c r="K14" s="28">
        <v>125.6168</v>
      </c>
      <c r="L14" s="28">
        <f>0.0703*EXP(54500/(8.3144598*N14))/1000</f>
        <v>3.0018345111633513E-3</v>
      </c>
      <c r="M14" s="29">
        <f>N14^-1</f>
        <v>5.7273768613974802E-4</v>
      </c>
      <c r="N14" s="28">
        <v>1746</v>
      </c>
      <c r="O14" s="30">
        <f>K14/W14</f>
        <v>3.6213810492182497E-5</v>
      </c>
      <c r="P14" s="28">
        <f t="shared" si="16"/>
        <v>1.6629843471733079E+28</v>
      </c>
      <c r="Q14" s="30">
        <v>2.13E-4</v>
      </c>
      <c r="S14" s="31">
        <v>1.1800000000000001E-10</v>
      </c>
      <c r="T14" s="31">
        <v>1.3300000000000001E-10</v>
      </c>
      <c r="U14" s="31">
        <f>T14+S14</f>
        <v>2.5100000000000001E-10</v>
      </c>
      <c r="V14" s="31">
        <f>U14*10000000000</f>
        <v>2.5100000000000002</v>
      </c>
      <c r="W14" s="31">
        <f>(Z14+N14*AA14)*1000000</f>
        <v>3468754</v>
      </c>
      <c r="X14" s="32">
        <v>1398.6</v>
      </c>
      <c r="Y14" s="28">
        <v>0</v>
      </c>
      <c r="Z14" s="24">
        <v>4.78</v>
      </c>
      <c r="AA14" s="24">
        <v>-7.5100000000000004E-4</v>
      </c>
      <c r="AB14" s="28">
        <v>1</v>
      </c>
      <c r="AC14" s="28">
        <v>2</v>
      </c>
      <c r="AD14" s="28">
        <f>AB14+AC14</f>
        <v>3</v>
      </c>
      <c r="AE14" s="28">
        <f t="shared" si="2"/>
        <v>1.1086562314488718E+28</v>
      </c>
      <c r="AF14" s="28">
        <f t="shared" si="3"/>
        <v>5.5432811572443592E+27</v>
      </c>
      <c r="AI14" s="88"/>
      <c r="AJ14" s="88"/>
      <c r="AK14" s="88"/>
      <c r="AM14">
        <v>5.9</v>
      </c>
      <c r="AN14" t="s">
        <v>201</v>
      </c>
      <c r="AO14" t="s">
        <v>203</v>
      </c>
      <c r="AP14" t="s">
        <v>204</v>
      </c>
      <c r="AQ14">
        <v>2</v>
      </c>
      <c r="AR14">
        <v>-1</v>
      </c>
      <c r="AS14">
        <f t="shared" si="4"/>
        <v>3.1361510042445566E-11</v>
      </c>
      <c r="AT14" s="45"/>
      <c r="AU14" s="45"/>
      <c r="AV14" s="45"/>
      <c r="AW14" s="45"/>
      <c r="AX14" s="45">
        <f>(AQ14*AR14*$AM$50)/(4*PI()*$AM$46*AM14*$AM$52)*EXP(-$AM$52/AS14)</f>
        <v>-4.6321912504000408E-4</v>
      </c>
      <c r="AY14" s="45">
        <f>(AQ14*AQ14*$AM$50)/(4*PI()*$AM$46*AM14*$AM$52)*EXP(-$AM$52/AS14)</f>
        <v>9.2643825008000816E-4</v>
      </c>
      <c r="AZ14" s="45">
        <f>(AR14*AR14*$AM$50)/(4*PI()*$AM$46*AM14*$AM$52)*EXP(-$AM$52/AS14)</f>
        <v>2.3160956252000204E-4</v>
      </c>
      <c r="BA14"/>
      <c r="BB14"/>
      <c r="BC14" s="24">
        <f t="shared" si="23"/>
        <v>6.1875642429403127E-10</v>
      </c>
      <c r="BD14" s="24"/>
    </row>
    <row r="15" spans="1:56" ht="20.25" customHeight="1">
      <c r="A15" s="22" t="s">
        <v>164</v>
      </c>
      <c r="B15" s="57">
        <v>0.8</v>
      </c>
      <c r="C15" s="22">
        <v>1</v>
      </c>
      <c r="D15" s="22">
        <v>29</v>
      </c>
      <c r="E15" s="22">
        <v>28</v>
      </c>
      <c r="F15" s="24">
        <f>D15*1.6726219E-27</f>
        <v>4.8506035099999997E-26</v>
      </c>
      <c r="G15" s="24">
        <f>E15*9.1093856E-31</f>
        <v>2.5506279679999997E-29</v>
      </c>
      <c r="H15" s="25">
        <f>((F15*D15)/(G15*E15))</f>
        <v>1969.6480289056633</v>
      </c>
      <c r="I15" s="25">
        <f>D15/E15</f>
        <v>1.0357142857142858</v>
      </c>
      <c r="J15" s="26">
        <f>(F15)-(G15)</f>
        <v>4.8480528820319999E-26</v>
      </c>
      <c r="K15" s="28">
        <v>95.210999999999999</v>
      </c>
      <c r="L15" s="28">
        <f>0.18*EXP(20500/(8.3144598*N15))/1000</f>
        <v>2.1885964575678765E-3</v>
      </c>
      <c r="M15" s="29">
        <f>N15^-1</f>
        <v>1.0131712259371835E-3</v>
      </c>
      <c r="N15" s="28">
        <v>987</v>
      </c>
      <c r="O15" s="30">
        <f>K15/W15</f>
        <v>5.651027632231827E-5</v>
      </c>
      <c r="P15" s="30"/>
      <c r="Q15" s="30">
        <v>1.8000000000000001E-4</v>
      </c>
      <c r="S15" s="31">
        <v>7.1999999999999997E-11</v>
      </c>
      <c r="T15" s="31">
        <v>1.81E-10</v>
      </c>
      <c r="U15" s="31">
        <f>T15+S15</f>
        <v>2.5300000000000001E-10</v>
      </c>
      <c r="V15" s="31">
        <f>U15*10000000000</f>
        <v>2.5300000000000002</v>
      </c>
      <c r="W15" s="31">
        <f>(Z15+N15*AA15)*1000000</f>
        <v>1684844</v>
      </c>
      <c r="X15" s="32">
        <v>2101</v>
      </c>
      <c r="Y15" s="28">
        <v>0</v>
      </c>
      <c r="Z15" s="24">
        <v>1.9691000000000001</v>
      </c>
      <c r="AA15" s="24">
        <v>-2.8800000000000001E-4</v>
      </c>
      <c r="AB15" s="28">
        <v>1</v>
      </c>
      <c r="AC15" s="28">
        <v>2</v>
      </c>
      <c r="AD15" s="28">
        <f>AB15+AC15</f>
        <v>3</v>
      </c>
      <c r="AE15" s="28">
        <f>6.0223E+23/O15*ABS(AQ15)/(ABS(AQ15)+ABS(AR15))</f>
        <v>7.104666492457103E+27</v>
      </c>
      <c r="AF15" s="28">
        <f>6.0223E+23/O15*ABS(AR15)/(ABS(AQ15)+ABS(AR15))</f>
        <v>3.5523332462285515E+27</v>
      </c>
      <c r="AG15" s="28">
        <v>0.54390685781354797</v>
      </c>
      <c r="AH15" s="28" t="s">
        <v>283</v>
      </c>
      <c r="AI15" s="88">
        <v>2.3600000000000001E-10</v>
      </c>
      <c r="AJ15" s="88">
        <v>3.4999999999999998E-10</v>
      </c>
      <c r="AK15" s="88">
        <v>3.5099999999999998E-10</v>
      </c>
      <c r="AL15" s="24" t="s">
        <v>271</v>
      </c>
      <c r="AM15">
        <v>5.2</v>
      </c>
      <c r="AN15" t="s">
        <v>218</v>
      </c>
      <c r="AO15" t="s">
        <v>203</v>
      </c>
      <c r="AP15" t="s">
        <v>269</v>
      </c>
      <c r="AQ15">
        <v>2</v>
      </c>
      <c r="AR15">
        <v>-1</v>
      </c>
      <c r="AS15">
        <f t="shared" si="4"/>
        <v>2.7652582163072267E-11</v>
      </c>
      <c r="AT15" s="45">
        <f>(AQ15*AR15*$AM$50)/(4*PI()*$AM$46*AM15*AI15)*EXP(-AI15/AS15)</f>
        <v>-4.6126161982461018E-4</v>
      </c>
      <c r="AU15" s="45">
        <f>(AQ15*AQ15*$AM$50)/(4*PI()*$AM$46*AM15*AJ15)*EXP(-AJ15/AS15)</f>
        <v>1.0078763369539612E-5</v>
      </c>
      <c r="AV15" s="45">
        <f>(AR15*AR15*$AM$50)/(4*PI()*$AM$46*AM15*AK15)*EXP(-AK15/AS15)</f>
        <v>2.4232755434192793E-6</v>
      </c>
      <c r="AW15" s="45"/>
      <c r="AX15" s="45">
        <f t="shared" ref="AX15:AX23" si="24">(AQ15*AR15*$AM$50)/(4*PI()*$AM$46*AM15*$AM$52)*EXP(-$AM$52/AS15)</f>
        <v>-1.7252441958564505E-4</v>
      </c>
      <c r="AY15" s="45">
        <f t="shared" ref="AY15:AY23" si="25">(AQ15*AQ15*$AM$50)/(4*PI()*$AM$46*AM15*$AM$52)*EXP(-$AM$52/AS15)</f>
        <v>3.4504883917129011E-4</v>
      </c>
      <c r="AZ15" s="45">
        <f t="shared" ref="AZ15:AZ23" si="26">(AR15*AR15*$AM$50)/(4*PI()*$AM$46*AM15*$AM$52)*EXP(-$AM$52/AS15)</f>
        <v>8.6262209792822527E-5</v>
      </c>
      <c r="BA15"/>
      <c r="BB15"/>
      <c r="BC15" s="24">
        <f t="shared" si="23"/>
        <v>6.1827251968353004E-10</v>
      </c>
      <c r="BD15" s="24"/>
    </row>
    <row r="16" spans="1:56" ht="20.25" customHeight="1">
      <c r="A16" s="22" t="s">
        <v>165</v>
      </c>
      <c r="B16" s="57">
        <v>2.5</v>
      </c>
      <c r="C16" s="22">
        <v>1</v>
      </c>
      <c r="D16" s="22">
        <v>37</v>
      </c>
      <c r="E16" s="22">
        <v>36</v>
      </c>
      <c r="F16" s="24">
        <f t="shared" si="0"/>
        <v>6.1887010299999994E-26</v>
      </c>
      <c r="G16" s="24">
        <f t="shared" si="1"/>
        <v>3.2793788159999999E-29</v>
      </c>
      <c r="H16" s="25">
        <f t="shared" si="12"/>
        <v>1939.5775080668341</v>
      </c>
      <c r="I16" s="25">
        <f t="shared" si="13"/>
        <v>1.0277777777777777</v>
      </c>
      <c r="J16" s="26">
        <f t="shared" si="14"/>
        <v>6.185421651184E-26</v>
      </c>
      <c r="K16" s="28">
        <v>110.98399999999999</v>
      </c>
      <c r="L16" s="28">
        <f>10^(-0.545+597/N16+546000/N16^2)/1000</f>
        <v>3.3595446651079881E-3</v>
      </c>
      <c r="M16" s="29">
        <f t="shared" si="15"/>
        <v>9.5693779904306223E-4</v>
      </c>
      <c r="N16" s="28">
        <v>1045</v>
      </c>
      <c r="O16" s="30">
        <f t="shared" si="21"/>
        <v>5.3154147698835956E-5</v>
      </c>
      <c r="P16" s="28">
        <f t="shared" si="16"/>
        <v>1.1329877837796438E+28</v>
      </c>
      <c r="Q16" s="30">
        <v>2.03E-4</v>
      </c>
      <c r="S16" s="31">
        <v>1E-10</v>
      </c>
      <c r="T16" s="31">
        <v>1.81E-10</v>
      </c>
      <c r="U16" s="31">
        <f t="shared" si="17"/>
        <v>2.8100000000000001E-10</v>
      </c>
      <c r="V16" s="31">
        <f t="shared" si="18"/>
        <v>2.81</v>
      </c>
      <c r="W16" s="31">
        <f t="shared" si="22"/>
        <v>2087964.9999999995</v>
      </c>
      <c r="X16" s="32">
        <v>2065.0300000000002</v>
      </c>
      <c r="Y16" s="28">
        <v>0</v>
      </c>
      <c r="Z16" s="24">
        <v>2.5299999999999998</v>
      </c>
      <c r="AA16" s="24">
        <v>-4.2299999999999998E-4</v>
      </c>
      <c r="AB16" s="28">
        <v>1</v>
      </c>
      <c r="AC16" s="28">
        <v>2</v>
      </c>
      <c r="AD16" s="28">
        <f>AB16+AC16</f>
        <v>3</v>
      </c>
      <c r="AE16" s="28">
        <f t="shared" ref="AE16:AE23" si="27">6.0223E+23/O16*ABS(AQ16)/(ABS(AQ16)+ABS(AR16))</f>
        <v>7.5532518918642917E+27</v>
      </c>
      <c r="AF16" s="28">
        <f t="shared" ref="AF16:AF23" si="28">6.0223E+23/O16*ABS(AR16)/(ABS(AQ16)+ABS(AR16))</f>
        <v>3.7766259459321459E+27</v>
      </c>
      <c r="AI16" s="88">
        <v>2.7800000000000002E-10</v>
      </c>
      <c r="AJ16" s="88">
        <v>3.5500000000000001E-10</v>
      </c>
      <c r="AK16" s="88">
        <v>3.6499999999999998E-10</v>
      </c>
      <c r="AL16" s="24" t="s">
        <v>280</v>
      </c>
      <c r="AM16">
        <v>5.2</v>
      </c>
      <c r="AN16" t="s">
        <v>218</v>
      </c>
      <c r="AO16" t="s">
        <v>203</v>
      </c>
      <c r="AP16" t="s">
        <v>204</v>
      </c>
      <c r="AQ16">
        <v>2</v>
      </c>
      <c r="AR16">
        <v>-1</v>
      </c>
      <c r="AS16">
        <f t="shared" si="4"/>
        <v>2.7595617986321629E-11</v>
      </c>
      <c r="AT16" s="45">
        <f>(AQ16*AR16*$AM$50)/(4*PI()*$AM$46*AM16*AI16)*EXP(-AI16/AS16)</f>
        <v>-8.3979948283895422E-5</v>
      </c>
      <c r="AU16" s="45">
        <f>(AQ16*AQ16*$AM$50)/(4*PI()*$AM$46*AM16*AJ16)*EXP(-AJ16/AS16)</f>
        <v>8.0762728082496508E-6</v>
      </c>
      <c r="AV16" s="45">
        <f>(AR16*AR16*$AM$50)/(4*PI()*$AM$46*AM16*AK16)*EXP(-AK16/AS16)</f>
        <v>1.3668108509870894E-6</v>
      </c>
      <c r="AW16" s="45"/>
      <c r="AX16" s="45">
        <f t="shared" si="24"/>
        <v>-1.6920231528582099E-4</v>
      </c>
      <c r="AY16" s="45">
        <f t="shared" si="25"/>
        <v>3.3840463057164199E-4</v>
      </c>
      <c r="AZ16" s="45">
        <f t="shared" si="26"/>
        <v>8.4601157642910497E-5</v>
      </c>
      <c r="BA16"/>
      <c r="BB16"/>
      <c r="BC16" s="24">
        <f t="shared" si="23"/>
        <v>7.7916751857846874E-10</v>
      </c>
      <c r="BD16" s="24"/>
    </row>
    <row r="17" spans="1:56" ht="20.25" customHeight="1">
      <c r="A17" s="22" t="s">
        <v>166</v>
      </c>
      <c r="B17" s="57"/>
      <c r="C17" s="22">
        <v>1</v>
      </c>
      <c r="D17" s="22">
        <v>55</v>
      </c>
      <c r="E17" s="22">
        <v>54</v>
      </c>
      <c r="F17" s="24">
        <f t="shared" si="0"/>
        <v>9.1994204499999998E-26</v>
      </c>
      <c r="G17" s="24">
        <f t="shared" si="1"/>
        <v>4.9190682239999996E-29</v>
      </c>
      <c r="H17" s="25">
        <f t="shared" si="12"/>
        <v>1904.7875860407996</v>
      </c>
      <c r="I17" s="25">
        <f t="shared" si="13"/>
        <v>1.0185185185185186</v>
      </c>
      <c r="J17" s="26">
        <f t="shared" si="14"/>
        <v>9.1945013817760001E-26</v>
      </c>
      <c r="K17" s="28">
        <v>158.52600000000001</v>
      </c>
      <c r="L17" s="28">
        <f>10^(-0.439+398/N17+879000/N17^2)/1000</f>
        <v>3.78088190424221E-3</v>
      </c>
      <c r="M17" s="29">
        <f t="shared" si="15"/>
        <v>8.7260034904013963E-4</v>
      </c>
      <c r="N17" s="28">
        <v>1146</v>
      </c>
      <c r="O17" s="30">
        <f t="shared" si="21"/>
        <v>5.811897000013199E-5</v>
      </c>
      <c r="P17" s="28">
        <f t="shared" si="16"/>
        <v>1.0362021212671737E+28</v>
      </c>
      <c r="Q17" s="30">
        <v>2.12E-4</v>
      </c>
      <c r="S17" s="31">
        <v>1.1800000000000001E-10</v>
      </c>
      <c r="T17" s="31">
        <v>1.81E-10</v>
      </c>
      <c r="U17" s="31">
        <f t="shared" si="17"/>
        <v>2.99E-10</v>
      </c>
      <c r="V17" s="31">
        <f t="shared" si="18"/>
        <v>2.99</v>
      </c>
      <c r="W17" s="31">
        <f t="shared" si="22"/>
        <v>2727612</v>
      </c>
      <c r="X17" s="32">
        <v>1873.13</v>
      </c>
      <c r="Y17" s="28">
        <v>0</v>
      </c>
      <c r="Z17" s="24">
        <v>3.39</v>
      </c>
      <c r="AA17" s="24">
        <v>-5.7799999999999995E-4</v>
      </c>
      <c r="AB17" s="28">
        <v>1</v>
      </c>
      <c r="AC17" s="28">
        <v>2</v>
      </c>
      <c r="AD17" s="28">
        <f t="shared" si="19"/>
        <v>3</v>
      </c>
      <c r="AE17" s="28">
        <f t="shared" si="27"/>
        <v>6.9080141417811579E+27</v>
      </c>
      <c r="AF17" s="28">
        <f t="shared" si="28"/>
        <v>3.4540070708905789E+27</v>
      </c>
      <c r="AI17" s="88">
        <v>2.8999999999999998E-10</v>
      </c>
      <c r="AJ17" s="88">
        <v>4.8999999999999996E-10</v>
      </c>
      <c r="AK17" s="88">
        <v>3.7999999999999998E-10</v>
      </c>
      <c r="AL17" s="24" t="s">
        <v>281</v>
      </c>
      <c r="AM17">
        <v>5.2</v>
      </c>
      <c r="AN17" t="s">
        <v>200</v>
      </c>
      <c r="AO17" t="s">
        <v>203</v>
      </c>
      <c r="AP17" t="s">
        <v>204</v>
      </c>
      <c r="AQ17">
        <v>2</v>
      </c>
      <c r="AR17">
        <v>-1</v>
      </c>
      <c r="AS17">
        <f t="shared" si="4"/>
        <v>3.0217926668490741E-11</v>
      </c>
      <c r="AT17" s="45">
        <f>(AQ17*AR17*$AM$50)/(4*PI()*$AM$46*AM17*AI17)*EXP(-AI17/AS17)</f>
        <v>-1.2972660417889811E-4</v>
      </c>
      <c r="AU17" s="45">
        <f>(AQ17*AQ17*$AM$50)/(4*PI()*$AM$46*AM17*AJ17)*EXP(-AJ17/AS17)</f>
        <v>2.0504293755909421E-7</v>
      </c>
      <c r="AV17" s="45">
        <f>(AR17*AR17*$AM$50)/(4*PI()*$AM$46*AM17*AK17)*EXP(-AK17/AS17)</f>
        <v>2.5184085711073739E-6</v>
      </c>
      <c r="AW17" s="45"/>
      <c r="AX17" s="45">
        <f t="shared" si="24"/>
        <v>-3.8382393861047752E-4</v>
      </c>
      <c r="AY17" s="45">
        <f t="shared" si="25"/>
        <v>7.6764787722095505E-4</v>
      </c>
      <c r="AZ17" s="45">
        <f t="shared" si="26"/>
        <v>1.9191196930523876E-4</v>
      </c>
      <c r="BA17"/>
      <c r="BB17"/>
      <c r="BC17" s="24">
        <f t="shared" si="23"/>
        <v>7.4001853993764589E-10</v>
      </c>
      <c r="BD17" s="24"/>
    </row>
    <row r="18" spans="1:56" ht="20.25" customHeight="1">
      <c r="A18" s="22" t="s">
        <v>167</v>
      </c>
      <c r="B18" s="57">
        <v>0.3</v>
      </c>
      <c r="C18" s="22">
        <v>1</v>
      </c>
      <c r="D18" s="22">
        <v>26</v>
      </c>
      <c r="E18" s="22">
        <v>25</v>
      </c>
      <c r="F18" s="24">
        <f t="shared" si="0"/>
        <v>4.3488169400000001E-26</v>
      </c>
      <c r="G18" s="24">
        <f t="shared" si="1"/>
        <v>2.2773463999999997E-29</v>
      </c>
      <c r="H18" s="25">
        <f t="shared" si="12"/>
        <v>1985.9822895629759</v>
      </c>
      <c r="I18" s="25">
        <f t="shared" si="13"/>
        <v>1.04</v>
      </c>
      <c r="J18" s="26">
        <f t="shared" si="14"/>
        <v>4.3465395936000002E-26</v>
      </c>
      <c r="K18" s="28">
        <v>84.99</v>
      </c>
      <c r="L18" s="28"/>
      <c r="M18" s="29">
        <f t="shared" si="15"/>
        <v>1.7148246591785991E-3</v>
      </c>
      <c r="N18" s="61">
        <v>583.15</v>
      </c>
      <c r="O18" s="28">
        <v>4.4669999999999998E-5</v>
      </c>
      <c r="P18" s="28">
        <f t="shared" si="16"/>
        <v>1.3481755092903516E+28</v>
      </c>
      <c r="Q18" s="62">
        <v>3.7599999999999998E-4</v>
      </c>
      <c r="S18" s="31">
        <v>1.02E-10</v>
      </c>
      <c r="T18" s="31">
        <v>2.31E-10</v>
      </c>
      <c r="U18" s="31">
        <f t="shared" si="17"/>
        <v>3.3299999999999999E-10</v>
      </c>
      <c r="V18" s="31">
        <f t="shared" si="18"/>
        <v>3.33</v>
      </c>
      <c r="W18" s="31">
        <f t="shared" si="22"/>
        <v>1886915.5249999999</v>
      </c>
      <c r="X18" s="28">
        <v>2490.4882499999999</v>
      </c>
      <c r="Y18" s="28">
        <v>-1.155</v>
      </c>
      <c r="Z18" s="31">
        <v>2.3338999999999999</v>
      </c>
      <c r="AA18" s="24">
        <v>-7.6650000000000004E-4</v>
      </c>
      <c r="AB18" s="28">
        <v>2</v>
      </c>
      <c r="AC18" s="28">
        <v>3</v>
      </c>
      <c r="AD18" s="28">
        <f t="shared" si="19"/>
        <v>5</v>
      </c>
      <c r="AE18" s="28">
        <f t="shared" si="27"/>
        <v>6.7408775464517582E+27</v>
      </c>
      <c r="AF18" s="28">
        <f t="shared" si="28"/>
        <v>6.7408775464517582E+27</v>
      </c>
      <c r="AI18" s="88"/>
      <c r="AJ18" s="88"/>
      <c r="AK18" s="88"/>
      <c r="AM18">
        <v>27</v>
      </c>
      <c r="AN18" t="s">
        <v>206</v>
      </c>
      <c r="AP18" t="s">
        <v>207</v>
      </c>
      <c r="AQ18">
        <v>1</v>
      </c>
      <c r="AR18">
        <f t="shared" si="20"/>
        <v>-1</v>
      </c>
      <c r="AS18">
        <f t="shared" si="4"/>
        <v>7.4585147590354106E-11</v>
      </c>
      <c r="AT18" s="45"/>
      <c r="AU18" s="45"/>
      <c r="AV18" s="45"/>
      <c r="AW18" s="45"/>
      <c r="AX18" s="45">
        <f t="shared" si="24"/>
        <v>-6.2307896722837803E-3</v>
      </c>
      <c r="AY18" s="45">
        <f t="shared" si="25"/>
        <v>6.2307896722837803E-3</v>
      </c>
      <c r="AZ18" s="45">
        <f t="shared" si="26"/>
        <v>6.2307896722837803E-3</v>
      </c>
      <c r="BA18"/>
      <c r="BB18"/>
      <c r="BC18" s="24"/>
      <c r="BD18" s="24"/>
    </row>
    <row r="19" spans="1:56" ht="20.25" customHeight="1">
      <c r="A19" s="22" t="s">
        <v>168</v>
      </c>
      <c r="B19" s="57">
        <v>0.2</v>
      </c>
      <c r="C19" s="22">
        <v>1</v>
      </c>
      <c r="D19" s="22">
        <v>34</v>
      </c>
      <c r="E19" s="22">
        <v>33</v>
      </c>
      <c r="F19" s="24">
        <f t="shared" si="0"/>
        <v>5.6869144599999998E-26</v>
      </c>
      <c r="G19" s="24">
        <f t="shared" si="1"/>
        <v>3.0060972479999997E-29</v>
      </c>
      <c r="H19" s="25">
        <f t="shared" si="12"/>
        <v>1949.1203104325261</v>
      </c>
      <c r="I19" s="25">
        <f t="shared" si="13"/>
        <v>1.0303030303030303</v>
      </c>
      <c r="J19" s="26">
        <f t="shared" si="14"/>
        <v>5.6839083627519992E-26</v>
      </c>
      <c r="K19" s="28">
        <v>101.1</v>
      </c>
      <c r="L19" s="28"/>
      <c r="M19" s="29">
        <f t="shared" si="15"/>
        <v>1.6389412439564042E-3</v>
      </c>
      <c r="N19" s="28">
        <v>610.15</v>
      </c>
      <c r="O19" s="28">
        <v>5.4060000000000001E-5</v>
      </c>
      <c r="P19" s="28">
        <f t="shared" si="16"/>
        <v>1.1140029596744358E+28</v>
      </c>
      <c r="Q19" s="62">
        <v>3.8999999999999999E-4</v>
      </c>
      <c r="S19" s="31">
        <v>1.3799999999999999E-10</v>
      </c>
      <c r="T19" s="31">
        <v>2.31E-10</v>
      </c>
      <c r="U19" s="31">
        <f t="shared" si="17"/>
        <v>3.6899999999999997E-10</v>
      </c>
      <c r="V19" s="31">
        <f t="shared" si="18"/>
        <v>3.6899999999999995</v>
      </c>
      <c r="W19" s="31">
        <f t="shared" si="22"/>
        <v>1870200.65</v>
      </c>
      <c r="X19" s="28">
        <v>2449.9279999999999</v>
      </c>
      <c r="Y19" s="28">
        <v>-1.1200000000000001</v>
      </c>
      <c r="Z19" s="31">
        <v>2.3149999999999999</v>
      </c>
      <c r="AA19" s="24">
        <v>-7.2900000000000005E-4</v>
      </c>
      <c r="AB19" s="28">
        <v>2</v>
      </c>
      <c r="AC19" s="28">
        <v>3</v>
      </c>
      <c r="AD19" s="28">
        <f t="shared" si="19"/>
        <v>5</v>
      </c>
      <c r="AE19" s="28">
        <f t="shared" si="27"/>
        <v>5.5700147983721791E+27</v>
      </c>
      <c r="AF19" s="28">
        <f t="shared" si="28"/>
        <v>5.5700147983721791E+27</v>
      </c>
      <c r="AI19" s="88"/>
      <c r="AJ19" s="88"/>
      <c r="AK19" s="88"/>
      <c r="AM19">
        <v>35</v>
      </c>
      <c r="AN19" t="s">
        <v>208</v>
      </c>
      <c r="AP19" t="s">
        <v>209</v>
      </c>
      <c r="AQ19">
        <v>1</v>
      </c>
      <c r="AR19">
        <f t="shared" si="20"/>
        <v>-1</v>
      </c>
      <c r="AS19">
        <f t="shared" si="4"/>
        <v>9.555704381802783E-11</v>
      </c>
      <c r="AT19" s="45"/>
      <c r="AU19" s="45"/>
      <c r="AV19" s="45"/>
      <c r="AW19" s="45"/>
      <c r="AX19" s="45">
        <f t="shared" si="24"/>
        <v>-1.0344196342977509E-2</v>
      </c>
      <c r="AY19" s="45">
        <f t="shared" si="25"/>
        <v>1.0344196342977509E-2</v>
      </c>
      <c r="AZ19" s="45">
        <f t="shared" si="26"/>
        <v>1.0344196342977509E-2</v>
      </c>
      <c r="BA19"/>
      <c r="BB19"/>
      <c r="BC19" s="24"/>
      <c r="BD19" s="24"/>
    </row>
    <row r="20" spans="1:56" ht="20.25" customHeight="1">
      <c r="A20" s="22" t="s">
        <v>169</v>
      </c>
      <c r="B20" s="57">
        <v>0.05</v>
      </c>
      <c r="C20" s="22">
        <v>1</v>
      </c>
      <c r="D20" s="22">
        <v>49</v>
      </c>
      <c r="E20" s="22">
        <v>46</v>
      </c>
      <c r="F20" s="24">
        <f t="shared" si="0"/>
        <v>8.1958473100000004E-26</v>
      </c>
      <c r="G20" s="24">
        <f t="shared" si="1"/>
        <v>4.1903173759999999E-29</v>
      </c>
      <c r="H20" s="25">
        <f t="shared" si="12"/>
        <v>2083.4601076018726</v>
      </c>
      <c r="I20" s="25">
        <f t="shared" si="13"/>
        <v>1.0652173913043479</v>
      </c>
      <c r="J20" s="26">
        <f t="shared" si="14"/>
        <v>8.1916569926240009E-26</v>
      </c>
      <c r="K20" s="27">
        <v>167.21</v>
      </c>
      <c r="L20" s="28"/>
      <c r="M20" s="29">
        <f t="shared" si="15"/>
        <v>8.3963056255247689E-4</v>
      </c>
      <c r="N20" s="63">
        <v>1191</v>
      </c>
      <c r="O20" s="30">
        <f>K20/W20</f>
        <v>4.292862515949649E-5</v>
      </c>
      <c r="P20" s="28">
        <f t="shared" si="16"/>
        <v>1.4028634687518691E+28</v>
      </c>
      <c r="Q20" s="30">
        <v>3.0899999999999998E-4</v>
      </c>
      <c r="S20" s="31">
        <v>7.1999999999999997E-11</v>
      </c>
      <c r="T20" s="31">
        <v>1.3300000000000001E-10</v>
      </c>
      <c r="U20" s="31">
        <f t="shared" si="17"/>
        <v>2.0500000000000002E-10</v>
      </c>
      <c r="V20" s="31">
        <f t="shared" si="18"/>
        <v>2.0500000000000003</v>
      </c>
      <c r="W20" s="31">
        <f>(5.36-0.00123*N20)*1000000</f>
        <v>3895070.0000000005</v>
      </c>
      <c r="X20" s="32">
        <v>1700</v>
      </c>
      <c r="Y20" s="28">
        <v>0</v>
      </c>
      <c r="Z20" s="28">
        <v>5.36</v>
      </c>
      <c r="AA20" s="28">
        <v>-1.23E-3</v>
      </c>
      <c r="AE20" s="28">
        <f t="shared" si="27"/>
        <v>1.1222907750014952E+28</v>
      </c>
      <c r="AF20" s="28">
        <f t="shared" si="28"/>
        <v>2.805726937503738E+27</v>
      </c>
      <c r="AI20" s="88"/>
      <c r="AJ20" s="88"/>
      <c r="AK20" s="88"/>
      <c r="AM20">
        <v>5.9</v>
      </c>
      <c r="AN20" t="s">
        <v>199</v>
      </c>
      <c r="AO20" t="s">
        <v>203</v>
      </c>
      <c r="AP20" t="s">
        <v>204</v>
      </c>
      <c r="AQ20">
        <v>4</v>
      </c>
      <c r="AR20">
        <v>-1</v>
      </c>
      <c r="AS20">
        <f t="shared" si="4"/>
        <v>1.3547403168154094E-11</v>
      </c>
      <c r="AT20" s="45"/>
      <c r="AU20" s="45"/>
      <c r="AV20" s="45"/>
      <c r="AW20" s="45"/>
      <c r="AX20" s="45">
        <f t="shared" si="24"/>
        <v>-1.674479721671473E-8</v>
      </c>
      <c r="AY20" s="45">
        <f t="shared" si="25"/>
        <v>6.6979188866858919E-8</v>
      </c>
      <c r="AZ20" s="45">
        <f t="shared" si="26"/>
        <v>4.1861993041786824E-9</v>
      </c>
      <c r="BA20"/>
      <c r="BB20"/>
      <c r="BC20" s="24"/>
      <c r="BD20" s="24"/>
    </row>
    <row r="21" spans="1:56" ht="20.25" customHeight="1">
      <c r="A21" s="22" t="s">
        <v>170</v>
      </c>
      <c r="B21" s="57">
        <v>0.08</v>
      </c>
      <c r="C21" s="22">
        <v>1</v>
      </c>
      <c r="D21" s="22">
        <v>99</v>
      </c>
      <c r="E21" s="22">
        <v>96</v>
      </c>
      <c r="F21" s="24">
        <f t="shared" si="0"/>
        <v>1.6558956810000001E-25</v>
      </c>
      <c r="G21" s="24">
        <f t="shared" si="1"/>
        <v>8.7450101759999993E-29</v>
      </c>
      <c r="H21" s="25">
        <f t="shared" si="12"/>
        <v>1952.7048987521384</v>
      </c>
      <c r="I21" s="25">
        <f t="shared" si="13"/>
        <v>1.03125</v>
      </c>
      <c r="J21" s="26">
        <f t="shared" si="14"/>
        <v>1.6550211799824002E-25</v>
      </c>
      <c r="K21" s="27">
        <v>308.0317</v>
      </c>
      <c r="L21" s="28"/>
      <c r="M21" s="29">
        <f t="shared" si="15"/>
        <v>7.2254335260115603E-4</v>
      </c>
      <c r="N21" s="63">
        <v>1384</v>
      </c>
      <c r="O21" s="30">
        <f>K21/W21</f>
        <v>5.0331977124183008E-5</v>
      </c>
      <c r="P21" s="28">
        <f t="shared" si="16"/>
        <v>1.1965156832884407E+28</v>
      </c>
      <c r="Q21" s="30">
        <v>1.21E-4</v>
      </c>
      <c r="S21" s="31">
        <v>9.3999999999999999E-11</v>
      </c>
      <c r="T21" s="31">
        <v>1.3300000000000001E-10</v>
      </c>
      <c r="U21" s="31">
        <f t="shared" si="17"/>
        <v>2.2699999999999999E-10</v>
      </c>
      <c r="V21" s="31">
        <f t="shared" si="18"/>
        <v>2.27</v>
      </c>
      <c r="W21" s="31">
        <v>6120000</v>
      </c>
      <c r="X21" s="32">
        <v>1362</v>
      </c>
      <c r="Y21" s="28">
        <v>0</v>
      </c>
      <c r="Z21" s="28">
        <v>7.34</v>
      </c>
      <c r="AA21" s="28">
        <v>-8.0800000000000002E-4</v>
      </c>
      <c r="AE21" s="28">
        <f t="shared" si="27"/>
        <v>9.5721254663075249E+27</v>
      </c>
      <c r="AF21" s="28">
        <f t="shared" si="28"/>
        <v>2.3930313665768812E+27</v>
      </c>
      <c r="AI21" s="88"/>
      <c r="AJ21" s="88"/>
      <c r="AK21" s="88"/>
      <c r="AM21">
        <v>5.9</v>
      </c>
      <c r="AN21" t="s">
        <v>199</v>
      </c>
      <c r="AO21" t="s">
        <v>203</v>
      </c>
      <c r="AP21" t="s">
        <v>204</v>
      </c>
      <c r="AQ21">
        <v>4</v>
      </c>
      <c r="AR21">
        <v>-1</v>
      </c>
      <c r="AS21">
        <f t="shared" si="4"/>
        <v>1.5813089360469999E-11</v>
      </c>
      <c r="AT21" s="45"/>
      <c r="AU21" s="45"/>
      <c r="AV21" s="45"/>
      <c r="AW21" s="45"/>
      <c r="AX21" s="45">
        <f t="shared" si="24"/>
        <v>-2.631744298839491E-7</v>
      </c>
      <c r="AY21" s="45">
        <f t="shared" si="25"/>
        <v>1.0526977195357964E-6</v>
      </c>
      <c r="AZ21" s="45">
        <f t="shared" si="26"/>
        <v>6.5793607470987274E-8</v>
      </c>
      <c r="BA21"/>
      <c r="BB21"/>
      <c r="BC21" s="24"/>
      <c r="BD21" s="24"/>
    </row>
    <row r="22" spans="1:56" ht="15">
      <c r="A22" s="22" t="s">
        <v>171</v>
      </c>
      <c r="B22" s="57">
        <v>0.09</v>
      </c>
      <c r="C22" s="22">
        <v>1</v>
      </c>
      <c r="D22" s="22">
        <v>101</v>
      </c>
      <c r="E22" s="22">
        <v>98</v>
      </c>
      <c r="F22" s="24">
        <f t="shared" si="0"/>
        <v>1.6893481190000001E-25</v>
      </c>
      <c r="G22" s="24">
        <f t="shared" si="1"/>
        <v>8.9271978879999991E-29</v>
      </c>
      <c r="H22" s="25">
        <f t="shared" si="12"/>
        <v>1950.2904261560993</v>
      </c>
      <c r="I22" s="25">
        <f t="shared" si="13"/>
        <v>1.0306122448979591</v>
      </c>
      <c r="J22" s="26">
        <f t="shared" si="14"/>
        <v>1.6884553992112001E-25</v>
      </c>
      <c r="K22" s="27">
        <v>314.02249999999998</v>
      </c>
      <c r="L22" s="28">
        <f>10^(11.4-35400/N22+27700000/N22^2)/1000</f>
        <v>3.3294860215237095E-3</v>
      </c>
      <c r="M22" s="29">
        <f t="shared" si="15"/>
        <v>7.6394194041252863E-4</v>
      </c>
      <c r="N22" s="63">
        <v>1309</v>
      </c>
      <c r="O22" s="30">
        <f>K22/W22</f>
        <v>4.8535162287480677E-5</v>
      </c>
      <c r="P22" s="28">
        <f t="shared" si="16"/>
        <v>1.2408117571193147E+28</v>
      </c>
      <c r="Q22" s="30">
        <v>1.4899999999999999E-4</v>
      </c>
      <c r="S22" s="31">
        <v>8.9000000000000003E-11</v>
      </c>
      <c r="T22" s="31">
        <v>1.3300000000000001E-10</v>
      </c>
      <c r="U22" s="31">
        <f t="shared" si="17"/>
        <v>2.2200000000000001E-10</v>
      </c>
      <c r="V22" s="31">
        <f t="shared" si="18"/>
        <v>2.2200000000000002</v>
      </c>
      <c r="W22" s="31">
        <v>6470000</v>
      </c>
      <c r="X22" s="32">
        <v>1062</v>
      </c>
      <c r="Y22" s="28">
        <v>0</v>
      </c>
      <c r="Z22" s="28">
        <v>7.6040000000000001</v>
      </c>
      <c r="AA22" s="28">
        <v>-7.9100000000000004E-4</v>
      </c>
      <c r="AE22" s="28">
        <f t="shared" si="27"/>
        <v>9.9264940569545181E+27</v>
      </c>
      <c r="AF22" s="28">
        <f t="shared" si="28"/>
        <v>2.4816235142386295E+27</v>
      </c>
      <c r="AI22" s="88"/>
      <c r="AJ22" s="88"/>
      <c r="AK22" s="88"/>
      <c r="AM22">
        <v>5.9</v>
      </c>
      <c r="AN22" t="s">
        <v>219</v>
      </c>
      <c r="AO22" t="s">
        <v>220</v>
      </c>
      <c r="AP22" t="s">
        <v>221</v>
      </c>
      <c r="AQ22">
        <v>4</v>
      </c>
      <c r="AR22">
        <v>-1</v>
      </c>
      <c r="AS22">
        <f t="shared" si="4"/>
        <v>1.5101662185788534E-11</v>
      </c>
      <c r="AT22" s="45"/>
      <c r="AU22" s="45"/>
      <c r="AV22" s="45"/>
      <c r="AW22" s="45"/>
      <c r="AX22" s="45">
        <f t="shared" si="24"/>
        <v>-1.2112876587777396E-7</v>
      </c>
      <c r="AY22" s="45">
        <f t="shared" si="25"/>
        <v>4.8451506351109585E-7</v>
      </c>
      <c r="AZ22" s="45">
        <f t="shared" si="26"/>
        <v>3.0282191469443491E-8</v>
      </c>
      <c r="BA22"/>
      <c r="BB22"/>
      <c r="BC22" s="24">
        <f t="shared" ref="BC22:BC27" si="29">L22/(W22/1000*(X22+Y22*N22))</f>
        <v>4.8456093479738579E-10</v>
      </c>
      <c r="BD22" s="24"/>
    </row>
    <row r="23" spans="1:56" ht="15">
      <c r="A23" s="22" t="s">
        <v>172</v>
      </c>
      <c r="B23" s="57"/>
      <c r="C23" s="22">
        <v>1</v>
      </c>
      <c r="D23" s="22">
        <v>109</v>
      </c>
      <c r="E23" s="22">
        <v>107</v>
      </c>
      <c r="F23" s="24">
        <f t="shared" si="0"/>
        <v>1.823157871E-25</v>
      </c>
      <c r="G23" s="24">
        <f t="shared" si="1"/>
        <v>9.7470425919999998E-29</v>
      </c>
      <c r="H23" s="25">
        <f t="shared" si="12"/>
        <v>1905.4349775174894</v>
      </c>
      <c r="I23" s="25">
        <f t="shared" si="13"/>
        <v>1.0186915887850467</v>
      </c>
      <c r="J23" s="26">
        <f t="shared" si="14"/>
        <v>1.8221831667407999E-25</v>
      </c>
      <c r="K23" s="27">
        <v>344.3879</v>
      </c>
      <c r="L23" s="28">
        <f>0.478*EXP(10900/(8.3144598*N23))/1000</f>
        <v>1.5506403023444345E-3</v>
      </c>
      <c r="M23" s="29">
        <f t="shared" si="15"/>
        <v>8.9766606822262122E-4</v>
      </c>
      <c r="N23" s="63">
        <v>1114</v>
      </c>
      <c r="O23" s="30">
        <f>K23/W23</f>
        <v>7.5193864628820956E-5</v>
      </c>
      <c r="P23" s="28">
        <f t="shared" si="16"/>
        <v>8.0090310954595102E+27</v>
      </c>
      <c r="Q23" s="30">
        <v>3.3300000000000002E-4</v>
      </c>
      <c r="S23" s="31">
        <v>1.16E-10</v>
      </c>
      <c r="T23" s="31">
        <v>1.81E-10</v>
      </c>
      <c r="U23" s="31">
        <f t="shared" si="17"/>
        <v>2.9700000000000001E-10</v>
      </c>
      <c r="V23" s="31">
        <f t="shared" si="18"/>
        <v>2.97</v>
      </c>
      <c r="W23" s="31">
        <v>4580000</v>
      </c>
      <c r="X23" s="32">
        <v>1248</v>
      </c>
      <c r="Y23" s="28">
        <v>0</v>
      </c>
      <c r="Z23" s="28">
        <v>6.3746999999999998</v>
      </c>
      <c r="AA23" s="28">
        <v>-1.5222E-3</v>
      </c>
      <c r="AE23" s="28">
        <f t="shared" si="27"/>
        <v>6.0067733215946327E+27</v>
      </c>
      <c r="AF23" s="28">
        <f t="shared" si="28"/>
        <v>2.0022577738648776E+27</v>
      </c>
      <c r="AI23" s="88"/>
      <c r="AJ23" s="88"/>
      <c r="AK23" s="88"/>
      <c r="AM23">
        <v>5.2</v>
      </c>
      <c r="AN23" t="s">
        <v>222</v>
      </c>
      <c r="AO23" t="s">
        <v>203</v>
      </c>
      <c r="AP23" t="s">
        <v>204</v>
      </c>
      <c r="AQ23">
        <v>3</v>
      </c>
      <c r="AR23">
        <v>-1</v>
      </c>
      <c r="AS23">
        <f t="shared" si="4"/>
        <v>2.2184967942103583E-11</v>
      </c>
      <c r="AT23" s="45"/>
      <c r="AU23" s="45"/>
      <c r="AV23" s="45"/>
      <c r="AW23" s="45"/>
      <c r="AX23" s="45">
        <f t="shared" si="24"/>
        <v>-2.5395582396995064E-5</v>
      </c>
      <c r="AY23" s="45">
        <f t="shared" si="25"/>
        <v>7.6186747190985183E-5</v>
      </c>
      <c r="AZ23" s="45">
        <f t="shared" si="26"/>
        <v>8.4651941323316881E-6</v>
      </c>
      <c r="BA23"/>
      <c r="BB23"/>
      <c r="BC23" s="24">
        <f t="shared" si="29"/>
        <v>2.7128826250287524E-10</v>
      </c>
      <c r="BD23" s="24"/>
    </row>
    <row r="24" spans="1:56" ht="15">
      <c r="A24" s="28" t="s">
        <v>173</v>
      </c>
      <c r="B24" s="66"/>
      <c r="C24" s="28">
        <v>2</v>
      </c>
      <c r="D24" s="67">
        <v>33.76</v>
      </c>
      <c r="E24" s="67">
        <v>33.44</v>
      </c>
      <c r="F24" s="24">
        <f t="shared" si="0"/>
        <v>5.6467715343999995E-26</v>
      </c>
      <c r="G24" s="24">
        <f t="shared" si="1"/>
        <v>3.0461785446399997E-29</v>
      </c>
      <c r="H24" s="25">
        <f t="shared" si="12"/>
        <v>1871.4620768599771</v>
      </c>
      <c r="I24" s="25">
        <f t="shared" si="13"/>
        <v>1.0095693779904307</v>
      </c>
      <c r="J24" s="26">
        <f t="shared" si="14"/>
        <v>5.6437253558553592E-26</v>
      </c>
      <c r="K24" s="28">
        <v>81.162404000000009</v>
      </c>
      <c r="L24" s="28">
        <f>0.141*EXP(18800/(8.3144598*N24))/1000</f>
        <v>3.6048872982003179E-3</v>
      </c>
      <c r="M24" s="29">
        <f t="shared" si="15"/>
        <v>1.43348623853211E-3</v>
      </c>
      <c r="N24" s="28">
        <v>697.6</v>
      </c>
      <c r="O24" s="28">
        <v>4.6549051207293618E-5</v>
      </c>
      <c r="P24" s="28">
        <f t="shared" si="16"/>
        <v>1.2937535446600865E+28</v>
      </c>
      <c r="Q24" s="28">
        <v>3.0722637834585992E-4</v>
      </c>
      <c r="U24" s="24">
        <f>0.68*U10+0.32*U14</f>
        <v>2.9724E-10</v>
      </c>
      <c r="V24" s="31">
        <f t="shared" si="18"/>
        <v>2.9723999999999999</v>
      </c>
      <c r="W24" s="24">
        <v>1741629.2032000001</v>
      </c>
      <c r="X24" s="28">
        <v>1968.0306331357569</v>
      </c>
      <c r="AB24" s="28">
        <v>2</v>
      </c>
      <c r="AC24" s="28">
        <v>3</v>
      </c>
      <c r="AD24" s="28">
        <f t="shared" si="19"/>
        <v>5</v>
      </c>
      <c r="AI24" s="88"/>
      <c r="AJ24" s="88"/>
      <c r="AK24" s="88"/>
      <c r="AM24">
        <v>5.2</v>
      </c>
      <c r="AN24" t="s">
        <v>222</v>
      </c>
      <c r="AO24" t="s">
        <v>203</v>
      </c>
      <c r="AP24" t="s">
        <v>204</v>
      </c>
      <c r="AQ24"/>
      <c r="AR24"/>
      <c r="AS24"/>
      <c r="AT24"/>
      <c r="AU24"/>
      <c r="AV24" s="45"/>
      <c r="AW24" s="45"/>
      <c r="AX24"/>
      <c r="AY24"/>
      <c r="AZ24" s="45"/>
      <c r="BA24"/>
      <c r="BB24"/>
      <c r="BC24" s="24">
        <f t="shared" si="29"/>
        <v>1.0517297026523455E-9</v>
      </c>
      <c r="BD24" s="24"/>
    </row>
    <row r="25" spans="1:56" ht="15">
      <c r="A25" s="28" t="s">
        <v>80</v>
      </c>
      <c r="B25" s="66"/>
      <c r="C25" s="28">
        <v>2</v>
      </c>
      <c r="D25" s="67">
        <v>12.34</v>
      </c>
      <c r="E25" s="67">
        <v>11.34</v>
      </c>
      <c r="F25" s="24">
        <f t="shared" si="0"/>
        <v>2.0640154245999999E-26</v>
      </c>
      <c r="G25" s="24">
        <f t="shared" si="1"/>
        <v>1.0330043270399999E-29</v>
      </c>
      <c r="H25" s="25">
        <f t="shared" si="12"/>
        <v>2174.2671429464549</v>
      </c>
      <c r="I25" s="25">
        <f t="shared" si="13"/>
        <v>1.088183421516755</v>
      </c>
      <c r="J25" s="26">
        <f t="shared" si="14"/>
        <v>2.06298242027296E-26</v>
      </c>
      <c r="K25" s="28">
        <v>33.103140000000003</v>
      </c>
      <c r="L25" s="28">
        <f>0.116*EXP(31200/(8.3144598*N25))/1000</f>
        <v>1.9398692129051695E-2</v>
      </c>
      <c r="M25" s="29">
        <f t="shared" si="15"/>
        <v>1.364256480218281E-3</v>
      </c>
      <c r="N25" s="28">
        <v>733</v>
      </c>
      <c r="O25" s="28">
        <v>1.6714173769923689E-5</v>
      </c>
      <c r="P25" s="28">
        <f t="shared" si="16"/>
        <v>3.6031096020054697E+28</v>
      </c>
      <c r="Q25" s="28">
        <v>1.409526898683356E-4</v>
      </c>
      <c r="U25" s="24">
        <f>0.66*U3+0.34*U11</f>
        <v>1.9472000000000003E-10</v>
      </c>
      <c r="V25" s="31">
        <f t="shared" si="18"/>
        <v>1.9472000000000003</v>
      </c>
      <c r="W25" s="24">
        <v>1986063.3540000001</v>
      </c>
      <c r="X25" s="28">
        <v>2547.6863757231322</v>
      </c>
      <c r="AB25" s="28">
        <v>2</v>
      </c>
      <c r="AC25" s="28">
        <v>3</v>
      </c>
      <c r="AD25" s="28">
        <f t="shared" si="19"/>
        <v>5</v>
      </c>
      <c r="AG25" s="28">
        <v>0.91150467825412496</v>
      </c>
      <c r="AH25" s="28" t="s">
        <v>22</v>
      </c>
      <c r="AI25" s="88"/>
      <c r="AJ25" s="88"/>
      <c r="AK25" s="88"/>
      <c r="AM25">
        <v>5.9</v>
      </c>
      <c r="AN25" t="s">
        <v>219</v>
      </c>
      <c r="AO25" t="s">
        <v>220</v>
      </c>
      <c r="AP25" t="s">
        <v>221</v>
      </c>
      <c r="AQ25"/>
      <c r="AR25"/>
      <c r="AS25"/>
      <c r="AT25"/>
      <c r="AU25"/>
      <c r="AV25" s="45"/>
      <c r="AW25" s="45"/>
      <c r="AX25"/>
      <c r="AY25"/>
      <c r="AZ25" s="45"/>
      <c r="BA25"/>
      <c r="BB25"/>
      <c r="BC25" s="24">
        <f t="shared" si="29"/>
        <v>3.8338347353322035E-9</v>
      </c>
      <c r="BD25" s="24"/>
    </row>
    <row r="26" spans="1:56" ht="15">
      <c r="A26" s="28" t="s">
        <v>42</v>
      </c>
      <c r="B26" s="66"/>
      <c r="C26" s="28">
        <v>3</v>
      </c>
      <c r="D26" s="67">
        <v>19.64</v>
      </c>
      <c r="E26" s="67">
        <v>19.64</v>
      </c>
      <c r="F26" s="24">
        <f t="shared" si="0"/>
        <v>3.2850294116000003E-26</v>
      </c>
      <c r="G26" s="24">
        <f t="shared" si="1"/>
        <v>1.78908333184E-29</v>
      </c>
      <c r="H26" s="25">
        <f t="shared" si="12"/>
        <v>1836.1522647586683</v>
      </c>
      <c r="I26" s="25">
        <f t="shared" si="13"/>
        <v>1</v>
      </c>
      <c r="J26" s="26">
        <f t="shared" si="14"/>
        <v>3.2832403282681602E-26</v>
      </c>
      <c r="K26" s="28">
        <v>41.290994999999988</v>
      </c>
      <c r="L26" s="28">
        <f>10^(0.213+-1200/N26+1350000/N26^2)/1000</f>
        <v>1.2003439447166342E-2</v>
      </c>
      <c r="M26" s="29">
        <f t="shared" si="15"/>
        <v>1.3605442176870747E-3</v>
      </c>
      <c r="N26" s="28">
        <v>735</v>
      </c>
      <c r="O26" s="28">
        <v>1.9405588331960499E-5</v>
      </c>
      <c r="P26" s="28">
        <f t="shared" si="16"/>
        <v>3.1033843947320209E+28</v>
      </c>
      <c r="Q26" s="28">
        <v>3.1252324985815613E-4</v>
      </c>
      <c r="U26" s="24">
        <f>0.465*U3+0.115*U4+0.42*U5</f>
        <v>2.3803E-10</v>
      </c>
      <c r="V26" s="31">
        <f t="shared" si="18"/>
        <v>2.3803000000000001</v>
      </c>
      <c r="W26" s="24">
        <v>2102415.4449999998</v>
      </c>
      <c r="X26" s="28">
        <v>2012.468707779205</v>
      </c>
      <c r="AB26" s="28">
        <v>3</v>
      </c>
      <c r="AC26" s="28">
        <v>3</v>
      </c>
      <c r="AD26" s="28">
        <f t="shared" si="19"/>
        <v>6</v>
      </c>
      <c r="AG26" s="28">
        <v>0.79004699038973603</v>
      </c>
      <c r="AH26" s="28" t="s">
        <v>43</v>
      </c>
      <c r="AI26" s="88"/>
      <c r="AJ26" s="88"/>
      <c r="AK26" s="88"/>
      <c r="AM26">
        <v>5.9</v>
      </c>
      <c r="AN26" t="s">
        <v>219</v>
      </c>
      <c r="AO26" t="s">
        <v>220</v>
      </c>
      <c r="AP26" t="s">
        <v>221</v>
      </c>
      <c r="AQ26"/>
      <c r="AR26"/>
      <c r="AS26"/>
      <c r="AT26"/>
      <c r="AU26"/>
      <c r="AV26" s="45"/>
      <c r="AW26" s="45"/>
      <c r="AX26"/>
      <c r="AY26"/>
      <c r="AZ26" s="45"/>
      <c r="BA26"/>
      <c r="BB26"/>
      <c r="BC26" s="24">
        <f t="shared" si="29"/>
        <v>2.8369914793196441E-9</v>
      </c>
      <c r="BD26" s="24"/>
    </row>
    <row r="27" spans="1:56" ht="15">
      <c r="A27" s="28" t="s">
        <v>174</v>
      </c>
      <c r="B27" s="66"/>
      <c r="C27" s="28">
        <v>4</v>
      </c>
      <c r="D27" s="67">
        <v>23.315000000000001</v>
      </c>
      <c r="E27" s="67">
        <v>22.74</v>
      </c>
      <c r="F27" s="24">
        <f t="shared" si="0"/>
        <v>3.8997179598500003E-26</v>
      </c>
      <c r="G27" s="24">
        <f t="shared" si="1"/>
        <v>2.0714742854399996E-29</v>
      </c>
      <c r="H27" s="25">
        <f t="shared" si="12"/>
        <v>1930.1835567339556</v>
      </c>
      <c r="I27" s="25">
        <f t="shared" si="13"/>
        <v>1.0252858399296396</v>
      </c>
      <c r="J27" s="26">
        <f t="shared" si="14"/>
        <v>3.8976464855645601E-26</v>
      </c>
      <c r="K27" s="28">
        <v>66.133683500000004</v>
      </c>
      <c r="L27" s="28">
        <f>0.062*EXP(38800/(8.3144598*N27))/1000</f>
        <v>3.0468148860508516E-2</v>
      </c>
      <c r="M27" s="29">
        <f t="shared" si="15"/>
        <v>1.3280212483399733E-3</v>
      </c>
      <c r="N27" s="28">
        <v>753</v>
      </c>
      <c r="O27" s="28">
        <v>1.9202817056926548E-5</v>
      </c>
      <c r="P27" s="28">
        <f t="shared" si="16"/>
        <v>3.1361544413754271E+28</v>
      </c>
      <c r="Q27" s="28">
        <v>1.6787041064891779E-4</v>
      </c>
      <c r="U27" s="24">
        <f>0.675*U3+0.2*U11+0.005*U21+0.12*U22</f>
        <v>2.0225E-10</v>
      </c>
      <c r="V27" s="31">
        <f t="shared" si="18"/>
        <v>2.0225</v>
      </c>
      <c r="W27" s="24">
        <v>2609440.5150000001</v>
      </c>
      <c r="X27" s="28">
        <v>1781.433208193873</v>
      </c>
      <c r="AB27" s="28">
        <v>4</v>
      </c>
      <c r="AC27" s="28">
        <v>11</v>
      </c>
      <c r="AD27" s="28">
        <f t="shared" si="19"/>
        <v>15</v>
      </c>
      <c r="AG27" s="28">
        <v>1.26490788750189</v>
      </c>
      <c r="AH27" s="28" t="s">
        <v>33</v>
      </c>
      <c r="AI27" s="88"/>
      <c r="AJ27" s="88"/>
      <c r="AK27" s="88"/>
      <c r="AM27">
        <v>5.9</v>
      </c>
      <c r="AN27" t="s">
        <v>219</v>
      </c>
      <c r="AO27" t="s">
        <v>220</v>
      </c>
      <c r="AP27" t="s">
        <v>221</v>
      </c>
      <c r="AQ27"/>
      <c r="AR27"/>
      <c r="AS27"/>
      <c r="AT27"/>
      <c r="AU27"/>
      <c r="AV27" s="45"/>
      <c r="AW27" s="45"/>
      <c r="AX27"/>
      <c r="AY27"/>
      <c r="AZ27" s="45"/>
      <c r="BA27"/>
      <c r="BB27"/>
      <c r="BC27" s="24">
        <f t="shared" si="29"/>
        <v>6.5543423785317211E-9</v>
      </c>
      <c r="BD27" s="24"/>
    </row>
    <row r="28" spans="1:56" ht="15">
      <c r="A28" s="28" t="s">
        <v>63</v>
      </c>
      <c r="B28" s="66"/>
      <c r="C28" s="28">
        <v>4</v>
      </c>
      <c r="D28" s="67">
        <v>14.792</v>
      </c>
      <c r="E28" s="67">
        <v>14.388</v>
      </c>
      <c r="F28" s="24">
        <f t="shared" si="0"/>
        <v>2.4741423144799998E-26</v>
      </c>
      <c r="G28" s="24">
        <f t="shared" si="1"/>
        <v>1.3106584001279998E-29</v>
      </c>
      <c r="H28" s="25">
        <f t="shared" si="12"/>
        <v>1940.7144105304449</v>
      </c>
      <c r="I28" s="25">
        <f t="shared" si="13"/>
        <v>1.0280789546844593</v>
      </c>
      <c r="J28" s="26">
        <f t="shared" si="14"/>
        <v>2.4728316560798717E-26</v>
      </c>
      <c r="K28" s="28">
        <v>40.153548000000008</v>
      </c>
      <c r="L28" s="28"/>
      <c r="M28" s="29">
        <f t="shared" si="15"/>
        <v>1.4084507042253522E-3</v>
      </c>
      <c r="N28" s="28">
        <v>710</v>
      </c>
      <c r="O28" s="28">
        <v>1.69198810550489E-5</v>
      </c>
      <c r="P28" s="28">
        <f t="shared" si="16"/>
        <v>3.5593039811606377E+28</v>
      </c>
      <c r="Q28" s="28">
        <v>1.8512201652073131E-4</v>
      </c>
      <c r="U28" s="24">
        <f>0.712*U3+0.23*U11+0.05*U20+0.008*U22</f>
        <v>1.9924399999999998E-10</v>
      </c>
      <c r="V28" s="31">
        <f t="shared" si="18"/>
        <v>1.9924399999999998</v>
      </c>
      <c r="W28" s="24">
        <v>2163027.5660000001</v>
      </c>
      <c r="X28" s="28">
        <v>2319.1206460873409</v>
      </c>
      <c r="AB28" s="28">
        <v>4</v>
      </c>
      <c r="AC28" s="28">
        <v>11</v>
      </c>
      <c r="AD28" s="28">
        <f t="shared" si="19"/>
        <v>15</v>
      </c>
      <c r="AG28" s="28">
        <v>1.2506480602355801</v>
      </c>
      <c r="AH28" s="28" t="s">
        <v>31</v>
      </c>
      <c r="AI28" s="88"/>
      <c r="AJ28" s="88"/>
      <c r="AK28" s="88"/>
      <c r="AM28">
        <v>5.9</v>
      </c>
      <c r="AN28" t="s">
        <v>219</v>
      </c>
      <c r="AO28" t="s">
        <v>220</v>
      </c>
      <c r="AP28" t="s">
        <v>221</v>
      </c>
      <c r="AQ28"/>
      <c r="AR28"/>
      <c r="AS28"/>
      <c r="AT28"/>
      <c r="AU28"/>
      <c r="AV28" s="45"/>
      <c r="AW28" s="45"/>
      <c r="AX28"/>
      <c r="AY28"/>
      <c r="AZ28" s="45"/>
      <c r="BA28"/>
      <c r="BB28"/>
      <c r="BC28" s="24"/>
      <c r="BD28" s="24"/>
    </row>
    <row r="29" spans="1:56" ht="15">
      <c r="A29" s="28" t="s">
        <v>21</v>
      </c>
      <c r="B29" s="66"/>
      <c r="C29" s="28">
        <v>2</v>
      </c>
      <c r="D29" s="67">
        <v>12.27</v>
      </c>
      <c r="E29" s="67">
        <v>11.73</v>
      </c>
      <c r="F29" s="24">
        <f t="shared" si="0"/>
        <v>2.0523070712999998E-26</v>
      </c>
      <c r="G29" s="24">
        <f t="shared" si="1"/>
        <v>1.0685309308799999E-29</v>
      </c>
      <c r="H29" s="25">
        <f t="shared" si="12"/>
        <v>2009.1011113290388</v>
      </c>
      <c r="I29" s="25">
        <f t="shared" si="13"/>
        <v>1.0460358056265984</v>
      </c>
      <c r="J29" s="26">
        <f t="shared" si="14"/>
        <v>2.0512385403691198E-26</v>
      </c>
      <c r="K29" s="28">
        <v>31.62816999999999</v>
      </c>
      <c r="L29" s="28">
        <f>0.118*EXP(30100/(8.3144598*N29))/1000</f>
        <v>1.6585959930776259E-2</v>
      </c>
      <c r="M29" s="29">
        <f t="shared" si="15"/>
        <v>1.366120218579235E-3</v>
      </c>
      <c r="N29" s="28">
        <v>732</v>
      </c>
      <c r="O29" s="28">
        <v>1.59424661503112E-5</v>
      </c>
      <c r="P29" s="28">
        <f t="shared" si="16"/>
        <v>3.7775209576859876E+28</v>
      </c>
      <c r="Q29" s="28">
        <v>1.6222658639521151E-4</v>
      </c>
      <c r="U29" s="24">
        <f>0.73*U3+0.27*U11</f>
        <v>1.9765999999999999E-10</v>
      </c>
      <c r="V29" s="31">
        <f t="shared" si="18"/>
        <v>1.9765999999999999</v>
      </c>
      <c r="W29" s="24">
        <v>1989043.9480000001</v>
      </c>
      <c r="X29" s="28">
        <v>2547.687552638462</v>
      </c>
      <c r="AB29" s="28">
        <v>2</v>
      </c>
      <c r="AC29" s="28">
        <v>3</v>
      </c>
      <c r="AD29" s="28">
        <f t="shared" si="19"/>
        <v>5</v>
      </c>
      <c r="AG29" s="28">
        <v>0.90656933088322</v>
      </c>
      <c r="AH29" s="28" t="s">
        <v>22</v>
      </c>
      <c r="AI29" s="88"/>
      <c r="AJ29" s="88"/>
      <c r="AK29" s="88"/>
      <c r="AM29">
        <v>5.9</v>
      </c>
      <c r="AN29" t="s">
        <v>219</v>
      </c>
      <c r="AO29" t="s">
        <v>220</v>
      </c>
      <c r="AP29" t="s">
        <v>221</v>
      </c>
      <c r="AQ29"/>
      <c r="AR29"/>
      <c r="AS29"/>
      <c r="AT29"/>
      <c r="AU29"/>
      <c r="AV29" s="45"/>
      <c r="AW29" s="45"/>
      <c r="AX29"/>
      <c r="AY29"/>
      <c r="AZ29" s="45"/>
      <c r="BA29"/>
      <c r="BB29"/>
      <c r="BC29" s="24">
        <f>L29/(W29/1000*(X29+Y29*N29))</f>
        <v>3.2730306153599925E-9</v>
      </c>
      <c r="BD29" s="24"/>
    </row>
    <row r="30" spans="1:56" ht="15">
      <c r="A30" s="28" t="s">
        <v>23</v>
      </c>
      <c r="B30" s="66"/>
      <c r="C30" s="28">
        <v>3</v>
      </c>
      <c r="D30" s="67">
        <v>13.154999999999999</v>
      </c>
      <c r="E30" s="67">
        <v>12.86</v>
      </c>
      <c r="F30" s="24">
        <f t="shared" si="0"/>
        <v>2.2003341094499998E-26</v>
      </c>
      <c r="G30" s="24">
        <f t="shared" si="1"/>
        <v>1.1714669881599998E-29</v>
      </c>
      <c r="H30" s="25">
        <f t="shared" si="12"/>
        <v>1921.3587403123072</v>
      </c>
      <c r="I30" s="25">
        <f t="shared" si="13"/>
        <v>1.0229393468118195</v>
      </c>
      <c r="J30" s="26">
        <f t="shared" si="14"/>
        <v>2.1991626424618399E-26</v>
      </c>
      <c r="K30" s="28">
        <v>34.403649999999985</v>
      </c>
      <c r="L30" s="28">
        <f>0.123*EXP(29800/(8.3144598*N30))/1000</f>
        <v>1.6457220475546555E-2</v>
      </c>
      <c r="M30" s="29">
        <f t="shared" si="15"/>
        <v>1.366120218579235E-3</v>
      </c>
      <c r="N30" s="28">
        <v>732</v>
      </c>
      <c r="O30" s="28">
        <v>1.6204764243863241E-5</v>
      </c>
      <c r="P30" s="28">
        <f t="shared" si="16"/>
        <v>3.7163761899718168E+28</v>
      </c>
      <c r="Q30" s="28">
        <v>1.625831359942148E-4</v>
      </c>
      <c r="U30" s="24">
        <f>0.725*U3+0.265*U11+0.01*U22</f>
        <v>1.9799999999999999E-10</v>
      </c>
      <c r="V30" s="31">
        <f t="shared" si="18"/>
        <v>1.98</v>
      </c>
      <c r="W30" s="24">
        <v>2039490.53</v>
      </c>
      <c r="X30" s="28">
        <v>2441.8705732183512</v>
      </c>
      <c r="AB30" s="28">
        <v>3</v>
      </c>
      <c r="AC30" s="28">
        <v>7</v>
      </c>
      <c r="AD30" s="28">
        <f t="shared" si="19"/>
        <v>10</v>
      </c>
      <c r="AG30" s="28">
        <v>0.76966314939120895</v>
      </c>
      <c r="AH30" s="28" t="s">
        <v>24</v>
      </c>
      <c r="AI30" s="88"/>
      <c r="AJ30" s="88"/>
      <c r="AK30" s="88"/>
      <c r="AM30">
        <v>5.9</v>
      </c>
      <c r="AN30" t="s">
        <v>219</v>
      </c>
      <c r="AO30" t="s">
        <v>220</v>
      </c>
      <c r="AP30" t="s">
        <v>221</v>
      </c>
      <c r="AQ30"/>
      <c r="AR30"/>
      <c r="AS30"/>
      <c r="AT30"/>
      <c r="AU30"/>
      <c r="AV30" s="45"/>
      <c r="AW30" s="45"/>
      <c r="AX30"/>
      <c r="AY30"/>
      <c r="AZ30" s="45"/>
      <c r="BA30"/>
      <c r="BB30"/>
      <c r="BC30" s="24">
        <f>L30/(W30/1000*(X30+Y30*N30))</f>
        <v>3.304548673097048E-9</v>
      </c>
      <c r="BD30" s="24"/>
    </row>
    <row r="31" spans="1:56" ht="15">
      <c r="A31" s="28" t="s">
        <v>25</v>
      </c>
      <c r="B31" s="66"/>
      <c r="C31" s="28">
        <v>3</v>
      </c>
      <c r="D31" s="67">
        <v>14.04</v>
      </c>
      <c r="E31" s="67">
        <v>13.72</v>
      </c>
      <c r="F31" s="24">
        <f t="shared" si="0"/>
        <v>2.3483611476E-26</v>
      </c>
      <c r="G31" s="24">
        <f t="shared" si="1"/>
        <v>1.2498077043199999E-29</v>
      </c>
      <c r="H31" s="25">
        <f t="shared" si="12"/>
        <v>1922.802532707738</v>
      </c>
      <c r="I31" s="25">
        <f t="shared" si="13"/>
        <v>1.0233236151603498</v>
      </c>
      <c r="J31" s="26">
        <f t="shared" si="14"/>
        <v>2.3471113398956799E-26</v>
      </c>
      <c r="K31" s="28">
        <v>37.179130000000008</v>
      </c>
      <c r="L31" s="28">
        <f>0.123*EXP(29800/(8.3144598*N31))/1000</f>
        <v>1.6457220475546555E-2</v>
      </c>
      <c r="M31" s="29">
        <f t="shared" si="15"/>
        <v>1.366120218579235E-3</v>
      </c>
      <c r="N31" s="28">
        <v>732</v>
      </c>
      <c r="O31" s="28">
        <v>1.6467062337415279E-5</v>
      </c>
      <c r="P31" s="28">
        <f t="shared" si="16"/>
        <v>3.6571793296224801E+28</v>
      </c>
      <c r="Q31" s="28">
        <v>1.629283268847662E-4</v>
      </c>
      <c r="U31" s="24">
        <f>0.72*U3+0.26*U11+0.02*U22</f>
        <v>1.9834000000000001E-10</v>
      </c>
      <c r="V31" s="31">
        <f t="shared" si="18"/>
        <v>1.9834000000000001</v>
      </c>
      <c r="W31" s="24">
        <v>2089937.112</v>
      </c>
      <c r="X31" s="28">
        <v>2348.7520215904742</v>
      </c>
      <c r="AB31" s="28">
        <v>3</v>
      </c>
      <c r="AC31" s="28">
        <v>7</v>
      </c>
      <c r="AD31" s="28">
        <f t="shared" si="19"/>
        <v>10</v>
      </c>
      <c r="AG31" s="28">
        <v>0.71518307597979902</v>
      </c>
      <c r="AH31" s="28" t="s">
        <v>26</v>
      </c>
      <c r="AI31" s="88"/>
      <c r="AJ31" s="88"/>
      <c r="AK31" s="88"/>
      <c r="AM31">
        <v>5.9</v>
      </c>
      <c r="AN31" t="s">
        <v>219</v>
      </c>
      <c r="AO31" t="s">
        <v>220</v>
      </c>
      <c r="AP31" t="s">
        <v>221</v>
      </c>
      <c r="AQ31"/>
      <c r="AR31"/>
      <c r="AS31"/>
      <c r="AT31"/>
      <c r="AU31"/>
      <c r="AV31" s="45"/>
      <c r="AW31" s="45"/>
      <c r="AX31"/>
      <c r="AY31"/>
      <c r="AZ31" s="45"/>
      <c r="BA31"/>
      <c r="BB31"/>
      <c r="BC31" s="24">
        <f>L31/(W31/1000*(X31+Y31*N31))</f>
        <v>3.352633671505172E-9</v>
      </c>
      <c r="BD31" s="24"/>
    </row>
    <row r="32" spans="1:56" ht="15">
      <c r="A32" s="28" t="s">
        <v>175</v>
      </c>
      <c r="B32" s="66"/>
      <c r="C32" s="28">
        <v>2</v>
      </c>
      <c r="D32" s="67">
        <v>31.24</v>
      </c>
      <c r="E32" s="67">
        <v>30.56</v>
      </c>
      <c r="F32" s="24">
        <f t="shared" si="0"/>
        <v>5.2252708155999992E-26</v>
      </c>
      <c r="G32" s="24">
        <f t="shared" si="1"/>
        <v>2.7838282393599999E-29</v>
      </c>
      <c r="H32" s="25">
        <f t="shared" si="12"/>
        <v>1918.7749643041277</v>
      </c>
      <c r="I32" s="25">
        <f t="shared" si="13"/>
        <v>1.0222513089005236</v>
      </c>
      <c r="J32" s="26">
        <f t="shared" si="14"/>
        <v>5.2224869873606396E-26</v>
      </c>
      <c r="K32" s="28">
        <v>88.599896000000015</v>
      </c>
      <c r="L32" s="28"/>
      <c r="M32" s="29">
        <f t="shared" si="15"/>
        <v>1.4335889900365566E-3</v>
      </c>
      <c r="N32" s="28">
        <v>697.55</v>
      </c>
      <c r="O32" s="28">
        <v>5.0411903343394867E-5</v>
      </c>
      <c r="P32" s="28">
        <f t="shared" si="16"/>
        <v>1.1946186516659385E+28</v>
      </c>
      <c r="Q32" s="28">
        <v>2.3528262366250769E-4</v>
      </c>
      <c r="U32" s="24">
        <f>0.32*U10+0.68*U14</f>
        <v>2.7276E-10</v>
      </c>
      <c r="V32" s="31">
        <f t="shared" si="18"/>
        <v>2.7275999999999998</v>
      </c>
      <c r="W32" s="24">
        <v>1755710.5584</v>
      </c>
      <c r="X32" s="28">
        <v>2039.5014589190009</v>
      </c>
      <c r="AB32" s="28">
        <v>2</v>
      </c>
      <c r="AC32" s="28">
        <v>3</v>
      </c>
      <c r="AD32" s="28">
        <f t="shared" si="19"/>
        <v>5</v>
      </c>
      <c r="AI32" s="88"/>
      <c r="AJ32" s="88"/>
      <c r="AK32" s="88"/>
      <c r="AM32">
        <v>5.2</v>
      </c>
      <c r="AN32" t="s">
        <v>222</v>
      </c>
      <c r="AO32" t="s">
        <v>203</v>
      </c>
      <c r="AP32" t="s">
        <v>204</v>
      </c>
      <c r="AQ32"/>
      <c r="AR32"/>
      <c r="AS32"/>
      <c r="AT32"/>
      <c r="AU32"/>
      <c r="AV32" s="45"/>
      <c r="AW32" s="45"/>
      <c r="AX32"/>
      <c r="AY32"/>
      <c r="AZ32" s="45"/>
      <c r="BA32"/>
      <c r="BB32"/>
      <c r="BC32" s="24"/>
      <c r="BD32" s="24"/>
    </row>
    <row r="33" spans="1:56" ht="15">
      <c r="A33" s="28" t="s">
        <v>176</v>
      </c>
      <c r="B33" s="66"/>
      <c r="C33" s="28">
        <v>3</v>
      </c>
      <c r="D33" s="67">
        <v>31.2639</v>
      </c>
      <c r="E33" s="67">
        <v>31.1128</v>
      </c>
      <c r="F33" s="24">
        <f t="shared" si="0"/>
        <v>5.2292683819409995E-26</v>
      </c>
      <c r="G33" s="24">
        <f t="shared" si="1"/>
        <v>2.8341849229567998E-29</v>
      </c>
      <c r="H33" s="25">
        <f t="shared" si="12"/>
        <v>1854.0301999029296</v>
      </c>
      <c r="I33" s="25">
        <f t="shared" si="13"/>
        <v>1.004856522074516</v>
      </c>
      <c r="J33" s="26">
        <f t="shared" si="14"/>
        <v>5.2264341970180427E-26</v>
      </c>
      <c r="K33" s="28">
        <v>70.265004930000003</v>
      </c>
      <c r="L33" s="28"/>
      <c r="M33" s="29">
        <f t="shared" si="15"/>
        <v>1.4824697946779336E-3</v>
      </c>
      <c r="N33" s="28">
        <v>674.55</v>
      </c>
      <c r="O33" s="28">
        <v>3.9907749542334093E-5</v>
      </c>
      <c r="P33" s="28">
        <f t="shared" si="16"/>
        <v>1.5090552759963453E+28</v>
      </c>
      <c r="Q33" s="28">
        <v>3.2881887812902358E-4</v>
      </c>
      <c r="U33" s="24">
        <f>0.4598*U9+0.3891*U10+0.1511*U14</f>
        <v>2.9217239999999997E-10</v>
      </c>
      <c r="V33" s="31">
        <f t="shared" si="18"/>
        <v>2.9217239999999998</v>
      </c>
      <c r="W33" s="24">
        <v>1761444.9958345001</v>
      </c>
      <c r="X33" s="28">
        <v>2024.776905844504</v>
      </c>
      <c r="AB33" s="28">
        <v>3</v>
      </c>
      <c r="AC33" s="28">
        <v>4</v>
      </c>
      <c r="AD33" s="28">
        <f t="shared" si="19"/>
        <v>7</v>
      </c>
      <c r="AG33" s="28">
        <v>0.47124631205523398</v>
      </c>
      <c r="AH33" s="28" t="s">
        <v>45</v>
      </c>
      <c r="AI33" s="88"/>
      <c r="AJ33" s="88"/>
      <c r="AK33" s="88"/>
      <c r="AM33">
        <v>5.2</v>
      </c>
      <c r="AN33" t="s">
        <v>222</v>
      </c>
      <c r="AO33" t="s">
        <v>203</v>
      </c>
      <c r="AP33" t="s">
        <v>204</v>
      </c>
      <c r="AQ33"/>
      <c r="AR33"/>
      <c r="AS33"/>
      <c r="AT33"/>
      <c r="AU33"/>
      <c r="AV33" s="45"/>
      <c r="AW33" s="45"/>
      <c r="AX33"/>
      <c r="AY33"/>
      <c r="AZ33" s="45"/>
      <c r="BA33"/>
      <c r="BB33"/>
      <c r="BC33" s="24"/>
      <c r="BD33" s="24"/>
    </row>
    <row r="34" spans="1:56" ht="15">
      <c r="A34" s="28" t="s">
        <v>64</v>
      </c>
      <c r="B34" s="66"/>
      <c r="C34" s="28">
        <v>3</v>
      </c>
      <c r="D34" s="67">
        <v>24.785</v>
      </c>
      <c r="E34" s="67">
        <v>24.72</v>
      </c>
      <c r="F34" s="24">
        <f t="shared" si="0"/>
        <v>4.1455933791499998E-26</v>
      </c>
      <c r="G34" s="24">
        <f t="shared" si="1"/>
        <v>2.2518401203199998E-29</v>
      </c>
      <c r="H34" s="25">
        <f t="shared" si="12"/>
        <v>1845.8211004781881</v>
      </c>
      <c r="I34" s="25">
        <f t="shared" si="13"/>
        <v>1.0026294498381878</v>
      </c>
      <c r="J34" s="26">
        <f t="shared" si="14"/>
        <v>4.1433415390296795E-26</v>
      </c>
      <c r="K34" s="28">
        <v>52.812707000000003</v>
      </c>
      <c r="L34" s="28"/>
      <c r="M34" s="29">
        <f t="shared" si="15"/>
        <v>1.0416666666666667E-3</v>
      </c>
      <c r="N34" s="28">
        <v>960</v>
      </c>
      <c r="O34" s="28">
        <v>2.5195547395480521E-5</v>
      </c>
      <c r="P34" s="28">
        <f t="shared" si="16"/>
        <v>2.3902239175324511E+28</v>
      </c>
      <c r="Q34" s="28">
        <v>3.1944977764052052E-4</v>
      </c>
      <c r="U34" s="24">
        <f>0.345*U4+0.59*U5+0.065*U12</f>
        <v>2.5429000000000001E-10</v>
      </c>
      <c r="V34" s="31">
        <f t="shared" si="18"/>
        <v>2.5428999999999999</v>
      </c>
      <c r="W34" s="24">
        <v>2110100.6</v>
      </c>
      <c r="X34" s="28">
        <v>1885.1934295243609</v>
      </c>
      <c r="AB34" s="28">
        <v>3</v>
      </c>
      <c r="AC34" s="28">
        <v>4</v>
      </c>
      <c r="AD34" s="28">
        <f t="shared" si="19"/>
        <v>7</v>
      </c>
      <c r="AG34" s="28">
        <v>0.76602038472580902</v>
      </c>
      <c r="AH34" s="28" t="s">
        <v>46</v>
      </c>
      <c r="AI34" s="88"/>
      <c r="AJ34" s="88"/>
      <c r="AK34" s="88"/>
      <c r="AM34">
        <v>5.9</v>
      </c>
      <c r="AN34" t="s">
        <v>219</v>
      </c>
      <c r="AO34" t="s">
        <v>220</v>
      </c>
      <c r="AP34" t="s">
        <v>221</v>
      </c>
      <c r="AQ34"/>
      <c r="AR34"/>
      <c r="AS34"/>
      <c r="AT34"/>
      <c r="AU34"/>
      <c r="AV34" s="45"/>
      <c r="AW34" s="45"/>
      <c r="AX34"/>
      <c r="AY34"/>
      <c r="AZ34" s="45"/>
      <c r="BA34"/>
      <c r="BB34"/>
      <c r="BC34" s="24"/>
      <c r="BD34" s="24"/>
    </row>
    <row r="35" spans="1:56" ht="15">
      <c r="A35" s="28" t="s">
        <v>177</v>
      </c>
      <c r="B35" s="66"/>
      <c r="C35" s="28">
        <v>2</v>
      </c>
      <c r="D35" s="67">
        <v>26.687999999999999</v>
      </c>
      <c r="E35" s="67">
        <v>26.687999999999999</v>
      </c>
      <c r="F35" s="24">
        <f t="shared" si="0"/>
        <v>4.46389332672E-26</v>
      </c>
      <c r="G35" s="24">
        <f t="shared" si="1"/>
        <v>2.4311128289279996E-29</v>
      </c>
      <c r="H35" s="25">
        <f t="shared" si="12"/>
        <v>1836.1522647586687</v>
      </c>
      <c r="I35" s="25">
        <f t="shared" si="13"/>
        <v>1</v>
      </c>
      <c r="J35" s="26">
        <f t="shared" si="14"/>
        <v>4.4614622138910719E-26</v>
      </c>
      <c r="K35" s="28">
        <v>55.835751400000007</v>
      </c>
      <c r="L35" s="28">
        <f>0.087*EXP(20900/(8.3144598*N35))/1000</f>
        <v>4.643717802745531E-3</v>
      </c>
      <c r="M35" s="29">
        <f t="shared" si="15"/>
        <v>1.5822784810126582E-3</v>
      </c>
      <c r="N35" s="28">
        <v>632</v>
      </c>
      <c r="O35" s="28">
        <v>3.2950648962882389E-5</v>
      </c>
      <c r="P35" s="28">
        <f t="shared" si="16"/>
        <v>1.827672652755302E+28</v>
      </c>
      <c r="Q35" s="28">
        <v>3.3829968336054601E-4</v>
      </c>
      <c r="U35" s="24">
        <f>0.582*U8+0.418*U10</f>
        <v>2.8291599999999996E-10</v>
      </c>
      <c r="V35" s="31">
        <f t="shared" si="18"/>
        <v>2.8291599999999995</v>
      </c>
      <c r="W35" s="24">
        <v>1676175.3472</v>
      </c>
      <c r="X35" s="28">
        <v>2084.8843456983841</v>
      </c>
      <c r="AB35" s="28">
        <v>2</v>
      </c>
      <c r="AC35" s="28">
        <v>2</v>
      </c>
      <c r="AD35" s="28">
        <f t="shared" si="19"/>
        <v>4</v>
      </c>
      <c r="AI35" s="88"/>
      <c r="AJ35" s="88"/>
      <c r="AK35" s="88"/>
      <c r="AM35">
        <v>5.2</v>
      </c>
      <c r="AN35" t="s">
        <v>222</v>
      </c>
      <c r="AO35" t="s">
        <v>203</v>
      </c>
      <c r="AP35" t="s">
        <v>204</v>
      </c>
      <c r="AQ35"/>
      <c r="AR35"/>
      <c r="AS35"/>
      <c r="AT35"/>
      <c r="AU35"/>
      <c r="AV35" s="45"/>
      <c r="AW35" s="45"/>
      <c r="AX35"/>
      <c r="AY35"/>
      <c r="AZ35" s="45"/>
      <c r="BA35"/>
      <c r="BB35"/>
      <c r="BC35" s="24">
        <f t="shared" ref="BC35:BC42" si="30">L35/(W35/1000*(X35+Y35*N35))</f>
        <v>1.3288146350028744E-9</v>
      </c>
      <c r="BD35" s="24"/>
    </row>
    <row r="36" spans="1:56" ht="15">
      <c r="A36" s="28" t="s">
        <v>178</v>
      </c>
      <c r="B36" s="66"/>
      <c r="C36" s="28">
        <v>2</v>
      </c>
      <c r="D36" s="67">
        <v>15.2</v>
      </c>
      <c r="E36" s="67">
        <v>15.2</v>
      </c>
      <c r="F36" s="24">
        <f t="shared" si="0"/>
        <v>2.5423852879999997E-26</v>
      </c>
      <c r="G36" s="24">
        <f t="shared" si="1"/>
        <v>1.3846266111999999E-29</v>
      </c>
      <c r="H36" s="25">
        <f t="shared" si="12"/>
        <v>1836.152264758668</v>
      </c>
      <c r="I36" s="25">
        <f t="shared" si="13"/>
        <v>1</v>
      </c>
      <c r="J36" s="26">
        <f t="shared" si="14"/>
        <v>2.5410006613887998E-26</v>
      </c>
      <c r="K36" s="28">
        <v>32.358600000000003</v>
      </c>
      <c r="L36" s="28">
        <f>0.116*EXP(26800/(8.3144598*N36))/1000</f>
        <v>3.9071251973790879E-3</v>
      </c>
      <c r="M36" s="29">
        <f t="shared" si="15"/>
        <v>1.0911074740861974E-3</v>
      </c>
      <c r="N36" s="28">
        <v>916.5</v>
      </c>
      <c r="O36" s="28">
        <v>1.5885583505580338E-5</v>
      </c>
      <c r="P36" s="28">
        <f t="shared" si="16"/>
        <v>3.7910473970845748E+28</v>
      </c>
      <c r="Q36" s="28">
        <v>2.7773488865206569E-4</v>
      </c>
      <c r="U36" s="24">
        <f>0.6*U3+0.4*U4</f>
        <v>2.1940000000000001E-10</v>
      </c>
      <c r="V36" s="31">
        <f t="shared" si="18"/>
        <v>2.194</v>
      </c>
      <c r="W36" s="24">
        <v>2014141.42</v>
      </c>
      <c r="X36" s="28">
        <v>2298.228366828082</v>
      </c>
      <c r="AB36" s="28">
        <v>2</v>
      </c>
      <c r="AC36" s="28">
        <v>2</v>
      </c>
      <c r="AD36" s="28">
        <f t="shared" si="19"/>
        <v>4</v>
      </c>
      <c r="AI36" s="88"/>
      <c r="AJ36" s="88"/>
      <c r="AK36" s="88"/>
      <c r="AM36">
        <v>5.9</v>
      </c>
      <c r="AN36" t="s">
        <v>219</v>
      </c>
      <c r="AO36" t="s">
        <v>220</v>
      </c>
      <c r="AP36" t="s">
        <v>221</v>
      </c>
      <c r="AQ36"/>
      <c r="AR36"/>
      <c r="AS36"/>
      <c r="AT36"/>
      <c r="AU36"/>
      <c r="AV36" s="45"/>
      <c r="AW36" s="45"/>
      <c r="AX36"/>
      <c r="AY36"/>
      <c r="AZ36" s="45"/>
      <c r="BA36"/>
      <c r="BB36"/>
      <c r="BC36" s="24">
        <f t="shared" si="30"/>
        <v>8.4406168446792717E-10</v>
      </c>
      <c r="BD36" s="24"/>
    </row>
    <row r="37" spans="1:56" ht="15">
      <c r="A37" s="28" t="s">
        <v>179</v>
      </c>
      <c r="B37" s="66"/>
      <c r="C37" s="28">
        <v>2</v>
      </c>
      <c r="D37" s="67">
        <v>57.97</v>
      </c>
      <c r="E37" s="67">
        <v>57.23</v>
      </c>
      <c r="F37" s="24">
        <f t="shared" si="0"/>
        <v>9.6961891543000003E-26</v>
      </c>
      <c r="G37" s="24">
        <f t="shared" si="1"/>
        <v>5.2133013788799995E-29</v>
      </c>
      <c r="H37" s="25">
        <f t="shared" si="12"/>
        <v>1883.9431857125064</v>
      </c>
      <c r="I37" s="25">
        <f t="shared" si="13"/>
        <v>1.0129302813209855</v>
      </c>
      <c r="J37" s="26">
        <f t="shared" si="14"/>
        <v>9.6909758529211207E-26</v>
      </c>
      <c r="K37" s="28">
        <v>164.240723</v>
      </c>
      <c r="L37" s="28">
        <f>10^(-1.2675+1704/N37+0/N37^2)/1000</f>
        <v>8.0532167424896099E-3</v>
      </c>
      <c r="M37" s="29">
        <f t="shared" si="15"/>
        <v>1.2755102040816326E-3</v>
      </c>
      <c r="N37" s="28">
        <v>784</v>
      </c>
      <c r="O37" s="28">
        <v>4.607843109406244E-5</v>
      </c>
      <c r="P37" s="28">
        <f t="shared" si="16"/>
        <v>1.3069672419415382E+28</v>
      </c>
      <c r="Q37" s="28">
        <v>3.4092675768507421E-4</v>
      </c>
      <c r="U37" s="24">
        <f>0.63*U9+0.37*U23</f>
        <v>2.8818000000000003E-10</v>
      </c>
      <c r="V37" s="31">
        <f t="shared" si="18"/>
        <v>2.8818000000000001</v>
      </c>
      <c r="W37" s="24">
        <v>2996639.6639999989</v>
      </c>
      <c r="X37" s="28">
        <v>1451.7494609289899</v>
      </c>
      <c r="AB37" s="28">
        <v>2</v>
      </c>
      <c r="AC37" s="28">
        <v>4</v>
      </c>
      <c r="AD37" s="28">
        <f t="shared" si="19"/>
        <v>6</v>
      </c>
      <c r="AG37" s="28">
        <v>0.25012654659262501</v>
      </c>
      <c r="AH37" s="28" t="s">
        <v>28</v>
      </c>
      <c r="AI37" s="88"/>
      <c r="AJ37" s="88"/>
      <c r="AK37" s="88"/>
      <c r="AM37">
        <v>5.2</v>
      </c>
      <c r="AN37" t="s">
        <v>222</v>
      </c>
      <c r="AO37" t="s">
        <v>203</v>
      </c>
      <c r="AP37" t="s">
        <v>204</v>
      </c>
      <c r="AQ37"/>
      <c r="AR37"/>
      <c r="AS37"/>
      <c r="AT37"/>
      <c r="AU37"/>
      <c r="AV37" s="45"/>
      <c r="AW37" s="45"/>
      <c r="AX37"/>
      <c r="AY37"/>
      <c r="AZ37" s="45"/>
      <c r="BA37"/>
      <c r="BB37"/>
      <c r="BC37" s="24">
        <f t="shared" si="30"/>
        <v>1.8511567318115176E-9</v>
      </c>
      <c r="BD37" s="24"/>
    </row>
    <row r="38" spans="1:56" ht="15">
      <c r="A38" s="28" t="s">
        <v>180</v>
      </c>
      <c r="B38" s="66"/>
      <c r="C38" s="28">
        <v>2</v>
      </c>
      <c r="D38" s="67">
        <v>55.701999999999998</v>
      </c>
      <c r="E38" s="67">
        <v>55.018000000000001</v>
      </c>
      <c r="F38" s="24">
        <f t="shared" si="0"/>
        <v>9.3168385073799999E-26</v>
      </c>
      <c r="G38" s="24">
        <f t="shared" si="1"/>
        <v>5.0118017694079994E-29</v>
      </c>
      <c r="H38" s="25">
        <f t="shared" si="12"/>
        <v>1882.0912368640552</v>
      </c>
      <c r="I38" s="25">
        <f t="shared" si="13"/>
        <v>1.0124322948853102</v>
      </c>
      <c r="J38" s="26">
        <f t="shared" si="14"/>
        <v>9.3118267056105916E-26</v>
      </c>
      <c r="K38" s="28">
        <v>156.23418179999999</v>
      </c>
      <c r="L38" s="28">
        <f>10^(-1.2179+1557/N38+0/N38^2)/1000</f>
        <v>5.8623181999963962E-3</v>
      </c>
      <c r="M38" s="29">
        <f>N38^-1</f>
        <v>1.2755102040816326E-3</v>
      </c>
      <c r="N38" s="28">
        <v>784</v>
      </c>
      <c r="O38" s="28">
        <v>4.5172248870240592E-5</v>
      </c>
      <c r="P38" s="28">
        <f t="shared" si="16"/>
        <v>1.333185783444021E+28</v>
      </c>
      <c r="Q38" s="28">
        <v>3.4144514086291769E-4</v>
      </c>
      <c r="U38" s="24">
        <f>0.658*U9+0.342*U23</f>
        <v>2.8778800000000003E-10</v>
      </c>
      <c r="V38" s="31">
        <f t="shared" si="18"/>
        <v>2.8778800000000002</v>
      </c>
      <c r="W38" s="24">
        <v>2899543.8624</v>
      </c>
      <c r="X38" s="28">
        <v>1470.4555590061771</v>
      </c>
      <c r="AB38" s="28">
        <v>2</v>
      </c>
      <c r="AC38" s="28">
        <v>4</v>
      </c>
      <c r="AD38" s="28">
        <f t="shared" si="19"/>
        <v>6</v>
      </c>
      <c r="AG38" s="28">
        <v>0.206944273557648</v>
      </c>
      <c r="AH38" s="28" t="s">
        <v>30</v>
      </c>
      <c r="AI38" s="88"/>
      <c r="AJ38" s="88"/>
      <c r="AK38" s="88"/>
      <c r="AM38">
        <v>5.2</v>
      </c>
      <c r="AN38" t="s">
        <v>222</v>
      </c>
      <c r="AO38" t="s">
        <v>203</v>
      </c>
      <c r="AP38" t="s">
        <v>204</v>
      </c>
      <c r="AQ38"/>
      <c r="AR38"/>
      <c r="AS38"/>
      <c r="AT38"/>
      <c r="AU38"/>
      <c r="AV38" s="45"/>
      <c r="AW38" s="45"/>
      <c r="AX38"/>
      <c r="AY38"/>
      <c r="AZ38" s="45"/>
      <c r="BA38"/>
      <c r="BB38"/>
      <c r="BC38" s="24">
        <f t="shared" si="30"/>
        <v>1.3749528367298905E-9</v>
      </c>
      <c r="BD38" s="24"/>
    </row>
    <row r="39" spans="1:56" customFormat="1" ht="18.75">
      <c r="A39" t="s">
        <v>181</v>
      </c>
      <c r="K39">
        <v>128.10887</v>
      </c>
      <c r="L39" s="28">
        <f>0.0767*EXP(39300/(8.3144598*N39))/1000</f>
        <v>9.0410766995504526E-3</v>
      </c>
      <c r="N39">
        <v>991</v>
      </c>
      <c r="O39">
        <v>3.02434243367421E-5</v>
      </c>
      <c r="P39" s="28">
        <f t="shared" si="16"/>
        <v>1.9912758333664071E+28</v>
      </c>
      <c r="Q39">
        <v>2.3876282234647119E-4</v>
      </c>
      <c r="S39" s="68"/>
      <c r="T39" s="68"/>
      <c r="U39" s="45">
        <f>0.582*U4+0.388*U5+0.3*U22</f>
        <v>3.0851800000000002E-10</v>
      </c>
      <c r="V39" s="31">
        <f t="shared" si="18"/>
        <v>3.0851800000000003</v>
      </c>
      <c r="W39">
        <v>3498633.56</v>
      </c>
      <c r="X39" t="e">
        <f>#REF!</f>
        <v>#REF!</v>
      </c>
      <c r="AB39">
        <v>3</v>
      </c>
      <c r="AC39">
        <v>6</v>
      </c>
      <c r="AD39" s="28">
        <f t="shared" si="19"/>
        <v>9</v>
      </c>
      <c r="AE39" s="28"/>
      <c r="AF39" s="28"/>
      <c r="AG39" s="28">
        <v>0.519012345679012</v>
      </c>
      <c r="AH39" s="28" t="s">
        <v>35</v>
      </c>
      <c r="AI39" s="88"/>
      <c r="AJ39" s="88"/>
      <c r="AK39" s="88"/>
      <c r="AL39" s="28"/>
      <c r="AM39">
        <v>5.9</v>
      </c>
      <c r="AN39" t="s">
        <v>219</v>
      </c>
      <c r="AO39" t="s">
        <v>220</v>
      </c>
      <c r="AP39" t="s">
        <v>221</v>
      </c>
      <c r="AV39" s="45"/>
      <c r="AW39" s="45"/>
      <c r="AZ39" s="45"/>
      <c r="BC39" s="24" t="e">
        <f t="shared" si="30"/>
        <v>#REF!</v>
      </c>
      <c r="BD39" s="24"/>
    </row>
    <row r="40" spans="1:56" customFormat="1" ht="18.75">
      <c r="A40" t="s">
        <v>182</v>
      </c>
      <c r="G40" s="68"/>
      <c r="H40" s="68"/>
      <c r="K40">
        <v>154.66795999999999</v>
      </c>
      <c r="L40" s="28">
        <f>0.0767*EXP(39300/(8.3144598*N40))/1000</f>
        <v>8.1514268008243823E-3</v>
      </c>
      <c r="N40">
        <v>1013</v>
      </c>
      <c r="O40">
        <v>3.2645143022437789E-5</v>
      </c>
      <c r="P40" s="28">
        <f t="shared" si="16"/>
        <v>1.8447767240170242E+28</v>
      </c>
      <c r="Q40">
        <v>2.2077562764566649E-4</v>
      </c>
      <c r="U40" s="45">
        <f>0.576*U4+0.384*U5+0.4*U22</f>
        <v>3.2822400000000001E-10</v>
      </c>
      <c r="V40" s="31">
        <f t="shared" si="18"/>
        <v>3.2822400000000003</v>
      </c>
      <c r="W40">
        <v>3957693.64</v>
      </c>
      <c r="X40" t="e">
        <f>#REF!</f>
        <v>#REF!</v>
      </c>
      <c r="AB40">
        <v>3</v>
      </c>
      <c r="AC40">
        <v>6</v>
      </c>
      <c r="AD40" s="28">
        <f t="shared" si="19"/>
        <v>9</v>
      </c>
      <c r="AE40" s="28"/>
      <c r="AF40" s="28"/>
      <c r="AG40" s="28">
        <v>0.50823423423423297</v>
      </c>
      <c r="AH40" s="28" t="s">
        <v>37</v>
      </c>
      <c r="AI40" s="88"/>
      <c r="AJ40" s="88"/>
      <c r="AK40" s="88"/>
      <c r="AL40" s="28"/>
      <c r="AM40">
        <v>5.9</v>
      </c>
      <c r="AN40" t="s">
        <v>219</v>
      </c>
      <c r="AO40" t="s">
        <v>220</v>
      </c>
      <c r="AP40" t="s">
        <v>221</v>
      </c>
      <c r="AV40" s="45"/>
      <c r="AW40" s="45"/>
      <c r="AZ40" s="45"/>
      <c r="BC40" s="24" t="e">
        <f t="shared" si="30"/>
        <v>#REF!</v>
      </c>
      <c r="BD40" s="24"/>
    </row>
    <row r="41" spans="1:56" customFormat="1" ht="18.75">
      <c r="A41" t="s">
        <v>183</v>
      </c>
      <c r="G41" s="68"/>
      <c r="H41" s="68"/>
      <c r="K41">
        <v>181.22704999999999</v>
      </c>
      <c r="L41" s="28">
        <f>0.0767*EXP(39300/(8.3144598*N41))/1000</f>
        <v>7.8587878713746243E-3</v>
      </c>
      <c r="N41">
        <v>1021</v>
      </c>
      <c r="O41">
        <v>3.4949140082044292E-5</v>
      </c>
      <c r="P41" s="28">
        <f t="shared" si="16"/>
        <v>1.7231611381174034E+28</v>
      </c>
      <c r="Q41">
        <v>2.050117820240356E-4</v>
      </c>
      <c r="U41" s="45">
        <f>0.57*U4+0.38*U5+0.5*U22</f>
        <v>3.4792999999999996E-10</v>
      </c>
      <c r="V41" s="31">
        <f t="shared" si="18"/>
        <v>3.4792999999999994</v>
      </c>
      <c r="W41">
        <v>4426131.4000000004</v>
      </c>
      <c r="X41" t="e">
        <f>#REF!</f>
        <v>#REF!</v>
      </c>
      <c r="AB41">
        <v>3</v>
      </c>
      <c r="AC41">
        <v>6</v>
      </c>
      <c r="AD41" s="28">
        <f t="shared" si="19"/>
        <v>9</v>
      </c>
      <c r="AE41" s="28"/>
      <c r="AF41" s="28"/>
      <c r="AG41" s="28">
        <v>0.40028571428571402</v>
      </c>
      <c r="AH41" s="28" t="s">
        <v>39</v>
      </c>
      <c r="AI41" s="88"/>
      <c r="AJ41" s="88"/>
      <c r="AK41" s="88"/>
      <c r="AL41" s="28"/>
      <c r="AM41">
        <v>5.9</v>
      </c>
      <c r="AN41" t="s">
        <v>219</v>
      </c>
      <c r="AO41" t="s">
        <v>220</v>
      </c>
      <c r="AP41" t="s">
        <v>221</v>
      </c>
      <c r="AV41" s="45"/>
      <c r="AW41" s="45"/>
      <c r="AZ41" s="45"/>
      <c r="BC41" s="24" t="e">
        <f t="shared" si="30"/>
        <v>#REF!</v>
      </c>
      <c r="BD41" s="24"/>
    </row>
    <row r="42" spans="1:56" ht="15">
      <c r="A42" s="73" t="s">
        <v>184</v>
      </c>
      <c r="B42" s="66">
        <v>0.01</v>
      </c>
      <c r="C42" s="73">
        <v>1</v>
      </c>
      <c r="D42" s="73">
        <v>10</v>
      </c>
      <c r="E42" s="73">
        <v>10</v>
      </c>
      <c r="F42" s="24">
        <f>D42*1.6726219E-27</f>
        <v>1.6726219000000001E-26</v>
      </c>
      <c r="G42" s="24">
        <f t="shared" si="1"/>
        <v>9.1093856E-30</v>
      </c>
      <c r="H42" s="25">
        <f t="shared" si="12"/>
        <v>1836.1522647586683</v>
      </c>
      <c r="I42" s="25">
        <f t="shared" si="13"/>
        <v>1</v>
      </c>
      <c r="J42" s="26">
        <f t="shared" si="14"/>
        <v>1.6717109614400002E-26</v>
      </c>
      <c r="K42" s="58">
        <v>18.015000000000001</v>
      </c>
      <c r="L42" s="74">
        <v>1.7930000000000001E-3</v>
      </c>
      <c r="M42" s="29">
        <f t="shared" si="15"/>
        <v>3.6609921288669233E-3</v>
      </c>
      <c r="N42" s="28">
        <v>273.14999999999998</v>
      </c>
      <c r="O42" s="62">
        <v>1.802E-5</v>
      </c>
      <c r="P42" s="28">
        <f t="shared" si="16"/>
        <v>3.3420088790233074E+28</v>
      </c>
      <c r="Q42" s="62">
        <v>5.1E-5</v>
      </c>
      <c r="U42" s="24">
        <v>3.1000000000000002E-10</v>
      </c>
      <c r="V42" s="31">
        <f t="shared" si="18"/>
        <v>3.1</v>
      </c>
      <c r="W42" s="24">
        <v>999840</v>
      </c>
      <c r="X42" s="28">
        <v>1403</v>
      </c>
      <c r="Y42" s="28">
        <v>0</v>
      </c>
      <c r="Z42" s="62">
        <v>999840</v>
      </c>
      <c r="AA42" s="28">
        <v>0</v>
      </c>
      <c r="AI42" s="88"/>
      <c r="AJ42" s="88"/>
      <c r="AK42" s="88"/>
      <c r="AM42" s="45"/>
      <c r="AN42" s="45"/>
      <c r="AO42" s="45"/>
      <c r="AP42" s="45"/>
      <c r="AQ42"/>
      <c r="AR42"/>
      <c r="AS42"/>
      <c r="AT42"/>
      <c r="AU42"/>
      <c r="AV42" s="45"/>
      <c r="AW42" s="45"/>
      <c r="AX42"/>
      <c r="AY42"/>
      <c r="AZ42" s="45"/>
      <c r="BA42"/>
      <c r="BB42"/>
      <c r="BC42" s="24">
        <f t="shared" si="30"/>
        <v>1.2781802750592626E-9</v>
      </c>
      <c r="BD42" s="24"/>
    </row>
    <row r="43" spans="1:56">
      <c r="M43" s="28"/>
      <c r="N43" s="28"/>
      <c r="AI43" s="88"/>
      <c r="AJ43" s="88"/>
      <c r="AK43" s="88"/>
    </row>
    <row r="44" spans="1:56">
      <c r="M44" s="28"/>
      <c r="N44" s="28"/>
      <c r="AI44" s="88"/>
      <c r="AJ44" s="88"/>
      <c r="AK44" s="88"/>
    </row>
    <row r="45" spans="1:56" ht="15" thickBot="1">
      <c r="M45" s="28"/>
      <c r="N45" s="28"/>
      <c r="AI45" s="88"/>
      <c r="AJ45" s="88"/>
      <c r="AK45" s="88"/>
      <c r="AM45" s="4" t="s">
        <v>223</v>
      </c>
    </row>
    <row r="46" spans="1:56">
      <c r="M46" s="28"/>
      <c r="N46" s="28"/>
      <c r="AM46" s="45">
        <v>8.8541900000000007E-12</v>
      </c>
    </row>
    <row r="47" spans="1:56">
      <c r="M47" s="28"/>
      <c r="N47" s="28"/>
      <c r="AM47" t="s">
        <v>228</v>
      </c>
    </row>
    <row r="48" spans="1:56">
      <c r="M48" s="28"/>
      <c r="N48" s="28"/>
      <c r="AM48" s="85">
        <v>1.3806490000000001E-23</v>
      </c>
    </row>
    <row r="49" spans="7:39">
      <c r="K49" s="28"/>
      <c r="M49" s="28"/>
      <c r="N49" s="28"/>
      <c r="AM49" s="86" t="s">
        <v>229</v>
      </c>
    </row>
    <row r="50" spans="7:39">
      <c r="M50" s="28"/>
      <c r="N50" s="28"/>
      <c r="AM50" s="45">
        <v>1.602E-19</v>
      </c>
    </row>
    <row r="51" spans="7:39">
      <c r="M51" s="28"/>
      <c r="N51" s="28"/>
      <c r="AM51" t="s">
        <v>238</v>
      </c>
    </row>
    <row r="52" spans="7:39">
      <c r="G52" s="73" t="s">
        <v>157</v>
      </c>
      <c r="H52" s="73">
        <v>5.6672851556149997</v>
      </c>
      <c r="M52" s="28"/>
      <c r="N52" s="28"/>
      <c r="AM52" s="45">
        <f>AVERAGE(U3:U43)</f>
        <v>2.6046656000000006E-10</v>
      </c>
    </row>
    <row r="53" spans="7:39">
      <c r="G53" s="73" t="s">
        <v>158</v>
      </c>
      <c r="H53" s="73">
        <v>3.6125286079999999</v>
      </c>
      <c r="M53" s="28"/>
      <c r="N53" s="28"/>
    </row>
    <row r="54" spans="7:39">
      <c r="G54" s="73" t="s">
        <v>159</v>
      </c>
      <c r="H54" s="73">
        <v>2.1603079999999997</v>
      </c>
      <c r="M54" s="28"/>
      <c r="N54" s="28"/>
    </row>
    <row r="55" spans="7:39">
      <c r="M55" s="28"/>
      <c r="N55" s="28"/>
    </row>
    <row r="56" spans="7:39">
      <c r="M56" s="28"/>
      <c r="N56" s="28"/>
    </row>
  </sheetData>
  <mergeCells count="3">
    <mergeCell ref="AX1:AZ1"/>
    <mergeCell ref="AT1:AV1"/>
    <mergeCell ref="AI1:AJ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CFA-D48B-45AB-9049-95EA29176B49}">
  <dimension ref="A1:AA23"/>
  <sheetViews>
    <sheetView topLeftCell="D1" workbookViewId="0">
      <selection activeCell="U13" sqref="U13"/>
    </sheetView>
  </sheetViews>
  <sheetFormatPr defaultRowHeight="14.25"/>
  <cols>
    <col min="10" max="10" width="3.625" customWidth="1"/>
  </cols>
  <sheetData>
    <row r="1" spans="1:27">
      <c r="B1" t="s">
        <v>265</v>
      </c>
      <c r="O1" t="s">
        <v>266</v>
      </c>
    </row>
    <row r="2" spans="1:27">
      <c r="A2" t="s">
        <v>268</v>
      </c>
      <c r="B2" t="s">
        <v>198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K2" t="s">
        <v>259</v>
      </c>
      <c r="L2" t="s">
        <v>258</v>
      </c>
      <c r="M2">
        <f>AVERAGE(K3:K22)</f>
        <v>139.4</v>
      </c>
      <c r="O2" t="s">
        <v>198</v>
      </c>
      <c r="P2" t="s">
        <v>239</v>
      </c>
      <c r="Q2" t="s">
        <v>240</v>
      </c>
      <c r="R2" t="s">
        <v>388</v>
      </c>
      <c r="S2" t="s">
        <v>241</v>
      </c>
      <c r="T2" t="s">
        <v>242</v>
      </c>
      <c r="U2" t="s">
        <v>389</v>
      </c>
      <c r="V2" t="s">
        <v>243</v>
      </c>
      <c r="W2" t="s">
        <v>244</v>
      </c>
      <c r="X2" t="s">
        <v>245</v>
      </c>
      <c r="Z2" t="s">
        <v>259</v>
      </c>
      <c r="AA2" t="s">
        <v>258</v>
      </c>
    </row>
    <row r="3" spans="1:27">
      <c r="B3" t="s">
        <v>152</v>
      </c>
      <c r="C3">
        <v>1218.1500000000001</v>
      </c>
      <c r="D3">
        <v>184</v>
      </c>
      <c r="E3">
        <v>5.2</v>
      </c>
      <c r="F3">
        <v>282</v>
      </c>
      <c r="G3">
        <v>14.6</v>
      </c>
      <c r="H3">
        <v>284</v>
      </c>
      <c r="I3">
        <v>14.9</v>
      </c>
      <c r="K3">
        <f t="shared" ref="K3:K22" si="0">F3-D3</f>
        <v>98</v>
      </c>
      <c r="M3">
        <f t="shared" ref="M3:M22" si="1">K3/D3</f>
        <v>0.53260869565217395</v>
      </c>
      <c r="O3" t="s">
        <v>152</v>
      </c>
      <c r="P3">
        <v>1118.1500000000001</v>
      </c>
      <c r="Q3">
        <v>186</v>
      </c>
      <c r="R3">
        <f>(D3-Q3)/D3</f>
        <v>-1.0869565217391304E-2</v>
      </c>
      <c r="S3">
        <v>5.3</v>
      </c>
      <c r="T3">
        <v>280</v>
      </c>
      <c r="U3">
        <f>(F3-T3)/F3</f>
        <v>7.0921985815602835E-3</v>
      </c>
      <c r="V3">
        <v>14.9</v>
      </c>
      <c r="W3">
        <v>284</v>
      </c>
      <c r="X3">
        <v>15</v>
      </c>
      <c r="AA3" t="e">
        <f>AVERAGE(Z3:Z23)</f>
        <v>#DIV/0!</v>
      </c>
    </row>
    <row r="4" spans="1:27">
      <c r="B4" t="s">
        <v>153</v>
      </c>
      <c r="C4">
        <v>1366.15</v>
      </c>
      <c r="D4">
        <v>214</v>
      </c>
      <c r="E4">
        <v>5</v>
      </c>
      <c r="F4">
        <v>326</v>
      </c>
      <c r="G4">
        <v>14.2</v>
      </c>
      <c r="H4">
        <v>334</v>
      </c>
      <c r="I4">
        <v>14.5</v>
      </c>
      <c r="K4">
        <f t="shared" si="0"/>
        <v>112</v>
      </c>
      <c r="M4">
        <f t="shared" si="1"/>
        <v>0.52336448598130836</v>
      </c>
      <c r="O4" t="s">
        <v>153</v>
      </c>
      <c r="P4">
        <v>1266.1500000000001</v>
      </c>
      <c r="Q4">
        <v>216</v>
      </c>
      <c r="R4">
        <f t="shared" ref="R4:R22" si="2">(D4-Q4)/D4</f>
        <v>-9.3457943925233638E-3</v>
      </c>
      <c r="S4">
        <v>5.0999999999999996</v>
      </c>
      <c r="T4">
        <v>326</v>
      </c>
      <c r="U4">
        <f t="shared" ref="U4:U22" si="3">(F4-T4)/F4</f>
        <v>0</v>
      </c>
      <c r="V4">
        <v>14.6</v>
      </c>
      <c r="W4">
        <v>332</v>
      </c>
      <c r="X4">
        <v>14.8</v>
      </c>
    </row>
    <row r="5" spans="1:27">
      <c r="B5" t="s">
        <v>154</v>
      </c>
      <c r="C5">
        <v>1231.1500000000001</v>
      </c>
      <c r="D5">
        <v>244</v>
      </c>
      <c r="E5">
        <v>4.8</v>
      </c>
      <c r="F5">
        <v>380</v>
      </c>
      <c r="G5">
        <v>13.3</v>
      </c>
      <c r="H5">
        <v>384</v>
      </c>
      <c r="I5">
        <v>13.7</v>
      </c>
      <c r="K5">
        <f t="shared" si="0"/>
        <v>136</v>
      </c>
      <c r="M5">
        <f t="shared" si="1"/>
        <v>0.55737704918032782</v>
      </c>
      <c r="O5" t="s">
        <v>154</v>
      </c>
      <c r="P5">
        <v>1131.1500000000001</v>
      </c>
      <c r="Q5">
        <v>246</v>
      </c>
      <c r="R5">
        <f t="shared" si="2"/>
        <v>-8.1967213114754103E-3</v>
      </c>
      <c r="S5">
        <v>4.8</v>
      </c>
      <c r="T5">
        <v>378</v>
      </c>
      <c r="U5">
        <f t="shared" si="3"/>
        <v>5.263157894736842E-3</v>
      </c>
      <c r="V5">
        <v>13.8</v>
      </c>
      <c r="W5">
        <v>382</v>
      </c>
      <c r="X5">
        <v>13.8</v>
      </c>
    </row>
    <row r="6" spans="1:27">
      <c r="B6" t="s">
        <v>155</v>
      </c>
      <c r="C6">
        <v>1168.1500000000001</v>
      </c>
      <c r="D6">
        <v>256</v>
      </c>
      <c r="E6">
        <v>4.5999999999999996</v>
      </c>
      <c r="F6">
        <v>400</v>
      </c>
      <c r="G6">
        <v>12.9</v>
      </c>
      <c r="H6">
        <v>406</v>
      </c>
      <c r="I6">
        <v>13</v>
      </c>
      <c r="K6">
        <f t="shared" si="0"/>
        <v>144</v>
      </c>
      <c r="M6">
        <f t="shared" si="1"/>
        <v>0.5625</v>
      </c>
      <c r="O6" t="s">
        <v>155</v>
      </c>
      <c r="P6">
        <v>1068.1500000000001</v>
      </c>
      <c r="Q6">
        <v>258</v>
      </c>
      <c r="R6">
        <f t="shared" si="2"/>
        <v>-7.8125E-3</v>
      </c>
      <c r="S6">
        <v>4.7</v>
      </c>
      <c r="T6">
        <v>400</v>
      </c>
      <c r="U6">
        <f t="shared" si="3"/>
        <v>0</v>
      </c>
      <c r="V6">
        <v>13.5</v>
      </c>
      <c r="W6">
        <v>406</v>
      </c>
      <c r="X6">
        <v>13.4</v>
      </c>
    </row>
    <row r="7" spans="1:27">
      <c r="B7" t="s">
        <v>156</v>
      </c>
      <c r="C7">
        <v>1055.1500000000001</v>
      </c>
      <c r="D7">
        <v>276</v>
      </c>
      <c r="E7">
        <v>4.7</v>
      </c>
      <c r="F7">
        <v>424</v>
      </c>
      <c r="G7">
        <v>13.3</v>
      </c>
      <c r="H7">
        <v>428</v>
      </c>
      <c r="I7">
        <v>13.3</v>
      </c>
      <c r="K7">
        <f t="shared" si="0"/>
        <v>148</v>
      </c>
      <c r="M7">
        <f t="shared" si="1"/>
        <v>0.53623188405797106</v>
      </c>
      <c r="O7" t="s">
        <v>156</v>
      </c>
      <c r="P7">
        <v>955.15</v>
      </c>
      <c r="Q7">
        <v>278</v>
      </c>
      <c r="R7">
        <f t="shared" si="2"/>
        <v>-7.246376811594203E-3</v>
      </c>
      <c r="S7">
        <v>4.8</v>
      </c>
      <c r="T7">
        <v>424</v>
      </c>
      <c r="U7">
        <f t="shared" si="3"/>
        <v>0</v>
      </c>
      <c r="V7">
        <v>13.7</v>
      </c>
      <c r="W7">
        <v>422</v>
      </c>
      <c r="X7">
        <v>13.8</v>
      </c>
    </row>
    <row r="8" spans="1:27">
      <c r="B8" t="s">
        <v>157</v>
      </c>
      <c r="C8">
        <v>978.15</v>
      </c>
      <c r="D8">
        <v>236</v>
      </c>
      <c r="E8">
        <v>5</v>
      </c>
      <c r="F8">
        <v>352</v>
      </c>
      <c r="G8">
        <v>14.1</v>
      </c>
      <c r="H8">
        <v>362</v>
      </c>
      <c r="I8">
        <v>14.1</v>
      </c>
      <c r="K8">
        <f t="shared" si="0"/>
        <v>116</v>
      </c>
      <c r="M8">
        <f t="shared" si="1"/>
        <v>0.49152542372881358</v>
      </c>
      <c r="O8" t="s">
        <v>157</v>
      </c>
      <c r="P8">
        <v>878.15</v>
      </c>
      <c r="Q8">
        <v>238</v>
      </c>
      <c r="R8">
        <f t="shared" si="2"/>
        <v>-8.4745762711864406E-3</v>
      </c>
      <c r="S8">
        <v>5.2</v>
      </c>
      <c r="T8">
        <v>352</v>
      </c>
      <c r="U8">
        <f t="shared" si="3"/>
        <v>0</v>
      </c>
      <c r="V8">
        <v>14.7</v>
      </c>
      <c r="W8">
        <v>358</v>
      </c>
      <c r="X8">
        <v>14.8</v>
      </c>
    </row>
    <row r="9" spans="1:27">
      <c r="B9" t="s">
        <v>158</v>
      </c>
      <c r="C9">
        <v>1174.1500000000001</v>
      </c>
      <c r="D9">
        <v>264</v>
      </c>
      <c r="E9">
        <v>5.0999999999999996</v>
      </c>
      <c r="F9">
        <v>396</v>
      </c>
      <c r="G9">
        <v>14.5</v>
      </c>
      <c r="H9">
        <v>404</v>
      </c>
      <c r="I9">
        <v>14.7</v>
      </c>
      <c r="K9">
        <f t="shared" si="0"/>
        <v>132</v>
      </c>
      <c r="M9">
        <f t="shared" si="1"/>
        <v>0.5</v>
      </c>
      <c r="O9" t="s">
        <v>158</v>
      </c>
      <c r="P9">
        <v>1074.1500000000001</v>
      </c>
      <c r="Q9">
        <v>264</v>
      </c>
      <c r="R9">
        <f t="shared" si="2"/>
        <v>0</v>
      </c>
      <c r="S9">
        <v>5.3</v>
      </c>
      <c r="T9">
        <v>392</v>
      </c>
      <c r="U9">
        <f t="shared" si="3"/>
        <v>1.0101010101010102E-2</v>
      </c>
      <c r="V9">
        <v>15.2</v>
      </c>
      <c r="W9">
        <v>398</v>
      </c>
      <c r="X9">
        <v>15.2</v>
      </c>
    </row>
    <row r="10" spans="1:27">
      <c r="B10" t="s">
        <v>159</v>
      </c>
      <c r="C10">
        <v>1143.1500000000001</v>
      </c>
      <c r="D10">
        <v>296</v>
      </c>
      <c r="E10">
        <v>5.2</v>
      </c>
      <c r="F10">
        <v>438</v>
      </c>
      <c r="G10">
        <v>15.2</v>
      </c>
      <c r="H10">
        <v>452</v>
      </c>
      <c r="I10">
        <v>15.1</v>
      </c>
      <c r="K10">
        <f t="shared" si="0"/>
        <v>142</v>
      </c>
      <c r="M10">
        <f t="shared" si="1"/>
        <v>0.47972972972972971</v>
      </c>
      <c r="O10" t="s">
        <v>159</v>
      </c>
      <c r="P10">
        <v>1043.1500000000001</v>
      </c>
      <c r="Q10">
        <v>296</v>
      </c>
      <c r="R10">
        <f t="shared" si="2"/>
        <v>0</v>
      </c>
      <c r="S10">
        <v>5.4</v>
      </c>
      <c r="T10">
        <v>438</v>
      </c>
      <c r="U10">
        <f t="shared" si="3"/>
        <v>0</v>
      </c>
      <c r="V10">
        <v>15.4</v>
      </c>
      <c r="W10">
        <v>446</v>
      </c>
      <c r="X10">
        <v>15.7</v>
      </c>
    </row>
    <row r="11" spans="1:27">
      <c r="B11" t="s">
        <v>252</v>
      </c>
      <c r="C11">
        <v>1091.1500000000001</v>
      </c>
      <c r="D11">
        <v>310</v>
      </c>
      <c r="E11">
        <v>5.3</v>
      </c>
      <c r="F11">
        <v>460</v>
      </c>
      <c r="G11">
        <v>14.9</v>
      </c>
      <c r="H11">
        <v>470</v>
      </c>
      <c r="I11">
        <v>15</v>
      </c>
      <c r="K11">
        <f t="shared" si="0"/>
        <v>150</v>
      </c>
      <c r="M11">
        <f t="shared" si="1"/>
        <v>0.4838709677419355</v>
      </c>
      <c r="O11" t="s">
        <v>252</v>
      </c>
      <c r="P11">
        <v>991.15</v>
      </c>
      <c r="Q11">
        <v>310</v>
      </c>
      <c r="R11">
        <f t="shared" si="2"/>
        <v>0</v>
      </c>
      <c r="S11">
        <v>5.4</v>
      </c>
      <c r="T11">
        <v>456</v>
      </c>
      <c r="U11">
        <f t="shared" si="3"/>
        <v>8.6956521739130436E-3</v>
      </c>
      <c r="V11">
        <v>15.8</v>
      </c>
      <c r="W11">
        <v>464</v>
      </c>
      <c r="X11">
        <v>15.9</v>
      </c>
    </row>
    <row r="12" spans="1:27">
      <c r="B12" t="s">
        <v>255</v>
      </c>
      <c r="C12">
        <v>1018.15</v>
      </c>
      <c r="D12">
        <v>326</v>
      </c>
      <c r="E12">
        <v>5.3</v>
      </c>
      <c r="F12">
        <v>482</v>
      </c>
      <c r="G12">
        <v>15.3</v>
      </c>
      <c r="H12">
        <v>488</v>
      </c>
      <c r="I12">
        <v>15.6</v>
      </c>
      <c r="K12">
        <f t="shared" si="0"/>
        <v>156</v>
      </c>
      <c r="M12">
        <f t="shared" si="1"/>
        <v>0.4785276073619632</v>
      </c>
      <c r="O12" t="s">
        <v>255</v>
      </c>
      <c r="P12">
        <v>918.15</v>
      </c>
      <c r="Q12">
        <v>328</v>
      </c>
      <c r="R12">
        <f t="shared" si="2"/>
        <v>-6.1349693251533744E-3</v>
      </c>
      <c r="S12">
        <v>5.5</v>
      </c>
      <c r="T12">
        <v>478</v>
      </c>
      <c r="U12">
        <f t="shared" si="3"/>
        <v>8.2987551867219917E-3</v>
      </c>
      <c r="V12">
        <v>16</v>
      </c>
      <c r="W12">
        <v>488</v>
      </c>
      <c r="X12">
        <v>16</v>
      </c>
    </row>
    <row r="13" spans="1:27">
      <c r="B13" t="s">
        <v>246</v>
      </c>
      <c r="C13">
        <v>923.15</v>
      </c>
      <c r="D13">
        <v>252</v>
      </c>
      <c r="E13">
        <v>4.9000000000000004</v>
      </c>
      <c r="F13">
        <v>372</v>
      </c>
      <c r="G13">
        <v>13.9</v>
      </c>
      <c r="H13">
        <v>388</v>
      </c>
      <c r="I13">
        <v>14</v>
      </c>
      <c r="K13">
        <f t="shared" si="0"/>
        <v>120</v>
      </c>
      <c r="M13">
        <f t="shared" si="1"/>
        <v>0.47619047619047616</v>
      </c>
      <c r="O13" t="s">
        <v>246</v>
      </c>
      <c r="P13">
        <v>823.15</v>
      </c>
      <c r="Q13">
        <v>252</v>
      </c>
      <c r="R13">
        <f t="shared" si="2"/>
        <v>0</v>
      </c>
      <c r="S13">
        <v>5</v>
      </c>
      <c r="T13">
        <v>374</v>
      </c>
      <c r="U13">
        <f t="shared" si="3"/>
        <v>-5.3763440860215058E-3</v>
      </c>
      <c r="V13">
        <v>14.4</v>
      </c>
      <c r="W13">
        <v>386</v>
      </c>
      <c r="X13">
        <v>14.5</v>
      </c>
    </row>
    <row r="14" spans="1:27">
      <c r="B14" t="s">
        <v>248</v>
      </c>
      <c r="C14">
        <v>1120.1500000000001</v>
      </c>
      <c r="D14">
        <v>280</v>
      </c>
      <c r="E14">
        <v>5.0999999999999996</v>
      </c>
      <c r="F14">
        <v>416</v>
      </c>
      <c r="G14">
        <v>14.7</v>
      </c>
      <c r="H14">
        <v>426</v>
      </c>
      <c r="I14">
        <v>14.5</v>
      </c>
      <c r="K14">
        <f t="shared" si="0"/>
        <v>136</v>
      </c>
      <c r="M14">
        <f t="shared" si="1"/>
        <v>0.48571428571428571</v>
      </c>
      <c r="O14" t="s">
        <v>248</v>
      </c>
      <c r="P14">
        <v>1020.15</v>
      </c>
      <c r="Q14">
        <v>280</v>
      </c>
      <c r="R14">
        <f t="shared" si="2"/>
        <v>0</v>
      </c>
      <c r="S14">
        <v>5.3</v>
      </c>
      <c r="T14">
        <v>414</v>
      </c>
      <c r="U14">
        <f t="shared" si="3"/>
        <v>4.807692307692308E-3</v>
      </c>
      <c r="V14">
        <v>15</v>
      </c>
      <c r="W14">
        <v>420</v>
      </c>
      <c r="X14">
        <v>15.2</v>
      </c>
    </row>
    <row r="15" spans="1:27">
      <c r="B15" t="s">
        <v>250</v>
      </c>
      <c r="C15">
        <v>1107.1500000000001</v>
      </c>
      <c r="D15">
        <v>312</v>
      </c>
      <c r="E15">
        <v>5.3</v>
      </c>
      <c r="F15">
        <v>458</v>
      </c>
      <c r="G15">
        <v>15</v>
      </c>
      <c r="H15">
        <v>470</v>
      </c>
      <c r="I15">
        <v>15.4</v>
      </c>
      <c r="K15">
        <f t="shared" si="0"/>
        <v>146</v>
      </c>
      <c r="M15">
        <f t="shared" si="1"/>
        <v>0.46794871794871795</v>
      </c>
      <c r="O15" t="s">
        <v>250</v>
      </c>
      <c r="P15">
        <v>1007.15</v>
      </c>
      <c r="Q15">
        <v>312</v>
      </c>
      <c r="R15">
        <f t="shared" si="2"/>
        <v>0</v>
      </c>
      <c r="S15">
        <v>5.5</v>
      </c>
      <c r="T15">
        <v>456</v>
      </c>
      <c r="U15">
        <f t="shared" si="3"/>
        <v>4.3668122270742356E-3</v>
      </c>
      <c r="V15">
        <v>15.8</v>
      </c>
      <c r="W15">
        <v>466</v>
      </c>
      <c r="X15">
        <v>15.8</v>
      </c>
    </row>
    <row r="16" spans="1:27">
      <c r="B16" t="s">
        <v>253</v>
      </c>
      <c r="C16">
        <v>1066.1500000000001</v>
      </c>
      <c r="D16">
        <v>326</v>
      </c>
      <c r="E16">
        <v>5.3</v>
      </c>
      <c r="F16">
        <v>480</v>
      </c>
      <c r="G16">
        <v>15.4</v>
      </c>
      <c r="H16">
        <v>490</v>
      </c>
      <c r="I16">
        <v>15.6</v>
      </c>
      <c r="K16">
        <f t="shared" si="0"/>
        <v>154</v>
      </c>
      <c r="M16">
        <f t="shared" si="1"/>
        <v>0.47239263803680981</v>
      </c>
      <c r="O16" t="s">
        <v>253</v>
      </c>
      <c r="P16">
        <v>966.15</v>
      </c>
      <c r="Q16">
        <v>326</v>
      </c>
      <c r="R16">
        <f t="shared" si="2"/>
        <v>0</v>
      </c>
      <c r="S16">
        <v>5.6</v>
      </c>
      <c r="T16">
        <v>470</v>
      </c>
      <c r="U16">
        <f t="shared" si="3"/>
        <v>2.0833333333333332E-2</v>
      </c>
      <c r="V16">
        <v>16.2</v>
      </c>
      <c r="W16">
        <v>488</v>
      </c>
      <c r="X16">
        <v>16.100000000000001</v>
      </c>
    </row>
    <row r="17" spans="2:24">
      <c r="B17" t="s">
        <v>256</v>
      </c>
      <c r="C17">
        <v>1009.15</v>
      </c>
      <c r="D17">
        <v>342</v>
      </c>
      <c r="E17">
        <v>5.4</v>
      </c>
      <c r="F17">
        <v>502</v>
      </c>
      <c r="G17">
        <v>15.6</v>
      </c>
      <c r="H17">
        <v>514</v>
      </c>
      <c r="I17">
        <v>15.8</v>
      </c>
      <c r="K17">
        <f t="shared" si="0"/>
        <v>160</v>
      </c>
      <c r="M17">
        <f t="shared" si="1"/>
        <v>0.46783625730994149</v>
      </c>
      <c r="O17" t="s">
        <v>256</v>
      </c>
      <c r="P17">
        <v>909.15</v>
      </c>
      <c r="Q17">
        <v>342</v>
      </c>
      <c r="R17">
        <f t="shared" si="2"/>
        <v>0</v>
      </c>
      <c r="S17">
        <v>5.6</v>
      </c>
      <c r="T17">
        <v>496</v>
      </c>
      <c r="U17">
        <f t="shared" si="3"/>
        <v>1.1952191235059761E-2</v>
      </c>
      <c r="V17">
        <v>16.3</v>
      </c>
      <c r="W17">
        <v>508</v>
      </c>
      <c r="X17">
        <v>16.399999999999999</v>
      </c>
    </row>
    <row r="18" spans="2:24">
      <c r="B18" t="s">
        <v>247</v>
      </c>
      <c r="C18">
        <v>822.15</v>
      </c>
      <c r="D18">
        <v>274</v>
      </c>
      <c r="E18">
        <v>4.9000000000000004</v>
      </c>
      <c r="F18">
        <v>392</v>
      </c>
      <c r="G18">
        <v>13.3</v>
      </c>
      <c r="H18">
        <v>426</v>
      </c>
      <c r="I18">
        <v>14</v>
      </c>
      <c r="K18">
        <f t="shared" si="0"/>
        <v>118</v>
      </c>
      <c r="M18">
        <f t="shared" si="1"/>
        <v>0.43065693430656932</v>
      </c>
      <c r="O18" t="s">
        <v>247</v>
      </c>
      <c r="P18">
        <v>722.15</v>
      </c>
      <c r="Q18">
        <v>276</v>
      </c>
      <c r="R18">
        <f t="shared" si="2"/>
        <v>-7.2992700729927005E-3</v>
      </c>
      <c r="S18">
        <v>5.0999999999999996</v>
      </c>
      <c r="T18">
        <v>392</v>
      </c>
      <c r="U18">
        <f t="shared" si="3"/>
        <v>0</v>
      </c>
      <c r="V18">
        <v>13.8</v>
      </c>
      <c r="W18">
        <v>422</v>
      </c>
      <c r="X18">
        <v>14.2</v>
      </c>
    </row>
    <row r="19" spans="2:24">
      <c r="B19" t="s">
        <v>249</v>
      </c>
      <c r="C19">
        <v>1034.1500000000001</v>
      </c>
      <c r="D19">
        <v>304</v>
      </c>
      <c r="E19">
        <v>5.2</v>
      </c>
      <c r="F19">
        <v>444</v>
      </c>
      <c r="G19">
        <v>14.6</v>
      </c>
      <c r="H19">
        <v>458</v>
      </c>
      <c r="I19">
        <v>14.7</v>
      </c>
      <c r="K19">
        <f t="shared" si="0"/>
        <v>140</v>
      </c>
      <c r="M19">
        <f t="shared" si="1"/>
        <v>0.46052631578947367</v>
      </c>
      <c r="O19" t="s">
        <v>249</v>
      </c>
      <c r="P19">
        <v>934.15</v>
      </c>
      <c r="Q19">
        <v>304</v>
      </c>
      <c r="R19">
        <f t="shared" si="2"/>
        <v>0</v>
      </c>
      <c r="S19">
        <v>5.3</v>
      </c>
      <c r="T19">
        <v>436</v>
      </c>
      <c r="U19">
        <f t="shared" si="3"/>
        <v>1.8018018018018018E-2</v>
      </c>
      <c r="V19">
        <v>15.3</v>
      </c>
      <c r="W19">
        <v>454</v>
      </c>
      <c r="X19">
        <v>15.2</v>
      </c>
    </row>
    <row r="20" spans="2:24">
      <c r="B20" t="s">
        <v>251</v>
      </c>
      <c r="C20">
        <v>1054.1500000000001</v>
      </c>
      <c r="D20">
        <v>334</v>
      </c>
      <c r="E20">
        <v>5.4</v>
      </c>
      <c r="F20">
        <v>488</v>
      </c>
      <c r="G20">
        <v>15.4</v>
      </c>
      <c r="H20">
        <v>502</v>
      </c>
      <c r="I20">
        <v>15.5</v>
      </c>
      <c r="K20">
        <f t="shared" si="0"/>
        <v>154</v>
      </c>
      <c r="M20">
        <f t="shared" si="1"/>
        <v>0.46107784431137727</v>
      </c>
      <c r="O20" t="s">
        <v>251</v>
      </c>
      <c r="P20">
        <v>954.15</v>
      </c>
      <c r="Q20">
        <v>336</v>
      </c>
      <c r="R20">
        <f t="shared" si="2"/>
        <v>-5.9880239520958087E-3</v>
      </c>
      <c r="S20">
        <v>5.6</v>
      </c>
      <c r="T20">
        <v>484</v>
      </c>
      <c r="U20">
        <f t="shared" si="3"/>
        <v>8.1967213114754103E-3</v>
      </c>
      <c r="V20">
        <v>16.3</v>
      </c>
      <c r="W20">
        <v>494</v>
      </c>
      <c r="X20">
        <v>16.399999999999999</v>
      </c>
    </row>
    <row r="21" spans="2:24">
      <c r="B21" t="s">
        <v>254</v>
      </c>
      <c r="C21">
        <v>1020.15</v>
      </c>
      <c r="D21">
        <v>348</v>
      </c>
      <c r="E21">
        <v>5.5</v>
      </c>
      <c r="F21">
        <v>510</v>
      </c>
      <c r="G21">
        <v>15.8</v>
      </c>
      <c r="H21">
        <v>520</v>
      </c>
      <c r="I21">
        <v>15.7</v>
      </c>
      <c r="K21">
        <f t="shared" si="0"/>
        <v>162</v>
      </c>
      <c r="M21">
        <f t="shared" si="1"/>
        <v>0.46551724137931033</v>
      </c>
      <c r="O21" t="s">
        <v>254</v>
      </c>
      <c r="P21">
        <v>920.15</v>
      </c>
      <c r="Q21">
        <v>350</v>
      </c>
      <c r="R21">
        <f t="shared" si="2"/>
        <v>-5.7471264367816091E-3</v>
      </c>
      <c r="S21">
        <v>5.7</v>
      </c>
      <c r="T21">
        <v>502</v>
      </c>
      <c r="U21">
        <f t="shared" si="3"/>
        <v>1.5686274509803921E-2</v>
      </c>
      <c r="V21">
        <v>16.399999999999999</v>
      </c>
      <c r="W21">
        <v>516</v>
      </c>
      <c r="X21">
        <v>16.399999999999999</v>
      </c>
    </row>
    <row r="22" spans="2:24">
      <c r="B22" t="s">
        <v>257</v>
      </c>
      <c r="C22">
        <v>999.15</v>
      </c>
      <c r="D22">
        <v>366</v>
      </c>
      <c r="E22">
        <v>5.5</v>
      </c>
      <c r="F22">
        <v>530</v>
      </c>
      <c r="G22">
        <v>15.9</v>
      </c>
      <c r="H22">
        <v>546</v>
      </c>
      <c r="I22">
        <v>15.8</v>
      </c>
      <c r="K22">
        <f t="shared" si="0"/>
        <v>164</v>
      </c>
      <c r="M22">
        <f t="shared" si="1"/>
        <v>0.44808743169398907</v>
      </c>
      <c r="O22" t="s">
        <v>257</v>
      </c>
      <c r="P22">
        <v>899.15</v>
      </c>
      <c r="Q22">
        <v>366</v>
      </c>
      <c r="R22">
        <f t="shared" si="2"/>
        <v>0</v>
      </c>
      <c r="S22">
        <v>5.7</v>
      </c>
      <c r="T22">
        <v>526</v>
      </c>
      <c r="U22">
        <f t="shared" si="3"/>
        <v>7.5471698113207548E-3</v>
      </c>
      <c r="V22">
        <v>16.7</v>
      </c>
      <c r="W22">
        <v>542</v>
      </c>
      <c r="X22">
        <v>16.5</v>
      </c>
    </row>
    <row r="23" spans="2:24">
      <c r="R23">
        <f>AVERAGE(R3:R22)</f>
        <v>-3.855746189559711E-3</v>
      </c>
      <c r="U23">
        <f>AVERAGE(U3:U22)</f>
        <v>6.2741321302849252E-3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9128-E0C8-4D83-B85B-E665124C8518}">
  <dimension ref="A1:S103"/>
  <sheetViews>
    <sheetView topLeftCell="C13" workbookViewId="0">
      <selection activeCell="J3" sqref="J3"/>
    </sheetView>
  </sheetViews>
  <sheetFormatPr defaultRowHeight="14.25"/>
  <cols>
    <col min="2" max="2" width="10.375" bestFit="1" customWidth="1"/>
    <col min="8" max="8" width="11" customWidth="1"/>
    <col min="9" max="9" width="10.375" customWidth="1"/>
    <col min="11" max="11" width="8.75" bestFit="1" customWidth="1"/>
  </cols>
  <sheetData>
    <row r="1" spans="1:19">
      <c r="D1" t="s">
        <v>297</v>
      </c>
      <c r="E1">
        <v>12.416339000000001</v>
      </c>
      <c r="J1" t="s">
        <v>298</v>
      </c>
    </row>
    <row r="2" spans="1:19">
      <c r="D2" t="s">
        <v>299</v>
      </c>
      <c r="E2">
        <v>2.4067059999999998</v>
      </c>
      <c r="J2">
        <f>0.001</f>
        <v>1E-3</v>
      </c>
    </row>
    <row r="3" spans="1:19">
      <c r="A3" t="s">
        <v>300</v>
      </c>
      <c r="B3" t="s">
        <v>313</v>
      </c>
      <c r="C3" t="s">
        <v>314</v>
      </c>
      <c r="D3" t="s">
        <v>315</v>
      </c>
      <c r="E3" t="s">
        <v>316</v>
      </c>
      <c r="F3" t="s">
        <v>301</v>
      </c>
      <c r="G3" t="s">
        <v>302</v>
      </c>
      <c r="H3" t="s">
        <v>303</v>
      </c>
      <c r="I3" t="s">
        <v>304</v>
      </c>
      <c r="J3" t="s">
        <v>305</v>
      </c>
      <c r="K3" t="s">
        <v>306</v>
      </c>
      <c r="L3" t="s">
        <v>307</v>
      </c>
      <c r="M3" t="s">
        <v>308</v>
      </c>
      <c r="N3" t="s">
        <v>309</v>
      </c>
      <c r="O3" t="s">
        <v>310</v>
      </c>
      <c r="P3" t="s">
        <v>311</v>
      </c>
      <c r="Q3" t="s">
        <v>312</v>
      </c>
      <c r="R3" t="s">
        <v>318</v>
      </c>
      <c r="S3" t="s">
        <v>319</v>
      </c>
    </row>
    <row r="4" spans="1:19">
      <c r="A4">
        <v>0</v>
      </c>
      <c r="B4">
        <v>1.8783681983361404E-31</v>
      </c>
      <c r="C4">
        <v>8.7178378032945166E-21</v>
      </c>
      <c r="D4">
        <v>1.2734509901877513E-21</v>
      </c>
      <c r="F4">
        <v>1</v>
      </c>
      <c r="G4">
        <v>3.4514</v>
      </c>
      <c r="H4">
        <v>3.3052280000000001</v>
      </c>
      <c r="I4">
        <f t="shared" ref="I4:I35" si="0">IF(B4=0,100,-$M$4*$L$4*LN(B4))</f>
        <v>659387.10069204122</v>
      </c>
      <c r="J4">
        <f t="shared" ref="J4:J35" si="1">(I4-$K$4)*$J$2</f>
        <v>659.38003568202998</v>
      </c>
      <c r="K4">
        <f>AVERAGE(I82:I103)</f>
        <v>7.0650100111689236</v>
      </c>
      <c r="L4">
        <v>1121</v>
      </c>
      <c r="M4" s="45">
        <v>8.3140000000000001</v>
      </c>
      <c r="N4">
        <f t="shared" ref="N4:N35" si="2">($O$4*(1-EXP(-$P$4*(B4-$Q$4)))^2-$O$4)*0.0001</f>
        <v>1.6722689450603434</v>
      </c>
      <c r="O4">
        <v>10</v>
      </c>
      <c r="P4">
        <v>2</v>
      </c>
      <c r="Q4">
        <f>A22</f>
        <v>1.8677098563636301</v>
      </c>
    </row>
    <row r="5" spans="1:19">
      <c r="A5">
        <v>0.103761658686868</v>
      </c>
      <c r="B5">
        <v>1.8783681983361404E-29</v>
      </c>
      <c r="C5">
        <v>8.7178378032945154E-20</v>
      </c>
      <c r="D5">
        <v>1.2734509901877513E-20</v>
      </c>
      <c r="E5">
        <f t="shared" ref="E5:E68" si="3">$E$1*A5^-$E$2 + 1</f>
        <v>2899.0337885140079</v>
      </c>
      <c r="F5">
        <v>1</v>
      </c>
      <c r="G5">
        <v>3.4514</v>
      </c>
      <c r="H5">
        <v>3.3052280000000001</v>
      </c>
      <c r="I5">
        <f t="shared" si="0"/>
        <v>616466.94218965329</v>
      </c>
      <c r="J5">
        <f t="shared" si="1"/>
        <v>616.45987717964215</v>
      </c>
      <c r="N5">
        <f t="shared" si="2"/>
        <v>1.6722689450603434</v>
      </c>
    </row>
    <row r="6" spans="1:19">
      <c r="A6">
        <v>0.207523317373737</v>
      </c>
      <c r="B6">
        <v>1.8783681983361402E-27</v>
      </c>
      <c r="C6">
        <v>8.7178378032945164E-19</v>
      </c>
      <c r="D6">
        <v>1.2734509901877512E-19</v>
      </c>
      <c r="E6">
        <f t="shared" si="3"/>
        <v>547.52841661394609</v>
      </c>
      <c r="F6">
        <v>1</v>
      </c>
      <c r="G6">
        <v>3.4514</v>
      </c>
      <c r="H6">
        <v>3.3052280000000001</v>
      </c>
      <c r="I6">
        <f t="shared" si="0"/>
        <v>573546.78368726536</v>
      </c>
      <c r="J6">
        <f t="shared" si="1"/>
        <v>573.5397186772542</v>
      </c>
      <c r="N6">
        <f t="shared" si="2"/>
        <v>1.6722689450603434</v>
      </c>
    </row>
    <row r="7" spans="1:19">
      <c r="A7">
        <v>0.31128497606060601</v>
      </c>
      <c r="B7">
        <v>1.8783681983361404E-25</v>
      </c>
      <c r="C7">
        <v>8.7178378032945164E-18</v>
      </c>
      <c r="D7">
        <v>1.2734509901877512E-18</v>
      </c>
      <c r="E7">
        <f t="shared" si="3"/>
        <v>206.97421586544201</v>
      </c>
      <c r="F7">
        <v>1</v>
      </c>
      <c r="G7">
        <v>3.4514</v>
      </c>
      <c r="H7">
        <v>3.3052280000000001</v>
      </c>
      <c r="I7">
        <f t="shared" si="0"/>
        <v>530626.62518487743</v>
      </c>
      <c r="J7">
        <f t="shared" si="1"/>
        <v>530.61956017486625</v>
      </c>
      <c r="N7">
        <f t="shared" si="2"/>
        <v>1.6722689450603434</v>
      </c>
    </row>
    <row r="8" spans="1:19">
      <c r="A8">
        <v>0.415046634747474</v>
      </c>
      <c r="B8">
        <v>1.8783681983361403E-23</v>
      </c>
      <c r="C8">
        <v>8.7178378032945148E-17</v>
      </c>
      <c r="D8">
        <v>1.2734509901877511E-17</v>
      </c>
      <c r="E8">
        <f t="shared" si="3"/>
        <v>104.06757338385219</v>
      </c>
      <c r="F8">
        <v>1</v>
      </c>
      <c r="G8">
        <v>3.4514</v>
      </c>
      <c r="H8">
        <v>3.3052280000000001</v>
      </c>
      <c r="I8">
        <f t="shared" si="0"/>
        <v>487706.46668248961</v>
      </c>
      <c r="J8">
        <f t="shared" si="1"/>
        <v>487.69940167247842</v>
      </c>
      <c r="N8">
        <f t="shared" si="2"/>
        <v>1.6722689450603434</v>
      </c>
    </row>
    <row r="9" spans="1:19">
      <c r="A9">
        <v>0.51880829343434298</v>
      </c>
      <c r="B9">
        <v>1.8783681983361402E-21</v>
      </c>
      <c r="C9">
        <v>8.7178378032945144E-16</v>
      </c>
      <c r="D9">
        <v>1.273450990187751E-16</v>
      </c>
      <c r="E9">
        <f t="shared" si="3"/>
        <v>61.240440843413346</v>
      </c>
      <c r="F9">
        <v>1</v>
      </c>
      <c r="G9">
        <v>3.4514</v>
      </c>
      <c r="H9">
        <v>3.3052280000000001</v>
      </c>
      <c r="I9">
        <f t="shared" si="0"/>
        <v>444786.30818010168</v>
      </c>
      <c r="J9">
        <f t="shared" si="1"/>
        <v>444.77924317009047</v>
      </c>
      <c r="N9">
        <f t="shared" si="2"/>
        <v>1.6722689450603434</v>
      </c>
    </row>
    <row r="10" spans="1:19">
      <c r="A10">
        <v>0.62256995212121202</v>
      </c>
      <c r="B10">
        <v>1.8783681983361402E-19</v>
      </c>
      <c r="C10">
        <v>8.7178378032945144E-15</v>
      </c>
      <c r="D10">
        <v>1.2734509901877509E-15</v>
      </c>
      <c r="E10">
        <f t="shared" si="3"/>
        <v>39.843840436367763</v>
      </c>
      <c r="F10">
        <v>1</v>
      </c>
      <c r="G10">
        <v>3.4514</v>
      </c>
      <c r="H10">
        <v>3.3052280000000001</v>
      </c>
      <c r="I10">
        <f t="shared" si="0"/>
        <v>401866.14967771375</v>
      </c>
      <c r="J10">
        <f t="shared" si="1"/>
        <v>401.85908466770258</v>
      </c>
      <c r="N10">
        <f t="shared" si="2"/>
        <v>1.6722689450603434</v>
      </c>
    </row>
    <row r="11" spans="1:19">
      <c r="A11">
        <v>0.72633161080807995</v>
      </c>
      <c r="B11">
        <v>1.8783681983361404E-17</v>
      </c>
      <c r="C11">
        <v>8.7178378032945144E-14</v>
      </c>
      <c r="D11">
        <v>1.2734509901877508E-14</v>
      </c>
      <c r="E11">
        <f t="shared" si="3"/>
        <v>27.804080968626838</v>
      </c>
      <c r="F11">
        <v>1</v>
      </c>
      <c r="G11">
        <v>3.4514</v>
      </c>
      <c r="H11">
        <v>3.3052280000000001</v>
      </c>
      <c r="I11">
        <f t="shared" si="0"/>
        <v>358945.99117532594</v>
      </c>
      <c r="J11">
        <f t="shared" si="1"/>
        <v>358.93892616531474</v>
      </c>
      <c r="N11">
        <f t="shared" si="2"/>
        <v>1.6722689450603434</v>
      </c>
    </row>
    <row r="12" spans="1:19">
      <c r="A12">
        <v>0.83009326949494899</v>
      </c>
      <c r="B12">
        <v>1.8783681983361402E-15</v>
      </c>
      <c r="C12">
        <v>8.7178378032945149E-13</v>
      </c>
      <c r="D12">
        <v>1.2734509901877508E-13</v>
      </c>
      <c r="E12">
        <f t="shared" si="3"/>
        <v>20.437094870657912</v>
      </c>
      <c r="F12">
        <v>1</v>
      </c>
      <c r="G12">
        <v>3.4514</v>
      </c>
      <c r="H12">
        <v>3.3052280000000001</v>
      </c>
      <c r="I12">
        <f t="shared" si="0"/>
        <v>316025.83267293801</v>
      </c>
      <c r="J12">
        <f t="shared" si="1"/>
        <v>316.01876766292679</v>
      </c>
      <c r="N12">
        <f t="shared" si="2"/>
        <v>1.6722689450603314</v>
      </c>
    </row>
    <row r="13" spans="1:19">
      <c r="A13">
        <v>0.93385492818181803</v>
      </c>
      <c r="B13">
        <v>1.8783681983361404E-13</v>
      </c>
      <c r="C13">
        <v>8.717837803294514E-12</v>
      </c>
      <c r="D13">
        <v>1.2734509901877507E-12</v>
      </c>
      <c r="E13">
        <f t="shared" si="3"/>
        <v>15.639366100399515</v>
      </c>
      <c r="F13">
        <v>1</v>
      </c>
      <c r="G13">
        <v>3.4514</v>
      </c>
      <c r="H13">
        <v>3.3052280000000001</v>
      </c>
      <c r="I13">
        <f t="shared" si="0"/>
        <v>273105.67417055008</v>
      </c>
      <c r="J13">
        <f t="shared" si="1"/>
        <v>273.0986091605389</v>
      </c>
      <c r="N13">
        <f t="shared" si="2"/>
        <v>1.6722689450590551</v>
      </c>
    </row>
    <row r="14" spans="1:19">
      <c r="A14">
        <v>1.03761658686868</v>
      </c>
      <c r="B14">
        <v>1.8783681983361402E-11</v>
      </c>
      <c r="C14">
        <v>8.7178378032945128E-11</v>
      </c>
      <c r="D14">
        <v>1.2734509901877506E-11</v>
      </c>
      <c r="E14">
        <f t="shared" si="3"/>
        <v>12.36049996406676</v>
      </c>
      <c r="F14">
        <v>1</v>
      </c>
      <c r="G14">
        <v>3.4514</v>
      </c>
      <c r="H14">
        <v>3.3052280000000001</v>
      </c>
      <c r="I14">
        <f t="shared" si="0"/>
        <v>230185.5156681622</v>
      </c>
      <c r="J14">
        <f t="shared" si="1"/>
        <v>230.17845065815104</v>
      </c>
      <c r="N14">
        <f t="shared" si="2"/>
        <v>1.6722689449315498</v>
      </c>
    </row>
    <row r="15" spans="1:19">
      <c r="A15">
        <v>1.1413782455555499</v>
      </c>
      <c r="B15">
        <v>1.8783681983361405E-9</v>
      </c>
      <c r="C15">
        <v>8.717837803294513E-10</v>
      </c>
      <c r="D15">
        <v>1.2734509901877506E-10</v>
      </c>
      <c r="E15">
        <f t="shared" si="3"/>
        <v>10.031864654709461</v>
      </c>
      <c r="F15">
        <v>1</v>
      </c>
      <c r="G15">
        <v>3.4514</v>
      </c>
      <c r="H15">
        <v>3.3052280000000001</v>
      </c>
      <c r="I15">
        <f t="shared" si="0"/>
        <v>187265.35716577433</v>
      </c>
      <c r="J15">
        <f t="shared" si="1"/>
        <v>187.25829215576317</v>
      </c>
      <c r="N15">
        <f t="shared" si="2"/>
        <v>1.6722689321809399</v>
      </c>
    </row>
    <row r="16" spans="1:19">
      <c r="A16">
        <v>1.24513990424242</v>
      </c>
      <c r="B16">
        <v>1.8783681983361403E-7</v>
      </c>
      <c r="C16">
        <v>8.7178378032945118E-9</v>
      </c>
      <c r="D16">
        <v>1.2734509901877506E-9</v>
      </c>
      <c r="E16">
        <f t="shared" si="3"/>
        <v>8.3254020339696417</v>
      </c>
      <c r="F16">
        <v>1</v>
      </c>
      <c r="G16">
        <v>3.4514</v>
      </c>
      <c r="H16">
        <v>3.3052280000000001</v>
      </c>
      <c r="I16">
        <f t="shared" si="0"/>
        <v>144345.1986633864</v>
      </c>
      <c r="J16">
        <f t="shared" si="1"/>
        <v>144.33813365337522</v>
      </c>
      <c r="N16">
        <f t="shared" si="2"/>
        <v>1.6722676571204445</v>
      </c>
    </row>
    <row r="17" spans="1:19">
      <c r="A17">
        <v>1.34890156292929</v>
      </c>
      <c r="B17">
        <v>1.8783681983361402E-5</v>
      </c>
      <c r="C17">
        <v>8.7178378032945118E-8</v>
      </c>
      <c r="D17">
        <v>1.2734509901877504E-8</v>
      </c>
      <c r="E17">
        <f t="shared" si="3"/>
        <v>7.0418410419163253</v>
      </c>
      <c r="F17">
        <v>1</v>
      </c>
      <c r="G17">
        <v>3.4514</v>
      </c>
      <c r="H17">
        <v>3.3052280000000001</v>
      </c>
      <c r="I17">
        <f t="shared" si="0"/>
        <v>101425.04016099851</v>
      </c>
      <c r="J17">
        <f t="shared" si="1"/>
        <v>101.41797515098735</v>
      </c>
      <c r="N17">
        <f t="shared" si="2"/>
        <v>1.6721401559189748</v>
      </c>
    </row>
    <row r="18" spans="1:19">
      <c r="A18">
        <v>1.4526632216161599</v>
      </c>
      <c r="B18">
        <v>1.8783681983361401E-3</v>
      </c>
      <c r="C18">
        <v>8.7178378032945112E-7</v>
      </c>
      <c r="D18">
        <v>1.2734509901877506E-7</v>
      </c>
      <c r="E18">
        <f t="shared" si="3"/>
        <v>6.0548727170249128</v>
      </c>
      <c r="F18">
        <v>1</v>
      </c>
      <c r="G18">
        <v>3.4514</v>
      </c>
      <c r="H18">
        <v>3.3052280000000001</v>
      </c>
      <c r="I18">
        <f t="shared" si="0"/>
        <v>58504.881658610611</v>
      </c>
      <c r="J18">
        <f t="shared" si="1"/>
        <v>58.497816648599446</v>
      </c>
      <c r="N18">
        <f t="shared" si="2"/>
        <v>1.6594383939502375</v>
      </c>
      <c r="R18">
        <f t="shared" ref="R18:R26" si="4">$B$22</f>
        <v>3.7153550942304205</v>
      </c>
    </row>
    <row r="19" spans="1:19">
      <c r="A19">
        <v>1.5564248803030301</v>
      </c>
      <c r="B19">
        <v>0.187836819833614</v>
      </c>
      <c r="C19">
        <v>8.7178378032945115E-6</v>
      </c>
      <c r="D19">
        <v>1.2734509901877504E-6</v>
      </c>
      <c r="E19">
        <f t="shared" si="3"/>
        <v>5.2815158385275698</v>
      </c>
      <c r="F19">
        <v>1</v>
      </c>
      <c r="G19">
        <v>3.4514</v>
      </c>
      <c r="H19">
        <v>3.3052280000000001</v>
      </c>
      <c r="I19">
        <f t="shared" si="0"/>
        <v>15584.723156222713</v>
      </c>
      <c r="J19">
        <f t="shared" si="1"/>
        <v>15.577658146211546</v>
      </c>
      <c r="N19">
        <f t="shared" si="2"/>
        <v>0.7708329372445466</v>
      </c>
      <c r="R19">
        <f t="shared" si="4"/>
        <v>3.7153550942304205</v>
      </c>
    </row>
    <row r="20" spans="1:19">
      <c r="A20">
        <v>1.66018653898989</v>
      </c>
      <c r="B20">
        <v>1.3828736156330901</v>
      </c>
      <c r="C20">
        <v>8.7178378032945101E-5</v>
      </c>
      <c r="D20">
        <v>1.2734509901877503E-5</v>
      </c>
      <c r="E20">
        <f t="shared" si="3"/>
        <v>4.6655627430358466</v>
      </c>
      <c r="F20">
        <v>1</v>
      </c>
      <c r="G20">
        <v>3.4514</v>
      </c>
      <c r="H20">
        <v>3.3052280000000001</v>
      </c>
      <c r="I20">
        <f t="shared" si="0"/>
        <v>-3021.2034062342759</v>
      </c>
      <c r="J20">
        <f t="shared" si="1"/>
        <v>-3.028268416245445</v>
      </c>
      <c r="N20">
        <f t="shared" si="2"/>
        <v>1.6800329731028853E-3</v>
      </c>
      <c r="R20">
        <f t="shared" si="4"/>
        <v>3.7153550942304205</v>
      </c>
    </row>
    <row r="21" spans="1:19">
      <c r="A21">
        <v>1.7639481976767599</v>
      </c>
      <c r="B21">
        <v>2.9998430702204799</v>
      </c>
      <c r="C21">
        <v>8.7178378032945101E-4</v>
      </c>
      <c r="D21">
        <v>1.2734509901877504E-4</v>
      </c>
      <c r="E21">
        <f t="shared" si="3"/>
        <v>4.1679231886303265</v>
      </c>
      <c r="F21">
        <v>1</v>
      </c>
      <c r="G21">
        <v>3.4514</v>
      </c>
      <c r="H21">
        <v>3.3052280000000001</v>
      </c>
      <c r="I21">
        <f t="shared" si="0"/>
        <v>-10238.572397760143</v>
      </c>
      <c r="J21">
        <f t="shared" si="1"/>
        <v>-10.245637407771312</v>
      </c>
      <c r="N21">
        <f t="shared" si="2"/>
        <v>-1.9701595414920608E-4</v>
      </c>
      <c r="R21">
        <f t="shared" si="4"/>
        <v>3.7153550942304205</v>
      </c>
    </row>
    <row r="22" spans="1:19">
      <c r="A22">
        <v>1.8677098563636301</v>
      </c>
      <c r="B22">
        <v>3.7153550942304205</v>
      </c>
      <c r="C22">
        <v>8.7178378032945099E-3</v>
      </c>
      <c r="D22">
        <v>1.2734509901877503E-3</v>
      </c>
      <c r="E22">
        <f t="shared" si="3"/>
        <v>3.7607785688330018</v>
      </c>
      <c r="F22">
        <v>0.81933469577646101</v>
      </c>
      <c r="G22">
        <v>3.4514</v>
      </c>
      <c r="H22">
        <v>3.3052280000000001</v>
      </c>
      <c r="I22">
        <f t="shared" si="0"/>
        <v>-12232.252205177067</v>
      </c>
      <c r="J22">
        <f t="shared" si="1"/>
        <v>-12.239317215188235</v>
      </c>
      <c r="N22">
        <f t="shared" si="2"/>
        <v>-4.9063436876057589E-5</v>
      </c>
      <c r="R22">
        <f t="shared" si="4"/>
        <v>3.7153550942304205</v>
      </c>
    </row>
    <row r="23" spans="1:19">
      <c r="A23">
        <v>1.9714715150505</v>
      </c>
      <c r="B23">
        <v>3.2712157110736904</v>
      </c>
      <c r="C23">
        <v>2.6456014134457601E-2</v>
      </c>
      <c r="D23">
        <v>1.2734509901877501E-2</v>
      </c>
      <c r="E23">
        <f t="shared" si="3"/>
        <v>3.4239266898087677</v>
      </c>
      <c r="F23">
        <v>0.76597785570501298</v>
      </c>
      <c r="G23">
        <v>3.4514</v>
      </c>
      <c r="H23">
        <v>3.3052280000000001</v>
      </c>
      <c r="I23">
        <f t="shared" si="0"/>
        <v>-11045.699866894567</v>
      </c>
      <c r="J23">
        <f t="shared" si="1"/>
        <v>-11.052764876905735</v>
      </c>
      <c r="N23">
        <f t="shared" si="2"/>
        <v>-1.1712397403221006E-4</v>
      </c>
      <c r="R23">
        <f t="shared" si="4"/>
        <v>3.7153550942304205</v>
      </c>
    </row>
    <row r="24" spans="1:19">
      <c r="A24">
        <v>2.0752331737373702</v>
      </c>
      <c r="B24">
        <v>2.4217172177787498</v>
      </c>
      <c r="C24">
        <v>8.0958179069013703E-2</v>
      </c>
      <c r="D24">
        <v>0.127345099018775</v>
      </c>
      <c r="E24">
        <f t="shared" si="3"/>
        <v>3.1424305271774737</v>
      </c>
      <c r="F24">
        <v>0.76597785570501298</v>
      </c>
      <c r="G24">
        <v>3.4514</v>
      </c>
      <c r="H24">
        <v>3.3052280000000001</v>
      </c>
      <c r="I24">
        <f t="shared" si="0"/>
        <v>-8243.3192394289799</v>
      </c>
      <c r="J24">
        <f t="shared" si="1"/>
        <v>-8.2503842494401489</v>
      </c>
      <c r="N24">
        <f t="shared" si="2"/>
        <v>-5.5138654921727784E-4</v>
      </c>
      <c r="R24">
        <f t="shared" si="4"/>
        <v>3.7153550942304205</v>
      </c>
    </row>
    <row r="25" spans="1:19">
      <c r="A25">
        <v>2.1789948324242401</v>
      </c>
      <c r="B25">
        <v>1.7235302012484801</v>
      </c>
      <c r="C25">
        <v>0.21701882854437099</v>
      </c>
      <c r="D25">
        <v>0.27890909691209698</v>
      </c>
      <c r="E25">
        <f t="shared" si="3"/>
        <v>2.9050673533857343</v>
      </c>
      <c r="F25">
        <v>0.76597785570501298</v>
      </c>
      <c r="G25">
        <v>3.4514</v>
      </c>
      <c r="H25">
        <v>3.3052280000000001</v>
      </c>
      <c r="I25">
        <f t="shared" si="0"/>
        <v>-5073.5682856221156</v>
      </c>
      <c r="J25">
        <f t="shared" si="1"/>
        <v>-5.0806332956332847</v>
      </c>
      <c r="N25">
        <f t="shared" si="2"/>
        <v>-8.8828587992951505E-4</v>
      </c>
      <c r="R25">
        <f t="shared" si="4"/>
        <v>3.7153550942304205</v>
      </c>
    </row>
    <row r="26" spans="1:19">
      <c r="A26">
        <v>2.28275649111111</v>
      </c>
      <c r="B26">
        <v>1.2313263313845999</v>
      </c>
      <c r="C26">
        <v>0.45830777270171696</v>
      </c>
      <c r="D26">
        <v>0.53295010223291395</v>
      </c>
      <c r="E26">
        <f t="shared" si="3"/>
        <v>2.7032826561145433</v>
      </c>
      <c r="F26">
        <v>0.76597785570501298</v>
      </c>
      <c r="G26">
        <v>3.4514</v>
      </c>
      <c r="H26">
        <v>3.3052280000000001</v>
      </c>
      <c r="I26">
        <f t="shared" si="0"/>
        <v>-1939.4153211071316</v>
      </c>
      <c r="J26">
        <f t="shared" si="1"/>
        <v>-1.9464803311183005</v>
      </c>
      <c r="N26">
        <f t="shared" si="2"/>
        <v>5.6085975333822575E-3</v>
      </c>
      <c r="R26">
        <f t="shared" si="4"/>
        <v>3.7153550942304205</v>
      </c>
    </row>
    <row r="27" spans="1:19">
      <c r="A27">
        <v>2.3865181497979702</v>
      </c>
      <c r="B27">
        <v>0.92388576496757302</v>
      </c>
      <c r="C27">
        <v>0.81734548032957</v>
      </c>
      <c r="D27">
        <v>0.83174246049337097</v>
      </c>
      <c r="E27">
        <f t="shared" si="3"/>
        <v>2.5304702477057992</v>
      </c>
      <c r="F27">
        <v>0.76597785570501298</v>
      </c>
      <c r="G27">
        <v>3.4514</v>
      </c>
      <c r="H27">
        <v>3.3052280000000001</v>
      </c>
      <c r="I27">
        <f t="shared" si="0"/>
        <v>737.83452944741816</v>
      </c>
      <c r="J27">
        <f t="shared" si="1"/>
        <v>0.73076951943624924</v>
      </c>
      <c r="N27">
        <f t="shared" si="2"/>
        <v>3.0402792176492707E-2</v>
      </c>
    </row>
    <row r="28" spans="1:19">
      <c r="A28">
        <v>2.4902798084848401</v>
      </c>
      <c r="B28">
        <v>0.72600353796762296</v>
      </c>
      <c r="C28">
        <v>1.1463784940822701</v>
      </c>
      <c r="D28">
        <v>1.14517272186984</v>
      </c>
      <c r="E28">
        <f t="shared" si="3"/>
        <v>2.3814678043277433</v>
      </c>
      <c r="F28">
        <v>0.76597785570501298</v>
      </c>
      <c r="G28">
        <v>3.4514</v>
      </c>
      <c r="H28">
        <v>3.3052280000000001</v>
      </c>
      <c r="I28">
        <f t="shared" si="0"/>
        <v>2984.2657223172105</v>
      </c>
      <c r="J28">
        <f t="shared" si="1"/>
        <v>2.9772007123060416</v>
      </c>
      <c r="N28">
        <f t="shared" si="2"/>
        <v>7.6617891324084655E-2</v>
      </c>
      <c r="S28">
        <f t="shared" ref="S28:S36" si="5">$B$32</f>
        <v>0.48035278300000001</v>
      </c>
    </row>
    <row r="29" spans="1:19">
      <c r="A29">
        <v>2.59404146717171</v>
      </c>
      <c r="B29">
        <v>0.59467143935296995</v>
      </c>
      <c r="C29">
        <v>1.5028667407519301</v>
      </c>
      <c r="D29">
        <v>1.4234405997026001</v>
      </c>
      <c r="E29">
        <f t="shared" si="3"/>
        <v>2.252197516603009</v>
      </c>
      <c r="F29">
        <v>0.76597785570501298</v>
      </c>
      <c r="G29">
        <v>3.4514</v>
      </c>
      <c r="H29">
        <v>3.3052280000000001</v>
      </c>
      <c r="I29">
        <f t="shared" si="0"/>
        <v>4844.0317332370578</v>
      </c>
      <c r="J29">
        <f t="shared" si="1"/>
        <v>4.8369667232258893</v>
      </c>
      <c r="N29">
        <f t="shared" si="2"/>
        <v>0.13722605714845432</v>
      </c>
      <c r="S29">
        <f t="shared" si="5"/>
        <v>0.48035278300000001</v>
      </c>
    </row>
    <row r="30" spans="1:19">
      <c r="A30">
        <v>2.69780312585858</v>
      </c>
      <c r="B30">
        <v>0.52255645164884801</v>
      </c>
      <c r="C30">
        <v>1.6953930873493199</v>
      </c>
      <c r="D30">
        <v>1.5872930962427003</v>
      </c>
      <c r="E30">
        <f t="shared" si="3"/>
        <v>2.1394062523214652</v>
      </c>
      <c r="F30">
        <v>0.76597785570501298</v>
      </c>
      <c r="G30">
        <v>3.4514</v>
      </c>
      <c r="H30">
        <v>3.3052280000000001</v>
      </c>
      <c r="I30">
        <f t="shared" si="0"/>
        <v>6048.8835648353897</v>
      </c>
      <c r="J30">
        <f t="shared" si="1"/>
        <v>6.0418185548242214</v>
      </c>
      <c r="N30">
        <f t="shared" si="2"/>
        <v>0.18768309238992947</v>
      </c>
      <c r="S30">
        <f t="shared" si="5"/>
        <v>0.48035278300000001</v>
      </c>
    </row>
    <row r="31" spans="1:19">
      <c r="A31">
        <v>2.8015647845454499</v>
      </c>
      <c r="B31">
        <v>0.48035278300000001</v>
      </c>
      <c r="C31">
        <v>1.78052340042459</v>
      </c>
      <c r="D31">
        <v>1.6850439409163602</v>
      </c>
      <c r="E31">
        <f t="shared" si="3"/>
        <v>2.0404750852967517</v>
      </c>
      <c r="F31">
        <v>0.76597785570501298</v>
      </c>
      <c r="G31">
        <v>3.4514</v>
      </c>
      <c r="H31">
        <v>3.3052280000000001</v>
      </c>
      <c r="I31">
        <f t="shared" si="0"/>
        <v>6833.7409583971221</v>
      </c>
      <c r="J31">
        <f t="shared" si="1"/>
        <v>6.8266759483859536</v>
      </c>
      <c r="N31">
        <f t="shared" si="2"/>
        <v>0.22502244762844617</v>
      </c>
      <c r="S31">
        <f t="shared" si="5"/>
        <v>0.48035278300000001</v>
      </c>
    </row>
    <row r="32" spans="1:19">
      <c r="A32">
        <v>2.9053264432323198</v>
      </c>
      <c r="B32">
        <v>0.48035278300000001</v>
      </c>
      <c r="C32">
        <v>1.7439786200463701</v>
      </c>
      <c r="D32">
        <v>1.6676957584269501</v>
      </c>
      <c r="E32">
        <f t="shared" si="3"/>
        <v>1.9532779062721892</v>
      </c>
      <c r="F32">
        <v>0.76597785570501298</v>
      </c>
      <c r="G32">
        <v>3.4514</v>
      </c>
      <c r="H32">
        <v>3.3052280000000001</v>
      </c>
      <c r="I32">
        <f t="shared" si="0"/>
        <v>6833.7409583971221</v>
      </c>
      <c r="J32">
        <f t="shared" si="1"/>
        <v>6.8266759483859536</v>
      </c>
      <c r="N32">
        <f t="shared" si="2"/>
        <v>0.22502244762844617</v>
      </c>
      <c r="S32">
        <f t="shared" si="5"/>
        <v>0.48035278300000001</v>
      </c>
    </row>
    <row r="33" spans="1:19">
      <c r="A33">
        <v>3.0090881019191902</v>
      </c>
      <c r="B33">
        <v>0.48035278300000001</v>
      </c>
      <c r="C33">
        <v>1.6622881598260197</v>
      </c>
      <c r="D33">
        <v>1.61045737143434</v>
      </c>
      <c r="E33">
        <f t="shared" si="3"/>
        <v>1.8760752448928506</v>
      </c>
      <c r="F33">
        <v>0.76597785570501298</v>
      </c>
      <c r="G33">
        <v>3.4514</v>
      </c>
      <c r="H33">
        <v>3.3052280000000001</v>
      </c>
      <c r="I33">
        <f t="shared" si="0"/>
        <v>6833.7409583971221</v>
      </c>
      <c r="J33">
        <f t="shared" si="1"/>
        <v>6.8266759483859536</v>
      </c>
      <c r="N33">
        <f t="shared" si="2"/>
        <v>0.22502244762844617</v>
      </c>
      <c r="S33">
        <f t="shared" si="5"/>
        <v>0.48035278300000001</v>
      </c>
    </row>
    <row r="34" spans="1:19">
      <c r="A34">
        <v>3.1128497606060601</v>
      </c>
      <c r="B34">
        <v>0.50741843888767202</v>
      </c>
      <c r="C34">
        <v>1.54056218736602</v>
      </c>
      <c r="D34">
        <v>1.5065098613075301</v>
      </c>
      <c r="E34">
        <f t="shared" si="3"/>
        <v>1.8074336749323656</v>
      </c>
      <c r="F34">
        <v>0.76597785570501298</v>
      </c>
      <c r="G34">
        <v>3.4514</v>
      </c>
      <c r="H34">
        <v>3.3052280000000001</v>
      </c>
      <c r="I34">
        <f t="shared" si="0"/>
        <v>6322.8637358924107</v>
      </c>
      <c r="J34">
        <f t="shared" si="1"/>
        <v>6.3157987258812422</v>
      </c>
      <c r="N34">
        <f t="shared" si="2"/>
        <v>0.20033261470778496</v>
      </c>
      <c r="S34">
        <f t="shared" si="5"/>
        <v>0.48035278300000001</v>
      </c>
    </row>
    <row r="35" spans="1:19">
      <c r="A35">
        <v>3.2166114192929198</v>
      </c>
      <c r="B35">
        <v>0.56553332430129699</v>
      </c>
      <c r="C35">
        <v>1.3819062194716001</v>
      </c>
      <c r="D35">
        <v>1.3984066246765601</v>
      </c>
      <c r="E35">
        <f t="shared" si="3"/>
        <v>1.7461640275371693</v>
      </c>
      <c r="F35">
        <v>0.76597785570501298</v>
      </c>
      <c r="G35">
        <v>3.4514</v>
      </c>
      <c r="H35">
        <v>3.3052280000000001</v>
      </c>
      <c r="I35">
        <f t="shared" si="0"/>
        <v>5312.2666243098201</v>
      </c>
      <c r="J35">
        <f t="shared" si="1"/>
        <v>5.3052016142986513</v>
      </c>
      <c r="N35">
        <f t="shared" si="2"/>
        <v>0.15581236256001266</v>
      </c>
      <c r="S35">
        <f t="shared" si="5"/>
        <v>0.48035278300000001</v>
      </c>
    </row>
    <row r="36" spans="1:19">
      <c r="A36">
        <v>3.3203730779797902</v>
      </c>
      <c r="B36">
        <v>0.62364820971492096</v>
      </c>
      <c r="C36">
        <v>1.26009687958145</v>
      </c>
      <c r="D36">
        <v>1.3042605852448099</v>
      </c>
      <c r="E36">
        <f t="shared" si="3"/>
        <v>1.6912735834517965</v>
      </c>
      <c r="F36">
        <v>0.76597785570501298</v>
      </c>
      <c r="G36">
        <v>3.4514</v>
      </c>
      <c r="H36">
        <v>3.3052280000000001</v>
      </c>
      <c r="I36">
        <f t="shared" ref="I36:I67" si="6">IF(B36=0,100,-$M$4*$L$4*LN(B36))</f>
        <v>4400.6107191713536</v>
      </c>
      <c r="J36">
        <f t="shared" ref="J36:J67" si="7">(I36-$K$4)*$J$2</f>
        <v>4.3935457091601853</v>
      </c>
      <c r="N36">
        <f t="shared" ref="N36:N67" si="8">($O$4*(1-EXP(-$P$4*(B36-$Q$4)))^2-$O$4)*0.0001</f>
        <v>0.12085205586922571</v>
      </c>
      <c r="S36">
        <f t="shared" si="5"/>
        <v>0.48035278300000001</v>
      </c>
    </row>
    <row r="37" spans="1:19">
      <c r="A37">
        <v>3.4241347366666601</v>
      </c>
      <c r="B37">
        <v>0.68176309512854605</v>
      </c>
      <c r="C37">
        <v>1.1694841901706701</v>
      </c>
      <c r="D37">
        <v>1.2190425071297399</v>
      </c>
      <c r="E37">
        <f t="shared" si="3"/>
        <v>1.6419287612966369</v>
      </c>
      <c r="F37">
        <v>0.76597785570501298</v>
      </c>
      <c r="G37">
        <v>3.4514</v>
      </c>
      <c r="H37">
        <v>3.3052280000000001</v>
      </c>
      <c r="I37">
        <f t="shared" si="6"/>
        <v>3570.2385213319121</v>
      </c>
      <c r="J37">
        <f t="shared" si="7"/>
        <v>3.5631735113207434</v>
      </c>
      <c r="N37">
        <f t="shared" si="8"/>
        <v>9.3433056320028698E-2</v>
      </c>
    </row>
    <row r="38" spans="1:19">
      <c r="A38">
        <v>3.5278963953535301</v>
      </c>
      <c r="B38">
        <v>0.75236089482964807</v>
      </c>
      <c r="C38">
        <v>1.08735902858097</v>
      </c>
      <c r="D38">
        <v>1.14498287820915</v>
      </c>
      <c r="E38">
        <f t="shared" si="3"/>
        <v>1.5974257619420351</v>
      </c>
      <c r="F38">
        <v>0.76597785570501298</v>
      </c>
      <c r="G38">
        <v>3.4514</v>
      </c>
      <c r="H38">
        <v>3.3052280000000001</v>
      </c>
      <c r="I38">
        <f t="shared" si="6"/>
        <v>2651.9032342955306</v>
      </c>
      <c r="J38">
        <f t="shared" si="7"/>
        <v>2.6448382242843618</v>
      </c>
      <c r="N38">
        <f t="shared" si="8"/>
        <v>6.7995598774382437E-2</v>
      </c>
    </row>
    <row r="39" spans="1:19">
      <c r="A39">
        <v>3.6316580540404</v>
      </c>
      <c r="B39">
        <v>0.85176225359289504</v>
      </c>
      <c r="C39">
        <v>1.0207411583756201</v>
      </c>
      <c r="D39">
        <v>1.0740659442924201</v>
      </c>
      <c r="E39">
        <f t="shared" si="3"/>
        <v>1.5571672974801978</v>
      </c>
      <c r="F39">
        <v>0.30374862307016998</v>
      </c>
      <c r="G39">
        <v>3.4514</v>
      </c>
      <c r="H39">
        <v>3.3052280000000001</v>
      </c>
      <c r="I39">
        <f t="shared" si="6"/>
        <v>1495.3728704351399</v>
      </c>
      <c r="J39">
        <f t="shared" si="7"/>
        <v>1.488307860423971</v>
      </c>
      <c r="N39">
        <f t="shared" si="8"/>
        <v>4.2937413941146668E-2</v>
      </c>
    </row>
    <row r="40" spans="1:19">
      <c r="A40">
        <v>3.7354197127272699</v>
      </c>
      <c r="B40">
        <v>0.96235232680888694</v>
      </c>
      <c r="C40">
        <v>0.95776504249364791</v>
      </c>
      <c r="D40">
        <v>0.99973622159991016</v>
      </c>
      <c r="E40">
        <f t="shared" si="3"/>
        <v>1.5206440124425527</v>
      </c>
      <c r="F40">
        <v>0.13679561687706901</v>
      </c>
      <c r="G40">
        <v>3.4514</v>
      </c>
      <c r="H40">
        <v>3.3052280000000001</v>
      </c>
      <c r="I40">
        <f t="shared" si="6"/>
        <v>357.65151971284178</v>
      </c>
      <c r="J40">
        <f t="shared" si="7"/>
        <v>0.35058650970167288</v>
      </c>
      <c r="N40">
        <f t="shared" si="8"/>
        <v>2.5161366506629805E-2</v>
      </c>
    </row>
    <row r="41" spans="1:19">
      <c r="A41">
        <v>3.8391813714141398</v>
      </c>
      <c r="B41">
        <v>1.07312850158283</v>
      </c>
      <c r="C41">
        <v>0.89283737032769095</v>
      </c>
      <c r="D41">
        <v>0.92813456845563402</v>
      </c>
      <c r="E41">
        <f t="shared" si="3"/>
        <v>1.4874195519498707</v>
      </c>
      <c r="F41">
        <v>0.13679561687706901</v>
      </c>
      <c r="G41">
        <v>3.4514</v>
      </c>
      <c r="H41">
        <v>3.3052280000000001</v>
      </c>
      <c r="I41">
        <f t="shared" si="6"/>
        <v>-657.78854631296178</v>
      </c>
      <c r="J41">
        <f t="shared" si="7"/>
        <v>-0.66485355632413079</v>
      </c>
      <c r="N41">
        <f t="shared" si="8"/>
        <v>1.4207229446498765E-2</v>
      </c>
    </row>
    <row r="42" spans="1:19">
      <c r="A42">
        <v>3.942943030101</v>
      </c>
      <c r="B42">
        <v>1.18390467635678</v>
      </c>
      <c r="C42">
        <v>0.83389063590826784</v>
      </c>
      <c r="D42">
        <v>0.86088244427519611</v>
      </c>
      <c r="E42">
        <f t="shared" si="3"/>
        <v>1.4571184853054318</v>
      </c>
      <c r="F42">
        <v>0.13679561687706901</v>
      </c>
      <c r="G42">
        <v>3.4514</v>
      </c>
      <c r="H42">
        <v>3.3052280000000001</v>
      </c>
      <c r="I42">
        <f t="shared" si="6"/>
        <v>-1573.3829650579785</v>
      </c>
      <c r="J42">
        <f t="shared" si="7"/>
        <v>-1.5804479750691474</v>
      </c>
      <c r="N42">
        <f t="shared" si="8"/>
        <v>7.5612293476787773E-3</v>
      </c>
    </row>
    <row r="43" spans="1:19">
      <c r="A43">
        <v>4.0467046887878704</v>
      </c>
      <c r="B43">
        <v>1.27306124594298</v>
      </c>
      <c r="C43">
        <v>0.79118978875372603</v>
      </c>
      <c r="D43">
        <v>0.79577746396813298</v>
      </c>
      <c r="E43">
        <f t="shared" si="3"/>
        <v>1.4294164808997925</v>
      </c>
      <c r="F43">
        <v>0.13679561687706901</v>
      </c>
      <c r="G43">
        <v>3.4514</v>
      </c>
      <c r="H43">
        <v>3.3052280000000001</v>
      </c>
      <c r="I43">
        <f t="shared" si="6"/>
        <v>-2250.074238314176</v>
      </c>
      <c r="J43">
        <f t="shared" si="7"/>
        <v>-2.2571392483253447</v>
      </c>
      <c r="N43">
        <f t="shared" si="8"/>
        <v>4.2201827573554061E-3</v>
      </c>
    </row>
    <row r="44" spans="1:19">
      <c r="A44">
        <v>4.1504663474747403</v>
      </c>
      <c r="B44">
        <v>1.2964946677315701</v>
      </c>
      <c r="C44">
        <v>0.75370061223782803</v>
      </c>
      <c r="D44">
        <v>0.75416999266241591</v>
      </c>
      <c r="E44">
        <f t="shared" si="3"/>
        <v>1.4040322677963286</v>
      </c>
      <c r="F44">
        <v>0.13679561687706901</v>
      </c>
      <c r="G44">
        <v>3.4514</v>
      </c>
      <c r="H44">
        <v>3.3052280000000001</v>
      </c>
      <c r="I44">
        <f t="shared" si="6"/>
        <v>-2420.0689087610499</v>
      </c>
      <c r="J44">
        <f t="shared" si="7"/>
        <v>-2.4271339187722187</v>
      </c>
      <c r="N44">
        <f t="shared" si="8"/>
        <v>3.55556446913456E-3</v>
      </c>
    </row>
    <row r="45" spans="1:19">
      <c r="A45">
        <v>4.2542280061616102</v>
      </c>
      <c r="B45">
        <v>1.3199280895201599</v>
      </c>
      <c r="C45">
        <v>0.72387625759867402</v>
      </c>
      <c r="D45">
        <v>0.721730374528888</v>
      </c>
      <c r="E45">
        <f t="shared" si="3"/>
        <v>1.3807210240867278</v>
      </c>
      <c r="F45">
        <v>0.13679561687706901</v>
      </c>
      <c r="G45">
        <v>3.4514</v>
      </c>
      <c r="H45">
        <v>3.3052280000000001</v>
      </c>
      <c r="I45">
        <f t="shared" si="6"/>
        <v>-2587.0183742321301</v>
      </c>
      <c r="J45">
        <f t="shared" si="7"/>
        <v>-2.5940833842432989</v>
      </c>
      <c r="N45">
        <f t="shared" si="8"/>
        <v>2.9635540526093181E-3</v>
      </c>
    </row>
    <row r="46" spans="1:19">
      <c r="A46">
        <v>4.3579896648484802</v>
      </c>
      <c r="B46">
        <v>1.34336151130874</v>
      </c>
      <c r="C46">
        <v>0.70327145338084096</v>
      </c>
      <c r="D46">
        <v>0.70483651240121004</v>
      </c>
      <c r="E46">
        <f t="shared" si="3"/>
        <v>1.3592689113271896</v>
      </c>
      <c r="F46">
        <v>0.13679561687706901</v>
      </c>
      <c r="G46">
        <v>3.4514</v>
      </c>
      <c r="H46">
        <v>3.3052280000000001</v>
      </c>
      <c r="I46">
        <f t="shared" si="6"/>
        <v>-2751.0298182610286</v>
      </c>
      <c r="J46">
        <f t="shared" si="7"/>
        <v>-2.7580948282721973</v>
      </c>
      <c r="N46">
        <f t="shared" si="8"/>
        <v>2.4370532526967665E-3</v>
      </c>
    </row>
    <row r="47" spans="1:19">
      <c r="A47">
        <v>4.4617513235353501</v>
      </c>
      <c r="B47">
        <v>1.32278063641877</v>
      </c>
      <c r="C47">
        <v>0.71967484847538699</v>
      </c>
      <c r="D47">
        <v>0.72153521151397304</v>
      </c>
      <c r="E47">
        <f t="shared" si="3"/>
        <v>1.3394885347381957</v>
      </c>
      <c r="F47">
        <v>0.13679561687706901</v>
      </c>
      <c r="G47">
        <v>3.4514</v>
      </c>
      <c r="H47">
        <v>3.3052280000000001</v>
      </c>
      <c r="I47">
        <f t="shared" si="6"/>
        <v>-2607.1384351710617</v>
      </c>
      <c r="J47">
        <f t="shared" si="7"/>
        <v>-2.6142034451822305</v>
      </c>
      <c r="N47">
        <f t="shared" si="8"/>
        <v>2.8960959174611101E-3</v>
      </c>
    </row>
    <row r="48" spans="1:19">
      <c r="A48">
        <v>4.56551298222222</v>
      </c>
      <c r="B48">
        <v>1.2648106871849001</v>
      </c>
      <c r="C48">
        <v>0.74060364514309496</v>
      </c>
      <c r="D48">
        <v>0.74018623408955297</v>
      </c>
      <c r="E48">
        <f t="shared" si="3"/>
        <v>1.3212151551792681</v>
      </c>
      <c r="F48">
        <v>0.13679561687706901</v>
      </c>
      <c r="G48">
        <v>3.4514</v>
      </c>
      <c r="H48">
        <v>3.3052280000000001</v>
      </c>
      <c r="I48">
        <f t="shared" si="6"/>
        <v>-2189.4758857988581</v>
      </c>
      <c r="J48">
        <f t="shared" si="7"/>
        <v>-2.1965408958100272</v>
      </c>
      <c r="N48">
        <f t="shared" si="8"/>
        <v>4.4729046725686715E-3</v>
      </c>
    </row>
    <row r="49" spans="1:14">
      <c r="A49">
        <v>4.6692746409090899</v>
      </c>
      <c r="B49">
        <v>1.19377494558583</v>
      </c>
      <c r="C49">
        <v>0.78026020452240297</v>
      </c>
      <c r="D49">
        <v>0.78797203541149696</v>
      </c>
      <c r="E49">
        <f t="shared" si="3"/>
        <v>1.3043035146972501</v>
      </c>
      <c r="F49">
        <v>0.13679561687706901</v>
      </c>
      <c r="G49">
        <v>3.4514</v>
      </c>
      <c r="H49">
        <v>3.3052280000000001</v>
      </c>
      <c r="I49">
        <f t="shared" si="6"/>
        <v>-1650.7620850740789</v>
      </c>
      <c r="J49">
        <f t="shared" si="7"/>
        <v>-1.6578270950852478</v>
      </c>
      <c r="N49">
        <f t="shared" si="8"/>
        <v>7.118039060856389E-3</v>
      </c>
    </row>
    <row r="50" spans="1:14">
      <c r="A50">
        <v>4.7730362995959501</v>
      </c>
      <c r="B50">
        <v>1.11878799682255</v>
      </c>
      <c r="C50">
        <v>0.86176853644798501</v>
      </c>
      <c r="D50">
        <v>0.84044958710846784</v>
      </c>
      <c r="E50">
        <f t="shared" si="3"/>
        <v>1.2886251652650003</v>
      </c>
      <c r="F50">
        <v>0.13679561687706901</v>
      </c>
      <c r="G50">
        <v>3.4514</v>
      </c>
      <c r="H50">
        <v>3.3052280000000001</v>
      </c>
      <c r="I50">
        <f t="shared" si="6"/>
        <v>-1046.1316147328243</v>
      </c>
      <c r="J50">
        <f t="shared" si="7"/>
        <v>-1.0531966247439932</v>
      </c>
      <c r="N50">
        <f t="shared" si="8"/>
        <v>1.1055031910019979E-2</v>
      </c>
    </row>
    <row r="51" spans="1:14">
      <c r="A51">
        <v>4.87679795828282</v>
      </c>
      <c r="B51">
        <v>1.0517812507069799</v>
      </c>
      <c r="C51">
        <v>0.92738211701595508</v>
      </c>
      <c r="D51">
        <v>0.90228778296157797</v>
      </c>
      <c r="E51">
        <f t="shared" si="3"/>
        <v>1.2740662120810224</v>
      </c>
      <c r="F51">
        <v>0.13679561687706901</v>
      </c>
      <c r="G51">
        <v>3.4514</v>
      </c>
      <c r="H51">
        <v>3.3052280000000001</v>
      </c>
      <c r="I51">
        <f t="shared" si="6"/>
        <v>-470.52135197260867</v>
      </c>
      <c r="J51">
        <f t="shared" si="7"/>
        <v>-0.47758636198377757</v>
      </c>
      <c r="N51">
        <f t="shared" si="8"/>
        <v>1.5919751057114937E-2</v>
      </c>
    </row>
    <row r="52" spans="1:14">
      <c r="A52">
        <v>4.98055961696969</v>
      </c>
      <c r="B52">
        <v>0.99241658243371589</v>
      </c>
      <c r="C52">
        <v>0.99387025507037197</v>
      </c>
      <c r="D52">
        <v>0.967943261508597</v>
      </c>
      <c r="E52">
        <f t="shared" si="3"/>
        <v>1.2605253999089949</v>
      </c>
      <c r="F52">
        <v>0.13679561687706901</v>
      </c>
      <c r="G52">
        <v>3.4514</v>
      </c>
      <c r="H52">
        <v>3.3052280000000001</v>
      </c>
      <c r="I52">
        <f t="shared" si="6"/>
        <v>70.94675695598184</v>
      </c>
      <c r="J52">
        <f t="shared" si="7"/>
        <v>6.3881746944812925E-2</v>
      </c>
      <c r="N52">
        <f t="shared" si="8"/>
        <v>2.1638364316555487E-2</v>
      </c>
    </row>
    <row r="53" spans="1:14">
      <c r="A53">
        <v>5.0843212756565599</v>
      </c>
      <c r="B53">
        <v>0.93376783753884895</v>
      </c>
      <c r="C53">
        <v>1.06299884898994</v>
      </c>
      <c r="D53">
        <v>1.0339219653804199</v>
      </c>
      <c r="E53">
        <f t="shared" si="3"/>
        <v>1.2479124844645475</v>
      </c>
      <c r="F53">
        <v>0.13679561687706901</v>
      </c>
      <c r="G53">
        <v>3.4514</v>
      </c>
      <c r="H53">
        <v>3.3052280000000001</v>
      </c>
      <c r="I53">
        <f t="shared" si="6"/>
        <v>638.67532587925677</v>
      </c>
      <c r="J53">
        <f t="shared" si="7"/>
        <v>0.6316103158680878</v>
      </c>
      <c r="N53">
        <f t="shared" si="8"/>
        <v>2.8971047233410926E-2</v>
      </c>
    </row>
    <row r="54" spans="1:14">
      <c r="A54">
        <v>5.1880829343434298</v>
      </c>
      <c r="B54">
        <v>0.89158767859372889</v>
      </c>
      <c r="C54">
        <v>1.1173844806039599</v>
      </c>
      <c r="D54">
        <v>1.0982372123010899</v>
      </c>
      <c r="E54">
        <f t="shared" si="3"/>
        <v>1.2361468416101096</v>
      </c>
      <c r="F54">
        <v>0.13679561687706901</v>
      </c>
      <c r="G54">
        <v>3.4514</v>
      </c>
      <c r="H54">
        <v>3.3052280000000001</v>
      </c>
      <c r="I54">
        <f t="shared" si="6"/>
        <v>1069.4832635188789</v>
      </c>
      <c r="J54">
        <f t="shared" si="7"/>
        <v>1.06241825350771</v>
      </c>
      <c r="N54">
        <f t="shared" si="8"/>
        <v>3.5535740525063121E-2</v>
      </c>
    </row>
    <row r="55" spans="1:14">
      <c r="A55">
        <v>5.2918445930302997</v>
      </c>
      <c r="B55">
        <v>0.85753587494317196</v>
      </c>
      <c r="C55">
        <v>1.1605046627072999</v>
      </c>
      <c r="D55">
        <v>1.1398060643127701</v>
      </c>
      <c r="E55">
        <f t="shared" si="3"/>
        <v>1.2251562757088026</v>
      </c>
      <c r="F55">
        <v>8.8764665794569E-2</v>
      </c>
      <c r="G55">
        <v>3.4514</v>
      </c>
      <c r="H55">
        <v>3.3052280000000001</v>
      </c>
      <c r="I55">
        <f t="shared" si="6"/>
        <v>1432.4109797127555</v>
      </c>
      <c r="J55">
        <f t="shared" si="7"/>
        <v>1.4253459697015867</v>
      </c>
      <c r="N55">
        <f t="shared" si="8"/>
        <v>4.1784006586804943E-2</v>
      </c>
    </row>
    <row r="56" spans="1:14">
      <c r="A56">
        <v>5.3956062517171697</v>
      </c>
      <c r="B56">
        <v>0.842947683</v>
      </c>
      <c r="C56">
        <v>1.1930115689901299</v>
      </c>
      <c r="D56">
        <v>1.1755768478912401</v>
      </c>
      <c r="E56">
        <f t="shared" si="3"/>
        <v>1.2148759953832662</v>
      </c>
      <c r="F56">
        <v>6.8722650828349904E-3</v>
      </c>
      <c r="G56">
        <v>3.4514</v>
      </c>
      <c r="H56">
        <v>3.3052280000000001</v>
      </c>
      <c r="I56">
        <f t="shared" si="6"/>
        <v>1592.3245482260986</v>
      </c>
      <c r="J56">
        <f t="shared" si="7"/>
        <v>1.5852595382149297</v>
      </c>
      <c r="N56">
        <f t="shared" si="8"/>
        <v>4.4754498467035581E-2</v>
      </c>
    </row>
    <row r="57" spans="1:14">
      <c r="A57">
        <v>5.4993679104040396</v>
      </c>
      <c r="B57">
        <v>0.842947683</v>
      </c>
      <c r="C57">
        <v>1.1926398580136299</v>
      </c>
      <c r="D57">
        <v>1.18112686862811</v>
      </c>
      <c r="E57">
        <f t="shared" si="3"/>
        <v>1.2052477304847815</v>
      </c>
      <c r="F57">
        <v>6.8722650828349904E-3</v>
      </c>
      <c r="G57">
        <v>3.4514</v>
      </c>
      <c r="H57">
        <v>3.3052280000000001</v>
      </c>
      <c r="I57">
        <f t="shared" si="6"/>
        <v>1592.3245482260986</v>
      </c>
      <c r="J57">
        <f t="shared" si="7"/>
        <v>1.5852595382149297</v>
      </c>
      <c r="N57">
        <f t="shared" si="8"/>
        <v>4.4754498467035581E-2</v>
      </c>
    </row>
    <row r="58" spans="1:14">
      <c r="A58">
        <v>5.6031295690908998</v>
      </c>
      <c r="B58">
        <v>0.842947683</v>
      </c>
      <c r="C58">
        <v>1.1921481153262801</v>
      </c>
      <c r="D58">
        <v>1.18667688936497</v>
      </c>
      <c r="E58">
        <f t="shared" si="3"/>
        <v>1.1962189685804461</v>
      </c>
      <c r="F58">
        <v>6.8722650828349904E-3</v>
      </c>
      <c r="G58">
        <v>3.4514</v>
      </c>
      <c r="H58">
        <v>3.3052280000000001</v>
      </c>
      <c r="I58">
        <f t="shared" si="6"/>
        <v>1592.3245482260986</v>
      </c>
      <c r="J58">
        <f t="shared" si="7"/>
        <v>1.5852595382149297</v>
      </c>
      <c r="N58">
        <f t="shared" si="8"/>
        <v>4.4754498467035581E-2</v>
      </c>
    </row>
    <row r="59" spans="1:14">
      <c r="A59">
        <v>5.7068912277777697</v>
      </c>
      <c r="B59">
        <v>0.842947683</v>
      </c>
      <c r="C59">
        <v>1.1833104710031801</v>
      </c>
      <c r="D59">
        <v>1.19108287681686</v>
      </c>
      <c r="E59">
        <f t="shared" si="3"/>
        <v>1.1877422929277603</v>
      </c>
      <c r="F59">
        <v>6.8722650828349904E-3</v>
      </c>
      <c r="G59">
        <v>3.4514</v>
      </c>
      <c r="H59">
        <v>3.3052280000000001</v>
      </c>
      <c r="I59">
        <f t="shared" si="6"/>
        <v>1592.3245482260986</v>
      </c>
      <c r="J59">
        <f t="shared" si="7"/>
        <v>1.5852595382149297</v>
      </c>
      <c r="N59">
        <f t="shared" si="8"/>
        <v>4.4754498467035581E-2</v>
      </c>
    </row>
    <row r="60" spans="1:14">
      <c r="A60">
        <v>5.8106528864646396</v>
      </c>
      <c r="B60">
        <v>0.85360588062576803</v>
      </c>
      <c r="C60">
        <v>1.1530423015567901</v>
      </c>
      <c r="D60">
        <v>1.1623490385905799</v>
      </c>
      <c r="E60">
        <f t="shared" si="3"/>
        <v>1.1797748068959359</v>
      </c>
      <c r="F60">
        <v>6.8722650828349904E-3</v>
      </c>
      <c r="G60">
        <v>3.4514</v>
      </c>
      <c r="H60">
        <v>3.3052280000000001</v>
      </c>
      <c r="I60">
        <f t="shared" si="6"/>
        <v>1475.2216793418906</v>
      </c>
      <c r="J60">
        <f t="shared" si="7"/>
        <v>1.4681566693307218</v>
      </c>
      <c r="N60">
        <f t="shared" si="8"/>
        <v>4.2565989908388925E-2</v>
      </c>
    </row>
    <row r="61" spans="1:14">
      <c r="A61">
        <v>5.9144145451515104</v>
      </c>
      <c r="B61">
        <v>0.88203330985952699</v>
      </c>
      <c r="C61">
        <v>1.1227741321103999</v>
      </c>
      <c r="D61">
        <v>1.1336152003643001</v>
      </c>
      <c r="E61">
        <f t="shared" si="3"/>
        <v>1.1722776322441313</v>
      </c>
      <c r="F61">
        <v>6.8722650828349904E-3</v>
      </c>
      <c r="G61">
        <v>3.4514</v>
      </c>
      <c r="H61">
        <v>3.3052280000000001</v>
      </c>
      <c r="I61">
        <f t="shared" si="6"/>
        <v>1169.8965098882397</v>
      </c>
      <c r="J61">
        <f t="shared" si="7"/>
        <v>1.162831499877071</v>
      </c>
      <c r="N61">
        <f t="shared" si="8"/>
        <v>3.7197166755329941E-2</v>
      </c>
    </row>
    <row r="62" spans="1:14">
      <c r="A62">
        <v>6.0181762038383804</v>
      </c>
      <c r="B62">
        <v>0.91046073909328495</v>
      </c>
      <c r="C62">
        <v>1.0869421425051899</v>
      </c>
      <c r="D62">
        <v>1.09769346536347</v>
      </c>
      <c r="E62">
        <f t="shared" si="3"/>
        <v>1.1652154706834799</v>
      </c>
      <c r="F62">
        <v>6.8722650828349904E-3</v>
      </c>
      <c r="G62">
        <v>3.4514</v>
      </c>
      <c r="H62">
        <v>3.3052280000000001</v>
      </c>
      <c r="I62">
        <f t="shared" si="6"/>
        <v>874.25738561050321</v>
      </c>
      <c r="J62">
        <f t="shared" si="7"/>
        <v>0.86719237559933426</v>
      </c>
      <c r="N62">
        <f t="shared" si="8"/>
        <v>3.2449267839823707E-2</v>
      </c>
    </row>
    <row r="63" spans="1:14">
      <c r="A63">
        <v>6.1219378625252503</v>
      </c>
      <c r="B63">
        <v>0.93888816832704403</v>
      </c>
      <c r="C63">
        <v>1.04806809445142</v>
      </c>
      <c r="D63">
        <v>1.0594139247046099</v>
      </c>
      <c r="E63">
        <f t="shared" si="3"/>
        <v>1.1585562198150137</v>
      </c>
      <c r="F63">
        <v>6.8722650828349904E-3</v>
      </c>
      <c r="G63">
        <v>3.4514</v>
      </c>
      <c r="H63">
        <v>3.3052280000000001</v>
      </c>
      <c r="I63">
        <f t="shared" si="6"/>
        <v>587.70860161186226</v>
      </c>
      <c r="J63">
        <f t="shared" si="7"/>
        <v>0.58064359160069334</v>
      </c>
      <c r="N63">
        <f t="shared" si="8"/>
        <v>2.8253129883929605E-2</v>
      </c>
    </row>
    <row r="64" spans="1:14">
      <c r="A64">
        <v>6.2256995212121202</v>
      </c>
      <c r="B64">
        <v>0.96731559756080299</v>
      </c>
      <c r="C64">
        <v>1.01020692632715</v>
      </c>
      <c r="D64">
        <v>1.0217784299917401</v>
      </c>
      <c r="E64">
        <f t="shared" si="3"/>
        <v>1.1522706359154784</v>
      </c>
      <c r="F64">
        <v>6.8722650828349904E-3</v>
      </c>
      <c r="G64">
        <v>3.4514</v>
      </c>
      <c r="H64">
        <v>3.3052280000000001</v>
      </c>
      <c r="I64">
        <f t="shared" si="6"/>
        <v>309.70777244711769</v>
      </c>
      <c r="J64">
        <f t="shared" si="7"/>
        <v>0.30264276243594879</v>
      </c>
      <c r="N64">
        <f t="shared" si="8"/>
        <v>2.4547157484327314E-2</v>
      </c>
    </row>
    <row r="65" spans="1:14">
      <c r="A65">
        <v>6.3294611798989804</v>
      </c>
      <c r="B65">
        <v>0.99574302679456195</v>
      </c>
      <c r="C65">
        <v>0.972487883186818</v>
      </c>
      <c r="D65">
        <v>0.98689067572377986</v>
      </c>
      <c r="E65">
        <f t="shared" si="3"/>
        <v>1.1463320371902888</v>
      </c>
      <c r="F65">
        <v>6.8722650828349904E-3</v>
      </c>
      <c r="G65">
        <v>3.4514</v>
      </c>
      <c r="H65">
        <v>3.3052280000000001</v>
      </c>
      <c r="I65">
        <f t="shared" si="6"/>
        <v>39.759652792396174</v>
      </c>
      <c r="J65">
        <f t="shared" si="7"/>
        <v>3.2694642781227252E-2</v>
      </c>
      <c r="N65">
        <f t="shared" si="8"/>
        <v>2.1276502288539126E-2</v>
      </c>
    </row>
    <row r="66" spans="1:14">
      <c r="A66">
        <v>6.4332228385858503</v>
      </c>
      <c r="B66">
        <v>1.02417045602832</v>
      </c>
      <c r="C66">
        <v>0.94633613829761787</v>
      </c>
      <c r="D66">
        <v>0.954540624891699</v>
      </c>
      <c r="E66">
        <f t="shared" si="3"/>
        <v>1.1407160420697786</v>
      </c>
      <c r="F66">
        <v>6.8722650828349904E-3</v>
      </c>
      <c r="G66">
        <v>3.4514</v>
      </c>
      <c r="H66">
        <v>3.3052280000000001</v>
      </c>
      <c r="I66">
        <f t="shared" si="6"/>
        <v>-222.58917186000872</v>
      </c>
      <c r="J66">
        <f t="shared" si="7"/>
        <v>-0.22965418187117767</v>
      </c>
      <c r="N66">
        <f t="shared" si="8"/>
        <v>1.8392330805070804E-2</v>
      </c>
    </row>
    <row r="67" spans="1:14">
      <c r="A67">
        <v>6.5369844972727202</v>
      </c>
      <c r="B67">
        <v>1.0525978852620701</v>
      </c>
      <c r="C67">
        <v>0.92206013914975204</v>
      </c>
      <c r="D67">
        <v>0.92845820753451302</v>
      </c>
      <c r="E67">
        <f t="shared" si="3"/>
        <v>1.1354003379255593</v>
      </c>
      <c r="F67">
        <v>6.8722650828349904E-3</v>
      </c>
      <c r="G67">
        <v>3.4514</v>
      </c>
      <c r="H67">
        <v>3.3052280000000001</v>
      </c>
      <c r="I67">
        <f t="shared" si="6"/>
        <v>-477.75486746000365</v>
      </c>
      <c r="J67">
        <f t="shared" si="7"/>
        <v>-0.48481987747117256</v>
      </c>
      <c r="N67">
        <f t="shared" si="8"/>
        <v>1.585117129820841E-2</v>
      </c>
    </row>
    <row r="68" spans="1:14">
      <c r="A68">
        <v>6.6407461559595902</v>
      </c>
      <c r="B68">
        <v>1.0810253144958299</v>
      </c>
      <c r="C68">
        <v>0.90524982739209614</v>
      </c>
      <c r="D68">
        <v>0.90866573138268802</v>
      </c>
      <c r="E68">
        <f t="shared" si="3"/>
        <v>1.1303644762557039</v>
      </c>
      <c r="F68">
        <v>6.8722650828349904E-3</v>
      </c>
      <c r="G68">
        <v>3.4514</v>
      </c>
      <c r="H68">
        <v>3.3052280000000001</v>
      </c>
      <c r="I68">
        <f t="shared" ref="I68:I103" si="9">IF(B68=0,100,-$M$4*$L$4*LN(B68))</f>
        <v>-726.12032290622165</v>
      </c>
      <c r="J68">
        <f t="shared" ref="J68:J99" si="10">(I68-$K$4)*$J$2</f>
        <v>-0.73318533291739063</v>
      </c>
      <c r="N68">
        <f t="shared" ref="N68:N103" si="11">($O$4*(1-EXP(-$P$4*(B68-$Q$4)))^2-$O$4)*0.0001</f>
        <v>1.3614331245839885E-2</v>
      </c>
    </row>
    <row r="69" spans="1:14">
      <c r="A69">
        <v>6.7445078146464601</v>
      </c>
      <c r="B69">
        <v>1.10945274372959</v>
      </c>
      <c r="C69">
        <v>0.88884643229755111</v>
      </c>
      <c r="D69">
        <v>0.89290001643836803</v>
      </c>
      <c r="E69">
        <f t="shared" ref="E69:E103" si="12">$E$1*A69^-$E$2 + 1</f>
        <v>1.1255896909530154</v>
      </c>
      <c r="F69">
        <v>6.8722650828349904E-3</v>
      </c>
      <c r="G69">
        <v>3.4514</v>
      </c>
      <c r="H69">
        <v>3.3052280000000001</v>
      </c>
      <c r="I69">
        <f t="shared" si="9"/>
        <v>-968.03860595441756</v>
      </c>
      <c r="J69">
        <f t="shared" si="10"/>
        <v>-0.97510361596558659</v>
      </c>
      <c r="N69">
        <f t="shared" si="11"/>
        <v>1.1647377755794735E-2</v>
      </c>
    </row>
    <row r="70" spans="1:14">
      <c r="A70">
        <v>6.84826947333333</v>
      </c>
      <c r="B70">
        <v>1.1283947316216301</v>
      </c>
      <c r="C70">
        <v>0.89052054292486305</v>
      </c>
      <c r="D70">
        <v>0.89029630329823295</v>
      </c>
      <c r="E70">
        <f t="shared" si="12"/>
        <v>1.1210587367479583</v>
      </c>
      <c r="F70">
        <v>6.8722650828349904E-3</v>
      </c>
      <c r="G70">
        <v>3.4514</v>
      </c>
      <c r="H70">
        <v>3.3052280000000001</v>
      </c>
      <c r="I70">
        <f t="shared" si="9"/>
        <v>-1125.8182864014916</v>
      </c>
      <c r="J70">
        <f t="shared" si="10"/>
        <v>-1.1328832964126605</v>
      </c>
      <c r="N70">
        <f t="shared" si="11"/>
        <v>1.0471312169260793E-2</v>
      </c>
    </row>
    <row r="71" spans="1:14">
      <c r="A71">
        <v>6.9520311320202</v>
      </c>
      <c r="B71">
        <v>1.1134346401286099</v>
      </c>
      <c r="C71">
        <v>0.893277416006522</v>
      </c>
      <c r="D71">
        <v>0.89087100982134104</v>
      </c>
      <c r="E71">
        <f t="shared" si="12"/>
        <v>1.1167557453218129</v>
      </c>
      <c r="F71">
        <v>5.5449778313355997E-3</v>
      </c>
      <c r="G71">
        <v>3.4514</v>
      </c>
      <c r="H71">
        <v>3.3052280000000001</v>
      </c>
      <c r="I71">
        <f t="shared" si="9"/>
        <v>-1001.4287727361088</v>
      </c>
      <c r="J71">
        <f t="shared" si="10"/>
        <v>-1.0084937827472777</v>
      </c>
      <c r="N71">
        <f t="shared" si="11"/>
        <v>1.1391623201523062E-2</v>
      </c>
    </row>
    <row r="72" spans="1:14">
      <c r="A72">
        <v>7.0557927907070699</v>
      </c>
      <c r="B72">
        <v>1.0972115021458599</v>
      </c>
      <c r="C72">
        <v>0.89603428908818095</v>
      </c>
      <c r="D72">
        <v>0.89596104161921497</v>
      </c>
      <c r="E72">
        <f t="shared" si="12"/>
        <v>1.1126660969284228</v>
      </c>
      <c r="F72">
        <v>4.1056307732461996E-3</v>
      </c>
      <c r="G72">
        <v>3.4514</v>
      </c>
      <c r="H72">
        <v>3.3052280000000001</v>
      </c>
      <c r="I72">
        <f t="shared" si="9"/>
        <v>-864.63414045801278</v>
      </c>
      <c r="J72">
        <f t="shared" si="10"/>
        <v>-0.87169915046918178</v>
      </c>
      <c r="N72">
        <f t="shared" si="11"/>
        <v>1.246333557176867E-2</v>
      </c>
    </row>
    <row r="73" spans="1:14">
      <c r="A73">
        <v>7.15955444939393</v>
      </c>
      <c r="B73">
        <v>1.0809883641631099</v>
      </c>
      <c r="C73">
        <v>0.90983098648277605</v>
      </c>
      <c r="D73">
        <v>0.91076109781574399</v>
      </c>
      <c r="E73">
        <f t="shared" si="12"/>
        <v>1.1087763056545432</v>
      </c>
      <c r="F73">
        <v>2.6662837151567799E-3</v>
      </c>
      <c r="G73">
        <v>3.4514</v>
      </c>
      <c r="H73">
        <v>3.3052280000000001</v>
      </c>
      <c r="I73">
        <f t="shared" si="9"/>
        <v>-725.80175241549705</v>
      </c>
      <c r="J73">
        <f t="shared" si="10"/>
        <v>-0.73286676242666604</v>
      </c>
      <c r="N73">
        <f t="shared" si="11"/>
        <v>1.3617056516381957E-2</v>
      </c>
    </row>
    <row r="74" spans="1:14">
      <c r="A74">
        <v>7.2633161080808</v>
      </c>
      <c r="B74">
        <v>1.06476522618035</v>
      </c>
      <c r="C74">
        <v>0.93321187172644904</v>
      </c>
      <c r="D74">
        <v>0.92969709760769303</v>
      </c>
      <c r="E74">
        <f t="shared" si="12"/>
        <v>1.105073916697523</v>
      </c>
      <c r="F74">
        <v>1.22693665706737E-3</v>
      </c>
      <c r="G74">
        <v>3.4514</v>
      </c>
      <c r="H74">
        <v>3.3052280000000001</v>
      </c>
      <c r="I74">
        <f t="shared" si="9"/>
        <v>-584.86997868966239</v>
      </c>
      <c r="J74">
        <f t="shared" si="10"/>
        <v>-0.59193498870083139</v>
      </c>
      <c r="N74">
        <f t="shared" si="11"/>
        <v>1.4858619186671132E-2</v>
      </c>
    </row>
    <row r="75" spans="1:14">
      <c r="A75">
        <v>7.3670777667676699</v>
      </c>
      <c r="B75">
        <v>1.0425429367948</v>
      </c>
      <c r="C75">
        <v>0.95705591806155099</v>
      </c>
      <c r="D75">
        <v>0.95106286428033204</v>
      </c>
      <c r="E75">
        <f t="shared" si="12"/>
        <v>1.1015474142517021</v>
      </c>
      <c r="F75">
        <v>7.1203397418789403E-4</v>
      </c>
      <c r="G75">
        <v>3.4514</v>
      </c>
      <c r="H75">
        <v>3.3052280000000001</v>
      </c>
      <c r="I75">
        <f t="shared" si="9"/>
        <v>-388.29760724148508</v>
      </c>
      <c r="J75">
        <f t="shared" si="10"/>
        <v>-0.39536261725265398</v>
      </c>
      <c r="N75">
        <f t="shared" si="11"/>
        <v>1.6713310663281328E-2</v>
      </c>
    </row>
    <row r="76" spans="1:14">
      <c r="A76">
        <v>7.4708394254545398</v>
      </c>
      <c r="B76">
        <v>1.0169792049923101</v>
      </c>
      <c r="C76">
        <v>0.98191633833703196</v>
      </c>
      <c r="D76">
        <v>0.97520310488292417</v>
      </c>
      <c r="E76">
        <f t="shared" si="12"/>
        <v>1.0981861387771008</v>
      </c>
      <c r="F76">
        <v>7.1203397418789403E-4</v>
      </c>
      <c r="G76">
        <v>3.4514</v>
      </c>
      <c r="H76">
        <v>3.3052280000000001</v>
      </c>
      <c r="I76">
        <f t="shared" si="9"/>
        <v>-156.91765830537014</v>
      </c>
      <c r="J76">
        <f t="shared" si="10"/>
        <v>-0.16398266831653907</v>
      </c>
      <c r="N76">
        <f t="shared" si="11"/>
        <v>1.9087896719416235E-2</v>
      </c>
    </row>
    <row r="77" spans="1:14">
      <c r="A77">
        <v>7.5746010841414098</v>
      </c>
      <c r="B77">
        <v>0.99318692912969886</v>
      </c>
      <c r="C77">
        <v>1.00677675861251</v>
      </c>
      <c r="D77">
        <v>0.99971929269922699</v>
      </c>
      <c r="E77">
        <f t="shared" si="12"/>
        <v>1.0949802125804768</v>
      </c>
      <c r="F77">
        <v>7.1203397418789403E-4</v>
      </c>
      <c r="G77">
        <v>3.4514</v>
      </c>
      <c r="H77">
        <v>3.3052280000000001</v>
      </c>
      <c r="I77">
        <f t="shared" si="9"/>
        <v>63.71507459554099</v>
      </c>
      <c r="J77">
        <f t="shared" si="10"/>
        <v>5.6650064584372072E-2</v>
      </c>
      <c r="N77">
        <f t="shared" si="11"/>
        <v>2.1554089163057063E-2</v>
      </c>
    </row>
    <row r="78" spans="1:14">
      <c r="A78">
        <v>7.6783627428282797</v>
      </c>
      <c r="B78">
        <v>0.97127466865413803</v>
      </c>
      <c r="C78">
        <v>1.03142748403247</v>
      </c>
      <c r="D78">
        <v>1.0206597972001501</v>
      </c>
      <c r="E78">
        <f t="shared" si="12"/>
        <v>1.0919204727735208</v>
      </c>
      <c r="F78">
        <v>7.1203397418789403E-4</v>
      </c>
      <c r="G78">
        <v>3.4514</v>
      </c>
      <c r="H78">
        <v>3.3052280000000001</v>
      </c>
      <c r="I78">
        <f t="shared" si="9"/>
        <v>271.64034708462509</v>
      </c>
      <c r="J78">
        <f t="shared" si="10"/>
        <v>0.26457533707345621</v>
      </c>
      <c r="N78">
        <f t="shared" si="11"/>
        <v>2.4066735885986082E-2</v>
      </c>
    </row>
    <row r="79" spans="1:14">
      <c r="A79">
        <v>7.7821244015151496</v>
      </c>
      <c r="B79">
        <v>0.9573165135693209</v>
      </c>
      <c r="C79">
        <v>1.0462211802921</v>
      </c>
      <c r="D79">
        <v>1.04160030170107</v>
      </c>
      <c r="E79">
        <f t="shared" si="12"/>
        <v>1.0889984107891344</v>
      </c>
      <c r="F79">
        <v>7.1203397418789403E-4</v>
      </c>
      <c r="G79">
        <v>3.4514</v>
      </c>
      <c r="H79">
        <v>3.3052280000000001</v>
      </c>
      <c r="I79">
        <f t="shared" si="9"/>
        <v>406.54938777235151</v>
      </c>
      <c r="J79">
        <f t="shared" si="10"/>
        <v>0.39948437776118262</v>
      </c>
      <c r="N79">
        <f t="shared" si="11"/>
        <v>2.5798385151670784E-2</v>
      </c>
    </row>
    <row r="80" spans="1:14">
      <c r="A80">
        <v>7.8858860602020098</v>
      </c>
      <c r="B80">
        <v>0.94559980258317111</v>
      </c>
      <c r="C80">
        <v>1.06101487655172</v>
      </c>
      <c r="D80">
        <v>1.0524982116769701</v>
      </c>
      <c r="E80">
        <f t="shared" si="12"/>
        <v>1.0862061177371733</v>
      </c>
      <c r="F80">
        <v>7.1203397418789403E-4</v>
      </c>
      <c r="G80">
        <v>3.4514</v>
      </c>
      <c r="H80">
        <v>3.3052280000000001</v>
      </c>
      <c r="I80">
        <f t="shared" si="9"/>
        <v>521.3217034785888</v>
      </c>
      <c r="J80">
        <f t="shared" si="10"/>
        <v>0.51425669346741987</v>
      </c>
      <c r="N80">
        <f t="shared" si="11"/>
        <v>2.733610134397161E-2</v>
      </c>
    </row>
    <row r="81" spans="1:14">
      <c r="A81">
        <v>7.9896477188888797</v>
      </c>
      <c r="B81">
        <v>0.935525104</v>
      </c>
      <c r="C81">
        <v>1.0715758573342899</v>
      </c>
      <c r="D81">
        <v>1.0548183523901999</v>
      </c>
      <c r="E81">
        <f t="shared" si="12"/>
        <v>1.0835362349680009</v>
      </c>
      <c r="F81">
        <v>7.1203397418789403E-4</v>
      </c>
      <c r="G81">
        <v>3.4514</v>
      </c>
      <c r="H81">
        <v>3.3052280000000001</v>
      </c>
      <c r="I81">
        <f t="shared" si="9"/>
        <v>621.15242474921661</v>
      </c>
      <c r="J81">
        <f t="shared" si="10"/>
        <v>0.61408741473804762</v>
      </c>
      <c r="N81">
        <f t="shared" si="11"/>
        <v>2.8722850861962013E-2</v>
      </c>
    </row>
    <row r="82" spans="1:14">
      <c r="A82">
        <v>8.0934093775757496</v>
      </c>
      <c r="B82">
        <v>0.935525104</v>
      </c>
      <c r="C82">
        <v>1.07295429372841</v>
      </c>
      <c r="D82">
        <v>1.05713849310342</v>
      </c>
      <c r="E82">
        <f t="shared" si="12"/>
        <v>1.0809819092876889</v>
      </c>
      <c r="F82">
        <v>7.1203397418789403E-4</v>
      </c>
      <c r="G82">
        <v>3.4514</v>
      </c>
      <c r="H82">
        <v>3.3052280000000001</v>
      </c>
      <c r="I82">
        <f t="shared" si="9"/>
        <v>621.15242474921661</v>
      </c>
      <c r="J82">
        <f t="shared" si="10"/>
        <v>0.61408741473804762</v>
      </c>
      <c r="N82">
        <f t="shared" si="11"/>
        <v>2.8722850861962013E-2</v>
      </c>
    </row>
    <row r="83" spans="1:14">
      <c r="A83">
        <v>8.1971710362626204</v>
      </c>
      <c r="B83">
        <v>0.935525104</v>
      </c>
      <c r="C83">
        <v>1.07433273012254</v>
      </c>
      <c r="D83">
        <v>1.0594586338166501</v>
      </c>
      <c r="E83">
        <f t="shared" si="12"/>
        <v>1.0785367523343194</v>
      </c>
      <c r="F83">
        <v>7.1203397418789403E-4</v>
      </c>
      <c r="G83">
        <v>3.4514</v>
      </c>
      <c r="H83">
        <v>3.3052280000000001</v>
      </c>
      <c r="I83">
        <f t="shared" si="9"/>
        <v>621.15242474921661</v>
      </c>
      <c r="J83">
        <f t="shared" si="10"/>
        <v>0.61408741473804762</v>
      </c>
      <c r="N83">
        <f t="shared" si="11"/>
        <v>2.8722850861962013E-2</v>
      </c>
    </row>
    <row r="84" spans="1:14">
      <c r="A84">
        <v>8.3009326949494895</v>
      </c>
      <c r="B84">
        <v>0.935525104</v>
      </c>
      <c r="C84">
        <v>1.0757111665166601</v>
      </c>
      <c r="D84">
        <v>1.0617787745298799</v>
      </c>
      <c r="E84">
        <f t="shared" si="12"/>
        <v>1.0761948036820153</v>
      </c>
      <c r="F84">
        <v>7.1203397418789403E-4</v>
      </c>
      <c r="G84">
        <v>3.4514</v>
      </c>
      <c r="H84">
        <v>3.3052280000000001</v>
      </c>
      <c r="I84">
        <f t="shared" si="9"/>
        <v>621.15242474921661</v>
      </c>
      <c r="J84">
        <f t="shared" si="10"/>
        <v>0.61408741473804762</v>
      </c>
      <c r="N84">
        <f t="shared" si="11"/>
        <v>2.8722850861962013E-2</v>
      </c>
    </row>
    <row r="85" spans="1:14">
      <c r="A85">
        <v>8.4046943536363603</v>
      </c>
      <c r="B85">
        <v>0.94494420255318112</v>
      </c>
      <c r="C85">
        <v>1.0626421267142401</v>
      </c>
      <c r="D85">
        <v>1.0640989152431</v>
      </c>
      <c r="E85">
        <f t="shared" si="12"/>
        <v>1.0739504972892051</v>
      </c>
      <c r="F85">
        <v>7.1203397418789403E-4</v>
      </c>
      <c r="G85">
        <v>3.4514</v>
      </c>
      <c r="H85">
        <v>3.3052280000000001</v>
      </c>
      <c r="I85">
        <f t="shared" si="9"/>
        <v>527.78565097119781</v>
      </c>
      <c r="J85">
        <f t="shared" si="10"/>
        <v>0.5207206409600289</v>
      </c>
      <c r="N85">
        <f t="shared" si="11"/>
        <v>2.7424496135616847E-2</v>
      </c>
    </row>
    <row r="86" spans="1:14">
      <c r="A86">
        <v>8.5084560123232293</v>
      </c>
      <c r="B86">
        <v>0.95872856833287001</v>
      </c>
      <c r="C86">
        <v>1.0480972444473</v>
      </c>
      <c r="D86">
        <v>1.05100383098086</v>
      </c>
      <c r="E86">
        <f t="shared" si="12"/>
        <v>1.0717986309512471</v>
      </c>
      <c r="F86">
        <v>7.1203397418789403E-4</v>
      </c>
      <c r="G86">
        <v>3.4514</v>
      </c>
      <c r="H86">
        <v>3.3052280000000001</v>
      </c>
      <c r="I86">
        <f t="shared" si="9"/>
        <v>392.81239960774087</v>
      </c>
      <c r="J86">
        <f t="shared" si="10"/>
        <v>0.38574738959657195</v>
      </c>
      <c r="N86">
        <f t="shared" si="11"/>
        <v>2.5618340983986718E-2</v>
      </c>
    </row>
    <row r="87" spans="1:14">
      <c r="A87">
        <v>8.6122176710101002</v>
      </c>
      <c r="B87">
        <v>0.97251293411256001</v>
      </c>
      <c r="C87">
        <v>1.03355201515663</v>
      </c>
      <c r="D87">
        <v>1.03786917446655</v>
      </c>
      <c r="E87">
        <f t="shared" si="12"/>
        <v>1.0697343384557141</v>
      </c>
      <c r="F87">
        <v>7.1203397418789403E-4</v>
      </c>
      <c r="G87">
        <v>3.4514</v>
      </c>
      <c r="H87">
        <v>3.3052280000000001</v>
      </c>
      <c r="I87">
        <f t="shared" si="9"/>
        <v>259.76597543249557</v>
      </c>
      <c r="J87">
        <f t="shared" si="10"/>
        <v>0.25270096542132664</v>
      </c>
      <c r="N87">
        <f t="shared" si="11"/>
        <v>2.3918185484813063E-2</v>
      </c>
    </row>
    <row r="88" spans="1:14">
      <c r="A88">
        <v>8.7159793296969692</v>
      </c>
      <c r="B88">
        <v>0.98629729989224901</v>
      </c>
      <c r="C88">
        <v>1.01792973406414</v>
      </c>
      <c r="D88">
        <v>1.0228890001565101</v>
      </c>
      <c r="E88">
        <f t="shared" si="12"/>
        <v>1.0677530641721564</v>
      </c>
      <c r="F88">
        <v>7.1203397418789403E-4</v>
      </c>
      <c r="G88">
        <v>3.4514</v>
      </c>
      <c r="H88">
        <v>3.3052280000000001</v>
      </c>
      <c r="I88">
        <f t="shared" si="9"/>
        <v>128.59213853066004</v>
      </c>
      <c r="J88">
        <f t="shared" si="10"/>
        <v>0.12152712851949111</v>
      </c>
      <c r="N88">
        <f t="shared" si="11"/>
        <v>2.2318095610702408E-2</v>
      </c>
    </row>
    <row r="89" spans="1:14">
      <c r="A89">
        <v>8.8197409883838294</v>
      </c>
      <c r="B89">
        <v>1.00008166567193</v>
      </c>
      <c r="C89">
        <v>1.00230745297165</v>
      </c>
      <c r="D89">
        <v>1.0075671474874299</v>
      </c>
      <c r="E89">
        <f t="shared" si="12"/>
        <v>1.0658505398375693</v>
      </c>
      <c r="F89">
        <v>7.1203397418789403E-4</v>
      </c>
      <c r="G89">
        <v>3.4514</v>
      </c>
      <c r="H89">
        <v>3.3052280000000001</v>
      </c>
      <c r="I89">
        <f t="shared" si="9"/>
        <v>-0.7610924952517214</v>
      </c>
      <c r="J89">
        <f t="shared" si="10"/>
        <v>-7.8261025064206447E-3</v>
      </c>
      <c r="N89">
        <f t="shared" si="11"/>
        <v>2.0812462399860385E-2</v>
      </c>
    </row>
    <row r="90" spans="1:14">
      <c r="A90">
        <v>8.9235026470707002</v>
      </c>
      <c r="B90">
        <v>1.01388989235492</v>
      </c>
      <c r="C90">
        <v>0.98901616672400494</v>
      </c>
      <c r="D90">
        <v>0.99303344334596999</v>
      </c>
      <c r="E90">
        <f t="shared" si="12"/>
        <v>1.0640227633247141</v>
      </c>
      <c r="F90">
        <v>6.8053607299571497E-4</v>
      </c>
      <c r="G90">
        <v>3.4514</v>
      </c>
      <c r="H90">
        <v>3.3052280000000001</v>
      </c>
      <c r="I90">
        <f t="shared" si="9"/>
        <v>-128.56290369259861</v>
      </c>
      <c r="J90">
        <f t="shared" si="10"/>
        <v>-0.13562791370376756</v>
      </c>
      <c r="N90">
        <f t="shared" si="11"/>
        <v>1.9393606752788114E-2</v>
      </c>
    </row>
    <row r="91" spans="1:14">
      <c r="A91">
        <v>9.0272643057575692</v>
      </c>
      <c r="B91">
        <v>1.0279499384516899</v>
      </c>
      <c r="C91">
        <v>0.97632900963516889</v>
      </c>
      <c r="D91">
        <v>0.97975513198023201</v>
      </c>
      <c r="E91">
        <f t="shared" si="12"/>
        <v>1.0622659792032514</v>
      </c>
      <c r="F91">
        <v>3.1662062177019901E-4</v>
      </c>
      <c r="G91">
        <v>3.4514</v>
      </c>
      <c r="H91">
        <v>3.3052280000000001</v>
      </c>
      <c r="I91">
        <f t="shared" si="9"/>
        <v>-256.91931489790051</v>
      </c>
      <c r="J91">
        <f t="shared" si="10"/>
        <v>-0.26398432490906942</v>
      </c>
      <c r="N91">
        <f t="shared" si="11"/>
        <v>1.803559659029914E-2</v>
      </c>
    </row>
    <row r="92" spans="1:14">
      <c r="A92">
        <v>9.13102596444444</v>
      </c>
      <c r="B92">
        <v>1.03581730073581</v>
      </c>
      <c r="C92">
        <v>0.96695564115222798</v>
      </c>
      <c r="D92">
        <v>0.96822440100964902</v>
      </c>
      <c r="E92">
        <f t="shared" si="12"/>
        <v>1.0605766609238005</v>
      </c>
      <c r="F92">
        <v>1.12990106756371E-4</v>
      </c>
      <c r="G92">
        <v>3.4514</v>
      </c>
      <c r="H92">
        <v>3.3052280000000001</v>
      </c>
      <c r="I92">
        <f t="shared" si="9"/>
        <v>-327.97783650280678</v>
      </c>
      <c r="J92">
        <f t="shared" si="10"/>
        <v>-0.3350428465139757</v>
      </c>
      <c r="N92">
        <f t="shared" si="11"/>
        <v>1.7312028866287667E-2</v>
      </c>
    </row>
    <row r="93" spans="1:14">
      <c r="A93">
        <v>9.2347876231313109</v>
      </c>
      <c r="B93">
        <v>1.0358173024064199</v>
      </c>
      <c r="C93">
        <v>0.95758227266928686</v>
      </c>
      <c r="D93">
        <v>0.96140138258127594</v>
      </c>
      <c r="E93">
        <f t="shared" si="12"/>
        <v>1.0589514944728573</v>
      </c>
      <c r="F93">
        <v>1.12990106756371E-4</v>
      </c>
      <c r="G93">
        <v>3.4514</v>
      </c>
      <c r="H93">
        <v>3.3052280000000001</v>
      </c>
      <c r="I93">
        <f t="shared" si="9"/>
        <v>-327.97785153448649</v>
      </c>
      <c r="J93">
        <f t="shared" si="10"/>
        <v>-0.33504286154565538</v>
      </c>
      <c r="N93">
        <f t="shared" si="11"/>
        <v>1.7312028715322777E-2</v>
      </c>
    </row>
    <row r="94" spans="1:14">
      <c r="A94">
        <v>9.3385492818181799</v>
      </c>
      <c r="B94">
        <v>1.03581730407702</v>
      </c>
      <c r="C94">
        <v>0.94928743329397802</v>
      </c>
      <c r="D94">
        <v>0.95866945999999986</v>
      </c>
      <c r="E94">
        <f t="shared" si="12"/>
        <v>1.0573873633622561</v>
      </c>
      <c r="F94">
        <v>1.12990106756371E-4</v>
      </c>
      <c r="G94">
        <v>3.4514</v>
      </c>
      <c r="H94">
        <v>3.3052280000000001</v>
      </c>
      <c r="I94">
        <f t="shared" si="9"/>
        <v>-327.97786656607838</v>
      </c>
      <c r="J94">
        <f t="shared" si="10"/>
        <v>-0.33504287657724729</v>
      </c>
      <c r="N94">
        <f t="shared" si="11"/>
        <v>1.7312028564358768E-2</v>
      </c>
    </row>
    <row r="95" spans="1:14">
      <c r="A95">
        <v>9.4423109405050507</v>
      </c>
      <c r="B95">
        <v>1.0358173057476301</v>
      </c>
      <c r="C95">
        <v>0.95280244634193301</v>
      </c>
      <c r="D95">
        <v>0.95866945999999986</v>
      </c>
      <c r="E95">
        <f t="shared" si="12"/>
        <v>1.0558813348308607</v>
      </c>
      <c r="F95">
        <v>1.12990106756371E-4</v>
      </c>
      <c r="G95">
        <v>3.4514</v>
      </c>
      <c r="H95">
        <v>3.3052280000000001</v>
      </c>
      <c r="I95">
        <f t="shared" si="9"/>
        <v>-327.97788159776007</v>
      </c>
      <c r="J95">
        <f t="shared" si="10"/>
        <v>-0.33504289160892897</v>
      </c>
      <c r="N95">
        <f t="shared" si="11"/>
        <v>1.7312028413393861E-2</v>
      </c>
    </row>
    <row r="96" spans="1:14">
      <c r="A96">
        <v>9.5460725991919109</v>
      </c>
      <c r="B96">
        <v>1.03581730741824</v>
      </c>
      <c r="C96">
        <v>0.95631745938988799</v>
      </c>
      <c r="D96">
        <v>0.95866945999999986</v>
      </c>
      <c r="E96">
        <f t="shared" si="12"/>
        <v>1.0544306471485634</v>
      </c>
      <c r="F96">
        <v>1.12990106756371E-4</v>
      </c>
      <c r="G96">
        <v>3.4514</v>
      </c>
      <c r="H96">
        <v>3.3052280000000001</v>
      </c>
      <c r="I96">
        <f t="shared" si="9"/>
        <v>-327.97789662943984</v>
      </c>
      <c r="J96">
        <f t="shared" si="10"/>
        <v>-0.33504290664060876</v>
      </c>
      <c r="N96">
        <f t="shared" si="11"/>
        <v>1.7312028262428971E-2</v>
      </c>
    </row>
    <row r="97" spans="1:14">
      <c r="A97">
        <v>9.6498342578787799</v>
      </c>
      <c r="B97">
        <v>1.0358173090888501</v>
      </c>
      <c r="C97">
        <v>0.95983247243784309</v>
      </c>
      <c r="D97">
        <v>0.96080881942932095</v>
      </c>
      <c r="E97">
        <f t="shared" si="12"/>
        <v>1.0530326979237106</v>
      </c>
      <c r="F97">
        <v>1.12990106756371E-4</v>
      </c>
      <c r="G97">
        <v>3.4514</v>
      </c>
      <c r="H97">
        <v>3.3052280000000001</v>
      </c>
      <c r="I97">
        <f t="shared" si="9"/>
        <v>-327.97791166112148</v>
      </c>
      <c r="J97">
        <f t="shared" si="10"/>
        <v>-0.33504292167229038</v>
      </c>
      <c r="N97">
        <f t="shared" si="11"/>
        <v>1.7312028111464067E-2</v>
      </c>
    </row>
    <row r="98" spans="1:14">
      <c r="A98">
        <v>9.7535959165656507</v>
      </c>
      <c r="B98">
        <v>1.0358173107594599</v>
      </c>
      <c r="C98">
        <v>0.96381012994718596</v>
      </c>
      <c r="D98">
        <v>0.96506944148362594</v>
      </c>
      <c r="E98">
        <f t="shared" si="12"/>
        <v>1.0516850333248973</v>
      </c>
      <c r="F98">
        <v>1.12990106756371E-4</v>
      </c>
      <c r="G98">
        <v>3.4514</v>
      </c>
      <c r="H98">
        <v>3.3052280000000001</v>
      </c>
      <c r="I98">
        <f t="shared" si="9"/>
        <v>-327.97792669280113</v>
      </c>
      <c r="J98">
        <f t="shared" si="10"/>
        <v>-0.33504293670397006</v>
      </c>
      <c r="N98">
        <f t="shared" si="11"/>
        <v>1.7312027960499177E-2</v>
      </c>
    </row>
    <row r="99" spans="1:14">
      <c r="A99">
        <v>9.8573575752525198</v>
      </c>
      <c r="B99">
        <v>1.0283703614684201</v>
      </c>
      <c r="C99">
        <v>0.97357405565025901</v>
      </c>
      <c r="D99">
        <v>0.97323893806276196</v>
      </c>
      <c r="E99">
        <f t="shared" si="12"/>
        <v>1.0503853381368162</v>
      </c>
      <c r="F99">
        <v>1.12990106756371E-4</v>
      </c>
      <c r="G99">
        <v>3.4514</v>
      </c>
      <c r="H99">
        <v>3.3052280000000001</v>
      </c>
      <c r="I99">
        <f t="shared" si="9"/>
        <v>-260.73033601959719</v>
      </c>
      <c r="J99">
        <f t="shared" si="10"/>
        <v>-0.2677953460307661</v>
      </c>
      <c r="N99">
        <f t="shared" si="11"/>
        <v>1.7996284245902196E-2</v>
      </c>
    </row>
    <row r="100" spans="1:14">
      <c r="A100">
        <v>9.9611192339393906</v>
      </c>
      <c r="B100">
        <v>1.01614423448999</v>
      </c>
      <c r="C100">
        <v>0.98333798135333184</v>
      </c>
      <c r="D100">
        <v>0.98315307773655203</v>
      </c>
      <c r="E100">
        <f t="shared" si="12"/>
        <v>1.0491314265776688</v>
      </c>
      <c r="F100">
        <v>1.12990106756371E-4</v>
      </c>
      <c r="G100">
        <v>3.4514</v>
      </c>
      <c r="H100">
        <v>3.3052280000000001</v>
      </c>
      <c r="I100">
        <f t="shared" si="9"/>
        <v>-149.26252005042602</v>
      </c>
      <c r="J100">
        <f>(I100-$K$4)*$J$2</f>
        <v>-0.15632753006159497</v>
      </c>
      <c r="N100">
        <f t="shared" si="11"/>
        <v>1.9170109618039898E-2</v>
      </c>
    </row>
    <row r="101" spans="1:14">
      <c r="A101">
        <v>10.064880892626199</v>
      </c>
      <c r="B101">
        <v>1.00739581409514</v>
      </c>
      <c r="C101">
        <v>0.99394628349388814</v>
      </c>
      <c r="D101">
        <v>0.99301911811961596</v>
      </c>
      <c r="E101">
        <f t="shared" si="12"/>
        <v>1.0479212338126138</v>
      </c>
      <c r="F101">
        <v>1.12990106756371E-4</v>
      </c>
      <c r="G101">
        <v>3.4514</v>
      </c>
      <c r="H101">
        <v>3.3052280000000001</v>
      </c>
      <c r="I101">
        <f t="shared" si="9"/>
        <v>-68.675299997630503</v>
      </c>
      <c r="J101">
        <f>(I101-$K$4)*$J$2</f>
        <v>-7.5740310008799425E-2</v>
      </c>
      <c r="N101">
        <f t="shared" si="11"/>
        <v>2.0050084632870949E-2</v>
      </c>
    </row>
    <row r="102" spans="1:14">
      <c r="A102">
        <v>10.1686425513131</v>
      </c>
      <c r="B102">
        <v>0.99614777112236186</v>
      </c>
      <c r="C102">
        <v>1.0049737762386599</v>
      </c>
      <c r="D102">
        <v>1.0028460370598</v>
      </c>
      <c r="E102">
        <f t="shared" si="12"/>
        <v>1.0467528081039783</v>
      </c>
      <c r="F102">
        <v>1.12990106756371E-4</v>
      </c>
      <c r="G102">
        <v>3.4514</v>
      </c>
      <c r="H102">
        <v>3.3052280000000001</v>
      </c>
      <c r="I102">
        <f t="shared" si="9"/>
        <v>35.972080941077188</v>
      </c>
      <c r="J102">
        <f>(I102-$K$4)*$J$2</f>
        <v>2.8907070929908265E-2</v>
      </c>
      <c r="N102">
        <f t="shared" si="11"/>
        <v>2.1232834995060079E-2</v>
      </c>
    </row>
    <row r="103" spans="1:14">
      <c r="A103">
        <v>10.272404209999999</v>
      </c>
      <c r="B103">
        <v>0.98849996210706403</v>
      </c>
      <c r="C103">
        <v>1.0160012689834399</v>
      </c>
      <c r="D103">
        <v>1.0126729560000001</v>
      </c>
      <c r="E103">
        <f t="shared" si="12"/>
        <v>1.0456243035445587</v>
      </c>
      <c r="F103">
        <v>1.12990106756371E-4</v>
      </c>
      <c r="G103">
        <v>3.4514</v>
      </c>
      <c r="H103">
        <v>3.3052280000000001</v>
      </c>
      <c r="I103">
        <f t="shared" si="9"/>
        <v>107.80133885279376</v>
      </c>
      <c r="J103">
        <f>(I103-$K$4)*$J$2</f>
        <v>0.10073632884162484</v>
      </c>
      <c r="N103">
        <f t="shared" si="11"/>
        <v>2.2071304391883529E-2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863E-DD84-4A74-88F1-8385709173A7}">
  <dimension ref="A1:K101"/>
  <sheetViews>
    <sheetView topLeftCell="G5" zoomScale="140" zoomScaleNormal="140" workbookViewId="0">
      <selection activeCell="W10" sqref="W10"/>
    </sheetView>
  </sheetViews>
  <sheetFormatPr defaultRowHeight="14.25"/>
  <sheetData>
    <row r="1" spans="1:11" ht="18.75">
      <c r="A1" t="s">
        <v>377</v>
      </c>
      <c r="B1" t="s">
        <v>383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  <c r="H1" t="s">
        <v>384</v>
      </c>
      <c r="I1" t="s">
        <v>385</v>
      </c>
      <c r="J1" t="s">
        <v>386</v>
      </c>
      <c r="K1" t="s">
        <v>375</v>
      </c>
    </row>
    <row r="2" spans="1:1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2.92266</v>
      </c>
      <c r="K2">
        <v>2.7178740000000001</v>
      </c>
    </row>
    <row r="3" spans="1:11">
      <c r="A3">
        <v>6.9877140464646395E-2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2.92266</v>
      </c>
      <c r="K3">
        <v>2.7178740000000001</v>
      </c>
    </row>
    <row r="4" spans="1:11">
      <c r="A4">
        <v>0.13975428092929201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2.92266</v>
      </c>
      <c r="K4">
        <v>2.7178740000000001</v>
      </c>
    </row>
    <row r="5" spans="1:11">
      <c r="A5">
        <v>0.209631421393939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2.92266</v>
      </c>
      <c r="K5">
        <v>2.7178740000000001</v>
      </c>
    </row>
    <row r="6" spans="1:11">
      <c r="A6">
        <v>0.27950856185858503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2.92266</v>
      </c>
      <c r="K6">
        <v>2.7178740000000001</v>
      </c>
    </row>
    <row r="7" spans="1:11">
      <c r="A7">
        <v>0.34938570232323202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2.92266</v>
      </c>
      <c r="K7">
        <v>2.7178740000000001</v>
      </c>
    </row>
    <row r="8" spans="1:11">
      <c r="A8">
        <v>0.41926284278787801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2.92266</v>
      </c>
      <c r="K8">
        <v>2.7178740000000001</v>
      </c>
    </row>
    <row r="9" spans="1:11">
      <c r="A9">
        <v>0.489139983252525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2.92266</v>
      </c>
      <c r="K9">
        <v>2.7178740000000001</v>
      </c>
    </row>
    <row r="10" spans="1:11">
      <c r="A10">
        <v>0.55901712371717105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2.92266</v>
      </c>
      <c r="K10">
        <v>2.7178740000000001</v>
      </c>
    </row>
    <row r="11" spans="1:11">
      <c r="A11">
        <v>0.62889426418181804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2.92266</v>
      </c>
      <c r="K11">
        <v>2.7178740000000001</v>
      </c>
    </row>
    <row r="12" spans="1:11">
      <c r="A12">
        <v>0.69877140464646403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2.92266</v>
      </c>
      <c r="K12">
        <v>2.7178740000000001</v>
      </c>
    </row>
    <row r="13" spans="1:11">
      <c r="A13">
        <v>0.76864854511111103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2.92266</v>
      </c>
      <c r="K13">
        <v>2.7178740000000001</v>
      </c>
    </row>
    <row r="14" spans="1:11">
      <c r="A14">
        <v>0.83852568557575702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2.92266</v>
      </c>
      <c r="K14">
        <v>2.7178740000000001</v>
      </c>
    </row>
    <row r="15" spans="1:11">
      <c r="A15">
        <v>0.90840282604040401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2.92266</v>
      </c>
      <c r="K15">
        <v>2.7178740000000001</v>
      </c>
    </row>
    <row r="16" spans="1:11">
      <c r="A16">
        <v>0.97827996650505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2.92266</v>
      </c>
      <c r="K16">
        <v>2.7178740000000001</v>
      </c>
    </row>
    <row r="17" spans="1:11">
      <c r="A17">
        <v>1.04815710696969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2.92266</v>
      </c>
      <c r="K17">
        <v>2.7178740000000001</v>
      </c>
    </row>
    <row r="18" spans="1:11">
      <c r="A18">
        <v>1.1180342474343401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2.92266</v>
      </c>
      <c r="K18">
        <v>2.7178740000000001</v>
      </c>
    </row>
    <row r="19" spans="1:11">
      <c r="A19">
        <v>1.18791138789899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2.92266</v>
      </c>
      <c r="K19">
        <v>2.7178740000000001</v>
      </c>
    </row>
    <row r="20" spans="1:11">
      <c r="A20">
        <v>1.2577885283636301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2.92266</v>
      </c>
      <c r="K20">
        <v>2.7178740000000001</v>
      </c>
    </row>
    <row r="21" spans="1:11">
      <c r="A21">
        <v>1.32766566882828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2.92266</v>
      </c>
      <c r="K21">
        <v>2.7178740000000001</v>
      </c>
    </row>
    <row r="22" spans="1:11">
      <c r="A22">
        <v>1.3975428092929201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2.92266</v>
      </c>
      <c r="K22">
        <v>2.7178740000000001</v>
      </c>
    </row>
    <row r="23" spans="1:11">
      <c r="A23">
        <v>1.46741994975757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2.92266</v>
      </c>
      <c r="K23">
        <v>2.7178740000000001</v>
      </c>
    </row>
    <row r="24" spans="1:11">
      <c r="A24">
        <v>1.5372970902222201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2.92266</v>
      </c>
      <c r="K24">
        <v>2.7178740000000001</v>
      </c>
    </row>
    <row r="25" spans="1:11">
      <c r="A25">
        <v>1.6071742306868599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2.92266</v>
      </c>
      <c r="K25">
        <v>2.7178740000000001</v>
      </c>
    </row>
    <row r="26" spans="1:11">
      <c r="A26">
        <v>1.67705137115151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2.92266</v>
      </c>
      <c r="K26">
        <v>2.7178740000000001</v>
      </c>
    </row>
    <row r="27" spans="1:11">
      <c r="A27">
        <v>1.7469285116161599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2.92266</v>
      </c>
      <c r="K27">
        <v>2.7178740000000001</v>
      </c>
    </row>
    <row r="28" spans="1:11">
      <c r="A28">
        <v>1.8168056520808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2.92266</v>
      </c>
      <c r="K28">
        <v>2.7178740000000001</v>
      </c>
    </row>
    <row r="29" spans="1:11">
      <c r="A29">
        <v>1.8866827925454499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2.92266</v>
      </c>
      <c r="K29">
        <v>2.7178740000000001</v>
      </c>
    </row>
    <row r="30" spans="1:11">
      <c r="A30">
        <v>1.9565599330101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2.92266</v>
      </c>
      <c r="K30">
        <v>2.7178740000000001</v>
      </c>
    </row>
    <row r="31" spans="1:11">
      <c r="A31">
        <v>2.0264370734747401</v>
      </c>
      <c r="B31">
        <v>0</v>
      </c>
      <c r="C31">
        <v>4.1439282718959197E-3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2.92266</v>
      </c>
      <c r="K31">
        <v>2.7178740000000001</v>
      </c>
    </row>
    <row r="32" spans="1:11">
      <c r="A32">
        <v>2.0963142139393902</v>
      </c>
      <c r="B32">
        <v>0</v>
      </c>
      <c r="C32">
        <v>5.8661238233255102E-3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2.92266</v>
      </c>
      <c r="K32">
        <v>2.7178740000000001</v>
      </c>
    </row>
    <row r="33" spans="1:11">
      <c r="A33">
        <v>2.1661913544040399</v>
      </c>
      <c r="B33">
        <v>0</v>
      </c>
      <c r="C33">
        <v>1.5659685761339599E-2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2.92266</v>
      </c>
      <c r="K33">
        <v>2.7178740000000001</v>
      </c>
    </row>
    <row r="34" spans="1:11">
      <c r="A34">
        <v>2.2360684948686802</v>
      </c>
      <c r="B34">
        <v>0</v>
      </c>
      <c r="C34">
        <v>3.9459244021211003E-2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2.92266</v>
      </c>
      <c r="K34">
        <v>2.7178740000000001</v>
      </c>
    </row>
    <row r="35" spans="1:11">
      <c r="A35">
        <v>2.3059456353333299</v>
      </c>
      <c r="B35">
        <v>0</v>
      </c>
      <c r="C35">
        <v>0.113159072768186</v>
      </c>
      <c r="D35">
        <v>6.9276496907171902E-3</v>
      </c>
      <c r="E35">
        <v>0</v>
      </c>
      <c r="F35">
        <v>0</v>
      </c>
      <c r="G35">
        <v>0</v>
      </c>
      <c r="H35">
        <v>1</v>
      </c>
      <c r="I35">
        <v>1</v>
      </c>
      <c r="J35">
        <v>2.92266</v>
      </c>
      <c r="K35">
        <v>2.7178740000000001</v>
      </c>
    </row>
    <row r="36" spans="1:11">
      <c r="A36">
        <v>2.37582277579798</v>
      </c>
      <c r="B36">
        <v>9.6443673467693503E-3</v>
      </c>
      <c r="C36">
        <v>0.22626875969598401</v>
      </c>
      <c r="D36">
        <v>6.8072718830255096E-3</v>
      </c>
      <c r="E36">
        <v>0</v>
      </c>
      <c r="F36">
        <v>0</v>
      </c>
      <c r="G36">
        <v>0</v>
      </c>
      <c r="H36">
        <v>1</v>
      </c>
      <c r="I36">
        <v>1</v>
      </c>
      <c r="J36">
        <v>2.92266</v>
      </c>
      <c r="K36">
        <v>2.7178740000000001</v>
      </c>
    </row>
    <row r="37" spans="1:11">
      <c r="A37">
        <v>2.4456999162626198</v>
      </c>
      <c r="B37">
        <v>4.3550193574662097E-2</v>
      </c>
      <c r="C37">
        <v>0.36311303277593499</v>
      </c>
      <c r="D37">
        <v>6.6868940753338204E-3</v>
      </c>
      <c r="E37">
        <v>0</v>
      </c>
      <c r="F37">
        <v>0</v>
      </c>
      <c r="G37">
        <v>0</v>
      </c>
      <c r="H37">
        <v>1</v>
      </c>
      <c r="I37">
        <v>1</v>
      </c>
      <c r="J37">
        <v>2.92266</v>
      </c>
      <c r="K37">
        <v>2.7178740000000001</v>
      </c>
    </row>
    <row r="38" spans="1:11">
      <c r="A38">
        <v>2.5155770567272699</v>
      </c>
      <c r="B38">
        <v>0.142056080776155</v>
      </c>
      <c r="C38">
        <v>0.48935575348365101</v>
      </c>
      <c r="D38">
        <v>6.5665162676421304E-3</v>
      </c>
      <c r="E38">
        <v>0</v>
      </c>
      <c r="F38">
        <v>0</v>
      </c>
      <c r="G38">
        <v>0</v>
      </c>
      <c r="H38">
        <v>1</v>
      </c>
      <c r="I38">
        <v>1</v>
      </c>
      <c r="J38">
        <v>2.92266</v>
      </c>
      <c r="K38">
        <v>2.7178740000000001</v>
      </c>
    </row>
    <row r="39" spans="1:11">
      <c r="A39">
        <v>2.5854541971919098</v>
      </c>
      <c r="B39">
        <v>0.32530735403419703</v>
      </c>
      <c r="C39">
        <v>0.57160057753108195</v>
      </c>
      <c r="D39">
        <v>6.5550340731277499E-3</v>
      </c>
      <c r="E39">
        <v>0</v>
      </c>
      <c r="F39">
        <v>0</v>
      </c>
      <c r="G39">
        <v>0</v>
      </c>
      <c r="H39">
        <v>1</v>
      </c>
      <c r="I39">
        <v>0.94286527625412597</v>
      </c>
      <c r="J39">
        <v>2.92266</v>
      </c>
      <c r="K39">
        <v>2.7178740000000001</v>
      </c>
    </row>
    <row r="40" spans="1:11">
      <c r="A40">
        <v>2.6553313376565599</v>
      </c>
      <c r="B40">
        <v>0.53563180168398505</v>
      </c>
      <c r="C40">
        <v>0.60263653759454305</v>
      </c>
      <c r="D40">
        <v>7.8988767311985505E-3</v>
      </c>
      <c r="E40">
        <v>0</v>
      </c>
      <c r="F40">
        <v>0</v>
      </c>
      <c r="G40">
        <v>0</v>
      </c>
      <c r="H40">
        <v>1</v>
      </c>
      <c r="I40">
        <v>0.17534293796327899</v>
      </c>
      <c r="J40">
        <v>2.92266</v>
      </c>
      <c r="K40">
        <v>2.7178740000000001</v>
      </c>
    </row>
    <row r="41" spans="1:11">
      <c r="A41">
        <v>2.72520847812121</v>
      </c>
      <c r="B41">
        <v>0.66756402188536401</v>
      </c>
      <c r="C41">
        <v>0.58857638907787502</v>
      </c>
      <c r="D41">
        <v>1.34004403391999E-2</v>
      </c>
      <c r="E41">
        <v>1.5836782393491701E-3</v>
      </c>
      <c r="F41">
        <v>0</v>
      </c>
      <c r="G41">
        <v>0</v>
      </c>
      <c r="H41">
        <v>0.95216866430352098</v>
      </c>
      <c r="I41">
        <v>0.14399350407956199</v>
      </c>
      <c r="J41">
        <v>2.92266</v>
      </c>
      <c r="K41">
        <v>2.7178740000000001</v>
      </c>
    </row>
    <row r="42" spans="1:11">
      <c r="A42">
        <v>2.7950856185858499</v>
      </c>
      <c r="B42">
        <v>0.68987244661969305</v>
      </c>
      <c r="C42">
        <v>0.55088091667602801</v>
      </c>
      <c r="D42">
        <v>2.90281346391714E-2</v>
      </c>
      <c r="E42">
        <v>3.5292360257694298E-3</v>
      </c>
      <c r="F42">
        <v>0</v>
      </c>
      <c r="G42">
        <v>0</v>
      </c>
      <c r="H42">
        <v>1.7418993761566401E-2</v>
      </c>
      <c r="I42">
        <v>0.14399350407956199</v>
      </c>
      <c r="J42">
        <v>2.92266</v>
      </c>
      <c r="K42">
        <v>2.7178740000000001</v>
      </c>
    </row>
    <row r="43" spans="1:11">
      <c r="A43">
        <v>2.8649627590505</v>
      </c>
      <c r="B43">
        <v>0.64010797388757801</v>
      </c>
      <c r="C43">
        <v>0.497288016016041</v>
      </c>
      <c r="D43">
        <v>5.1871463343989697E-2</v>
      </c>
      <c r="E43">
        <v>5.8697478695506101E-3</v>
      </c>
      <c r="F43">
        <v>0</v>
      </c>
      <c r="G43">
        <v>0</v>
      </c>
      <c r="H43">
        <v>1.7418993761566401E-2</v>
      </c>
      <c r="I43">
        <v>0.14399350407956199</v>
      </c>
      <c r="J43">
        <v>2.92266</v>
      </c>
      <c r="K43">
        <v>2.7178740000000001</v>
      </c>
    </row>
    <row r="44" spans="1:11">
      <c r="A44">
        <v>2.9348398995151501</v>
      </c>
      <c r="B44">
        <v>0.53629563778408795</v>
      </c>
      <c r="C44">
        <v>0.44116381270969801</v>
      </c>
      <c r="D44">
        <v>0.120992417014597</v>
      </c>
      <c r="E44">
        <v>8.5407524961394997E-3</v>
      </c>
      <c r="F44">
        <v>0</v>
      </c>
      <c r="G44">
        <v>0</v>
      </c>
      <c r="H44">
        <v>1.7418993761566401E-2</v>
      </c>
      <c r="I44">
        <v>0.14399350407956199</v>
      </c>
      <c r="J44">
        <v>2.92266</v>
      </c>
      <c r="K44">
        <v>2.7178740000000001</v>
      </c>
    </row>
    <row r="45" spans="1:11">
      <c r="A45">
        <v>3.00471703997979</v>
      </c>
      <c r="B45">
        <v>0.41602699026757101</v>
      </c>
      <c r="C45">
        <v>0.38805760791176902</v>
      </c>
      <c r="D45">
        <v>0.21182684230943799</v>
      </c>
      <c r="E45">
        <v>1.19624144817575E-2</v>
      </c>
      <c r="F45">
        <v>0</v>
      </c>
      <c r="G45">
        <v>0</v>
      </c>
      <c r="H45">
        <v>1.7418993761566401E-2</v>
      </c>
      <c r="I45">
        <v>0.14399350407956199</v>
      </c>
      <c r="J45">
        <v>2.92266</v>
      </c>
      <c r="K45">
        <v>2.7178740000000001</v>
      </c>
    </row>
    <row r="46" spans="1:11">
      <c r="A46">
        <v>3.0745941804444401</v>
      </c>
      <c r="B46">
        <v>0.31428519142339001</v>
      </c>
      <c r="C46">
        <v>0.34048227087744198</v>
      </c>
      <c r="D46">
        <v>0.32564294106250302</v>
      </c>
      <c r="E46">
        <v>1.6830224527728501E-2</v>
      </c>
      <c r="F46">
        <v>0</v>
      </c>
      <c r="G46">
        <v>0</v>
      </c>
      <c r="H46">
        <v>1.7418993761566401E-2</v>
      </c>
      <c r="I46">
        <v>0.14399350407956199</v>
      </c>
      <c r="J46">
        <v>2.92266</v>
      </c>
      <c r="K46">
        <v>2.7178740000000001</v>
      </c>
    </row>
    <row r="47" spans="1:11">
      <c r="A47">
        <v>3.1444713209090902</v>
      </c>
      <c r="B47">
        <v>0.23282633447970399</v>
      </c>
      <c r="C47">
        <v>0.29876551393373302</v>
      </c>
      <c r="D47">
        <v>0.45922878716322302</v>
      </c>
      <c r="E47">
        <v>2.30465595107094E-2</v>
      </c>
      <c r="F47">
        <v>7.6637300451885999E-4</v>
      </c>
      <c r="G47">
        <v>0</v>
      </c>
      <c r="H47">
        <v>1.7418993761566401E-2</v>
      </c>
      <c r="I47">
        <v>0.14399350407956199</v>
      </c>
      <c r="J47">
        <v>2.92266</v>
      </c>
      <c r="K47">
        <v>2.7178740000000001</v>
      </c>
    </row>
    <row r="48" spans="1:11">
      <c r="A48">
        <v>3.2143484613737301</v>
      </c>
      <c r="B48">
        <v>0.17268073309005499</v>
      </c>
      <c r="C48">
        <v>0.26525328428621803</v>
      </c>
      <c r="D48">
        <v>0.56018456629660296</v>
      </c>
      <c r="E48">
        <v>2.9126327946626701E-2</v>
      </c>
      <c r="F48">
        <v>1.3333316665492599E-3</v>
      </c>
      <c r="G48">
        <v>0</v>
      </c>
      <c r="H48">
        <v>1.7418993761566401E-2</v>
      </c>
      <c r="I48">
        <v>0.14399350407956199</v>
      </c>
      <c r="J48">
        <v>2.92266</v>
      </c>
      <c r="K48">
        <v>2.7178740000000001</v>
      </c>
    </row>
    <row r="49" spans="1:11">
      <c r="A49">
        <v>3.2842256018383802</v>
      </c>
      <c r="B49">
        <v>0.12745855270899201</v>
      </c>
      <c r="C49">
        <v>0.23339396261131101</v>
      </c>
      <c r="D49">
        <v>0.72993345455345804</v>
      </c>
      <c r="E49">
        <v>3.5190998748081799E-2</v>
      </c>
      <c r="F49">
        <v>2.7424327802620702E-3</v>
      </c>
      <c r="G49">
        <v>0</v>
      </c>
      <c r="H49">
        <v>1.7418993761566401E-2</v>
      </c>
      <c r="I49">
        <v>0.14399350407956199</v>
      </c>
      <c r="J49">
        <v>2.92266</v>
      </c>
      <c r="K49">
        <v>2.7178740000000001</v>
      </c>
    </row>
    <row r="50" spans="1:11">
      <c r="A50">
        <v>3.3541027423030298</v>
      </c>
      <c r="B50">
        <v>9.7782837380878604E-2</v>
      </c>
      <c r="C50">
        <v>0.212019619871545</v>
      </c>
      <c r="D50">
        <v>0.83175583619066396</v>
      </c>
      <c r="E50">
        <v>4.1903033473378801E-2</v>
      </c>
      <c r="F50">
        <v>4.62393489770136E-3</v>
      </c>
      <c r="G50">
        <v>0</v>
      </c>
      <c r="H50">
        <v>1.7418993761566401E-2</v>
      </c>
      <c r="I50">
        <v>0.14399350407956199</v>
      </c>
      <c r="J50">
        <v>2.92266</v>
      </c>
      <c r="K50">
        <v>2.7178740000000001</v>
      </c>
    </row>
    <row r="51" spans="1:11">
      <c r="A51">
        <v>3.4239798827676702</v>
      </c>
      <c r="B51">
        <v>7.7530997813011995E-2</v>
      </c>
      <c r="C51">
        <v>0.192423699621767</v>
      </c>
      <c r="D51">
        <v>0.91248056896789898</v>
      </c>
      <c r="E51">
        <v>4.8661504481700799E-2</v>
      </c>
      <c r="F51">
        <v>7.0523216926783898E-3</v>
      </c>
      <c r="G51">
        <v>0</v>
      </c>
      <c r="H51">
        <v>1.7418993761566401E-2</v>
      </c>
      <c r="I51">
        <v>0.14399350407956199</v>
      </c>
      <c r="J51">
        <v>2.92266</v>
      </c>
      <c r="K51">
        <v>2.7178740000000001</v>
      </c>
    </row>
    <row r="52" spans="1:11">
      <c r="A52">
        <v>3.4938570232323198</v>
      </c>
      <c r="B52">
        <v>6.2727106099798799E-2</v>
      </c>
      <c r="C52">
        <v>0.17762473247525901</v>
      </c>
      <c r="D52">
        <v>0.96520502062705305</v>
      </c>
      <c r="E52">
        <v>5.5511941846625598E-2</v>
      </c>
      <c r="F52">
        <v>1.0388681181201599E-2</v>
      </c>
      <c r="G52">
        <v>0</v>
      </c>
      <c r="H52">
        <v>1.7418993761566401E-2</v>
      </c>
      <c r="I52">
        <v>0.14399350407956199</v>
      </c>
      <c r="J52">
        <v>2.92266</v>
      </c>
      <c r="K52">
        <v>2.7178740000000001</v>
      </c>
    </row>
    <row r="53" spans="1:11">
      <c r="A53">
        <v>3.5637341636969602</v>
      </c>
      <c r="B53">
        <v>5.2028704336295098E-2</v>
      </c>
      <c r="C53">
        <v>0.16572541033219901</v>
      </c>
      <c r="D53">
        <v>1.00039911134319</v>
      </c>
      <c r="E53">
        <v>6.2820469898041104E-2</v>
      </c>
      <c r="F53">
        <v>1.48549543416745E-2</v>
      </c>
      <c r="G53">
        <v>0</v>
      </c>
      <c r="H53">
        <v>1.7418993761566401E-2</v>
      </c>
      <c r="I53">
        <v>0.14399350407956199</v>
      </c>
      <c r="J53">
        <v>2.92266</v>
      </c>
      <c r="K53">
        <v>2.7178740000000001</v>
      </c>
    </row>
    <row r="54" spans="1:11">
      <c r="A54">
        <v>3.6336113041616098</v>
      </c>
      <c r="B54">
        <v>4.51756091151366E-2</v>
      </c>
      <c r="C54">
        <v>0.15573541128479099</v>
      </c>
      <c r="D54">
        <v>0.99633174432568505</v>
      </c>
      <c r="E54">
        <v>7.0556207725794198E-2</v>
      </c>
      <c r="F54">
        <v>2.0760044382929398E-2</v>
      </c>
      <c r="G54">
        <v>2.9492768398931999E-4</v>
      </c>
      <c r="H54">
        <v>1.7418993761566401E-2</v>
      </c>
      <c r="I54">
        <v>0.14399350407956199</v>
      </c>
      <c r="J54">
        <v>2.92266</v>
      </c>
      <c r="K54">
        <v>2.7178740000000001</v>
      </c>
    </row>
    <row r="55" spans="1:11">
      <c r="A55">
        <v>3.7034884446262599</v>
      </c>
      <c r="B55">
        <v>3.9346826476685998E-2</v>
      </c>
      <c r="C55">
        <v>0.148119613503571</v>
      </c>
      <c r="D55">
        <v>0.98408539950348095</v>
      </c>
      <c r="E55">
        <v>7.8542177874519101E-2</v>
      </c>
      <c r="F55">
        <v>2.7263019885111602E-2</v>
      </c>
      <c r="G55">
        <v>3.24877703878893E-4</v>
      </c>
      <c r="H55">
        <v>1.7418993761566401E-2</v>
      </c>
      <c r="I55">
        <v>0.14399350407956199</v>
      </c>
      <c r="J55">
        <v>2.92266</v>
      </c>
      <c r="K55">
        <v>2.7178740000000001</v>
      </c>
    </row>
    <row r="56" spans="1:11">
      <c r="A56">
        <v>3.7733655850908998</v>
      </c>
      <c r="B56">
        <v>3.55825655197788E-2</v>
      </c>
      <c r="C56">
        <v>0.140797894726055</v>
      </c>
      <c r="D56">
        <v>0.95650794051771904</v>
      </c>
      <c r="E56">
        <v>8.5662284023683199E-2</v>
      </c>
      <c r="F56">
        <v>3.3765995387293898E-2</v>
      </c>
      <c r="G56">
        <v>9.7859634762841692E-4</v>
      </c>
      <c r="H56">
        <v>1.7418993761566401E-2</v>
      </c>
      <c r="I56">
        <v>0.14399350407956199</v>
      </c>
      <c r="J56">
        <v>2.92266</v>
      </c>
      <c r="K56">
        <v>2.7178740000000001</v>
      </c>
    </row>
    <row r="57" spans="1:11">
      <c r="A57">
        <v>3.8432427255555499</v>
      </c>
      <c r="B57">
        <v>3.2410108395683097E-2</v>
      </c>
      <c r="C57">
        <v>0.13658386541091999</v>
      </c>
      <c r="D57">
        <v>0.91955963002253505</v>
      </c>
      <c r="E57">
        <v>9.1098916874444699E-2</v>
      </c>
      <c r="F57">
        <v>4.0268970889476202E-2</v>
      </c>
      <c r="G57">
        <v>2.1560263236586798E-3</v>
      </c>
      <c r="H57">
        <v>1.7418993761566401E-2</v>
      </c>
      <c r="I57">
        <v>0.14399350407956199</v>
      </c>
      <c r="J57">
        <v>2.92266</v>
      </c>
      <c r="K57">
        <v>2.7178740000000001</v>
      </c>
    </row>
    <row r="58" spans="1:11">
      <c r="A58">
        <v>3.9131198660202</v>
      </c>
      <c r="B58">
        <v>3.2397211327215202E-2</v>
      </c>
      <c r="C58">
        <v>0.13307815342129301</v>
      </c>
      <c r="D58">
        <v>0.87735776092597095</v>
      </c>
      <c r="E58">
        <v>9.4981668502610694E-2</v>
      </c>
      <c r="F58">
        <v>4.7574145381229602E-2</v>
      </c>
      <c r="G58">
        <v>4.3525446434807798E-3</v>
      </c>
      <c r="H58">
        <v>1.7418993761566401E-2</v>
      </c>
      <c r="I58">
        <v>0.14399350407956199</v>
      </c>
      <c r="J58">
        <v>2.92266</v>
      </c>
      <c r="K58">
        <v>2.7178740000000001</v>
      </c>
    </row>
    <row r="59" spans="1:11">
      <c r="A59">
        <v>3.9829970064848399</v>
      </c>
      <c r="B59">
        <v>3.2199154980353202E-2</v>
      </c>
      <c r="C59">
        <v>0.13096457529123301</v>
      </c>
      <c r="D59">
        <v>0.82962550645376798</v>
      </c>
      <c r="E59">
        <v>9.8674460613090598E-2</v>
      </c>
      <c r="F59">
        <v>5.6448882804703997E-2</v>
      </c>
      <c r="G59">
        <v>6.7450402267326603E-3</v>
      </c>
      <c r="H59">
        <v>1.7418993761566401E-2</v>
      </c>
      <c r="I59">
        <v>0.14399350407956199</v>
      </c>
      <c r="J59">
        <v>2.92266</v>
      </c>
      <c r="K59">
        <v>2.7178740000000001</v>
      </c>
    </row>
    <row r="60" spans="1:11">
      <c r="A60">
        <v>4.05287414694949</v>
      </c>
      <c r="B60">
        <v>3.0208912481635701E-2</v>
      </c>
      <c r="C60">
        <v>0.129042985482932</v>
      </c>
      <c r="D60">
        <v>0.78198339927468397</v>
      </c>
      <c r="E60">
        <v>0.102169520933755</v>
      </c>
      <c r="F60">
        <v>6.4306716440254999E-2</v>
      </c>
      <c r="G60">
        <v>9.8977166821703193E-3</v>
      </c>
      <c r="H60">
        <v>1.7418993761566401E-2</v>
      </c>
      <c r="I60">
        <v>0.14399350407956199</v>
      </c>
      <c r="J60">
        <v>2.92266</v>
      </c>
      <c r="K60">
        <v>2.7178740000000001</v>
      </c>
    </row>
    <row r="61" spans="1:11">
      <c r="A61">
        <v>4.1227512874141397</v>
      </c>
      <c r="B61">
        <v>2.9892714257190901E-2</v>
      </c>
      <c r="C61">
        <v>0.127324361146126</v>
      </c>
      <c r="D61">
        <v>0.734767446213758</v>
      </c>
      <c r="E61">
        <v>0.10428613860402999</v>
      </c>
      <c r="F61">
        <v>7.0183167539347502E-2</v>
      </c>
      <c r="G61">
        <v>1.46116729167822E-2</v>
      </c>
      <c r="H61">
        <v>1.7418993761566401E-2</v>
      </c>
      <c r="I61">
        <v>0.14399350407956199</v>
      </c>
      <c r="J61">
        <v>2.92266</v>
      </c>
      <c r="K61">
        <v>2.7178740000000001</v>
      </c>
    </row>
    <row r="62" spans="1:11">
      <c r="A62">
        <v>4.1926284278787804</v>
      </c>
      <c r="B62">
        <v>3.07133837323708E-2</v>
      </c>
      <c r="C62">
        <v>0.12764613380173401</v>
      </c>
      <c r="D62">
        <v>0.69425697945672005</v>
      </c>
      <c r="E62">
        <v>0.105622114770568</v>
      </c>
      <c r="F62">
        <v>7.5855051628586301E-2</v>
      </c>
      <c r="G62">
        <v>1.8854513201768199E-2</v>
      </c>
      <c r="H62">
        <v>1.7418993761566401E-2</v>
      </c>
      <c r="I62">
        <v>0.14399350407956199</v>
      </c>
      <c r="J62">
        <v>2.92266</v>
      </c>
      <c r="K62">
        <v>2.7178740000000001</v>
      </c>
    </row>
    <row r="63" spans="1:11">
      <c r="A63">
        <v>4.2625055683434301</v>
      </c>
      <c r="B63">
        <v>3.2437292683270003E-2</v>
      </c>
      <c r="C63">
        <v>0.12828771595017799</v>
      </c>
      <c r="D63">
        <v>0.65681138619098101</v>
      </c>
      <c r="E63">
        <v>0.106204385251622</v>
      </c>
      <c r="F63">
        <v>8.1125336251966204E-2</v>
      </c>
      <c r="G63">
        <v>2.2946501311167398E-2</v>
      </c>
      <c r="H63">
        <v>1.7418993761566401E-2</v>
      </c>
      <c r="I63">
        <v>0.14399350407956199</v>
      </c>
      <c r="J63">
        <v>2.92266</v>
      </c>
      <c r="K63">
        <v>2.7178740000000001</v>
      </c>
    </row>
    <row r="64" spans="1:11">
      <c r="A64">
        <v>4.3323827088080797</v>
      </c>
      <c r="B64">
        <v>3.4638950318917401E-2</v>
      </c>
      <c r="C64">
        <v>0.12857582912097901</v>
      </c>
      <c r="D64">
        <v>0.61316820832193197</v>
      </c>
      <c r="E64">
        <v>0.10641306156878499</v>
      </c>
      <c r="F64">
        <v>8.4147784043029195E-2</v>
      </c>
      <c r="G64">
        <v>2.6776566251295899E-2</v>
      </c>
      <c r="H64">
        <v>1.7418993761566401E-2</v>
      </c>
      <c r="I64">
        <v>0.14399350407956199</v>
      </c>
      <c r="J64">
        <v>2.92266</v>
      </c>
      <c r="K64">
        <v>2.7178740000000001</v>
      </c>
    </row>
    <row r="65" spans="1:11">
      <c r="A65">
        <v>4.4022598492727196</v>
      </c>
      <c r="B65">
        <v>3.7615467223946701E-2</v>
      </c>
      <c r="C65">
        <v>0.12980844640137401</v>
      </c>
      <c r="D65">
        <v>0.58609206256491997</v>
      </c>
      <c r="E65">
        <v>0.106369256430224</v>
      </c>
      <c r="F65">
        <v>8.6174456732082502E-2</v>
      </c>
      <c r="G65">
        <v>3.0620278128278399E-2</v>
      </c>
      <c r="H65">
        <v>1.7418993761566401E-2</v>
      </c>
      <c r="I65">
        <v>0.14399350407956199</v>
      </c>
      <c r="J65">
        <v>2.92266</v>
      </c>
      <c r="K65">
        <v>2.7178740000000001</v>
      </c>
    </row>
    <row r="66" spans="1:11">
      <c r="A66">
        <v>4.4721369897373702</v>
      </c>
      <c r="B66">
        <v>4.0654486958999397E-2</v>
      </c>
      <c r="C66">
        <v>0.131428990170288</v>
      </c>
      <c r="D66">
        <v>0.56454886934428705</v>
      </c>
      <c r="E66">
        <v>0.105060075193892</v>
      </c>
      <c r="F66">
        <v>8.7122447763479799E-2</v>
      </c>
      <c r="G66">
        <v>3.4447117236870099E-2</v>
      </c>
      <c r="H66">
        <v>1.7418993761566401E-2</v>
      </c>
      <c r="I66">
        <v>0.14399350407956199</v>
      </c>
      <c r="J66">
        <v>2.92266</v>
      </c>
      <c r="K66">
        <v>2.7178740000000001</v>
      </c>
    </row>
    <row r="67" spans="1:11">
      <c r="A67">
        <v>4.5420141302020198</v>
      </c>
      <c r="B67">
        <v>4.3746957651341199E-2</v>
      </c>
      <c r="C67">
        <v>0.133904323072119</v>
      </c>
      <c r="D67">
        <v>0.542403333959395</v>
      </c>
      <c r="E67">
        <v>0.103750893957559</v>
      </c>
      <c r="F67">
        <v>8.7378663410404706E-2</v>
      </c>
      <c r="G67">
        <v>3.6390549958886402E-2</v>
      </c>
      <c r="H67">
        <v>1.7418993761566401E-2</v>
      </c>
      <c r="I67">
        <v>0.14399350407956199</v>
      </c>
      <c r="J67">
        <v>2.92266</v>
      </c>
      <c r="K67">
        <v>2.7178740000000001</v>
      </c>
    </row>
    <row r="68" spans="1:11">
      <c r="A68">
        <v>4.6118912706666597</v>
      </c>
      <c r="B68">
        <v>4.6534665819548598E-2</v>
      </c>
      <c r="C68">
        <v>0.136392792702137</v>
      </c>
      <c r="D68">
        <v>0.524785627930759</v>
      </c>
      <c r="E68">
        <v>0.102330893097136</v>
      </c>
      <c r="F68">
        <v>8.6311255998700695E-2</v>
      </c>
      <c r="G68">
        <v>3.6920651275839898E-2</v>
      </c>
      <c r="H68">
        <v>1.7418993761566401E-2</v>
      </c>
      <c r="I68">
        <v>0.14399350407956199</v>
      </c>
      <c r="J68">
        <v>2.92266</v>
      </c>
      <c r="K68">
        <v>2.7178740000000001</v>
      </c>
    </row>
    <row r="69" spans="1:11">
      <c r="A69">
        <v>4.6817684111313103</v>
      </c>
      <c r="B69">
        <v>4.9518455308044197E-2</v>
      </c>
      <c r="C69">
        <v>0.14141285544010199</v>
      </c>
      <c r="D69">
        <v>0.51225041952783901</v>
      </c>
      <c r="E69">
        <v>0.100886285765526</v>
      </c>
      <c r="F69">
        <v>8.4357969561108595E-2</v>
      </c>
      <c r="G69">
        <v>3.7197121161033603E-2</v>
      </c>
      <c r="H69">
        <v>1.7418993761566401E-2</v>
      </c>
      <c r="I69">
        <v>0.14399350407956199</v>
      </c>
      <c r="J69">
        <v>2.92266</v>
      </c>
      <c r="K69">
        <v>2.7178740000000001</v>
      </c>
    </row>
    <row r="70" spans="1:11">
      <c r="A70">
        <v>4.7516455515959599</v>
      </c>
      <c r="B70">
        <v>5.3913418868992501E-2</v>
      </c>
      <c r="C70">
        <v>0.14593648893415101</v>
      </c>
      <c r="D70">
        <v>0.50208668251192701</v>
      </c>
      <c r="E70">
        <v>0.10013770097812701</v>
      </c>
      <c r="F70">
        <v>8.2054056691712798E-2</v>
      </c>
      <c r="G70">
        <v>3.7268640453989699E-2</v>
      </c>
      <c r="H70">
        <v>1.7418993761566401E-2</v>
      </c>
      <c r="I70">
        <v>0.14399350407956199</v>
      </c>
      <c r="J70">
        <v>2.92266</v>
      </c>
      <c r="K70">
        <v>2.7178740000000001</v>
      </c>
    </row>
    <row r="71" spans="1:11">
      <c r="A71">
        <v>4.8215226920605998</v>
      </c>
      <c r="B71">
        <v>5.83699269509977E-2</v>
      </c>
      <c r="C71">
        <v>0.149868084890738</v>
      </c>
      <c r="D71">
        <v>0.49304210420953898</v>
      </c>
      <c r="E71">
        <v>9.88545480627738E-2</v>
      </c>
      <c r="F71">
        <v>7.9750143822317196E-2</v>
      </c>
      <c r="G71">
        <v>3.7284237964934401E-2</v>
      </c>
      <c r="H71">
        <v>1.7418993761566401E-2</v>
      </c>
      <c r="I71">
        <v>0.14399350407956199</v>
      </c>
      <c r="J71">
        <v>2.92266</v>
      </c>
      <c r="K71">
        <v>2.7178740000000001</v>
      </c>
    </row>
    <row r="72" spans="1:11">
      <c r="A72">
        <v>4.8913998325252503</v>
      </c>
      <c r="B72">
        <v>6.2991828579569101E-2</v>
      </c>
      <c r="C72">
        <v>0.15540144326890801</v>
      </c>
      <c r="D72">
        <v>0.48719234033178299</v>
      </c>
      <c r="E72">
        <v>9.6509884129447193E-2</v>
      </c>
      <c r="F72">
        <v>7.7482301396553002E-2</v>
      </c>
      <c r="G72">
        <v>3.5515143042679699E-2</v>
      </c>
      <c r="H72">
        <v>1.7418993761566401E-2</v>
      </c>
      <c r="I72">
        <v>0.14399350407956199</v>
      </c>
      <c r="J72">
        <v>2.92266</v>
      </c>
      <c r="K72">
        <v>2.7178740000000001</v>
      </c>
    </row>
    <row r="73" spans="1:11">
      <c r="A73">
        <v>4.9612769729898902</v>
      </c>
      <c r="B73">
        <v>6.7523085152360093E-2</v>
      </c>
      <c r="C73">
        <v>0.161336116391498</v>
      </c>
      <c r="D73">
        <v>0.48707643005232598</v>
      </c>
      <c r="E73">
        <v>9.3319291085900494E-2</v>
      </c>
      <c r="F73">
        <v>7.5252801838866998E-2</v>
      </c>
      <c r="G73">
        <v>3.3745158232892501E-2</v>
      </c>
      <c r="H73">
        <v>1.7418993761566401E-2</v>
      </c>
      <c r="I73">
        <v>0.14399350407956199</v>
      </c>
      <c r="J73">
        <v>2.92266</v>
      </c>
      <c r="K73">
        <v>2.7178740000000001</v>
      </c>
    </row>
    <row r="74" spans="1:11">
      <c r="A74">
        <v>5.0311541134545399</v>
      </c>
      <c r="B74">
        <v>7.2025447011194593E-2</v>
      </c>
      <c r="C74">
        <v>0.167796572805163</v>
      </c>
      <c r="D74">
        <v>0.49292619398050103</v>
      </c>
      <c r="E74">
        <v>8.9582131082348707E-2</v>
      </c>
      <c r="F74">
        <v>7.2690490828657306E-2</v>
      </c>
      <c r="G74">
        <v>3.1973485742842103E-2</v>
      </c>
      <c r="H74">
        <v>1.7418993761566401E-2</v>
      </c>
      <c r="I74">
        <v>0.14399350407956199</v>
      </c>
      <c r="J74">
        <v>2.92266</v>
      </c>
      <c r="K74">
        <v>2.7178740000000001</v>
      </c>
    </row>
    <row r="75" spans="1:11">
      <c r="A75">
        <v>5.1010312539191904</v>
      </c>
      <c r="B75">
        <v>7.7196334331313898E-2</v>
      </c>
      <c r="C75">
        <v>0.17493466164975799</v>
      </c>
      <c r="D75">
        <v>0.504323158720415</v>
      </c>
      <c r="E75">
        <v>8.5834442757245305E-2</v>
      </c>
      <c r="F75">
        <v>6.9350893875898503E-2</v>
      </c>
      <c r="G75">
        <v>3.0173446592449801E-2</v>
      </c>
      <c r="H75">
        <v>1.7418993761566401E-2</v>
      </c>
      <c r="I75">
        <v>0.14399350407956199</v>
      </c>
      <c r="J75">
        <v>2.92266</v>
      </c>
      <c r="K75">
        <v>2.7178740000000001</v>
      </c>
    </row>
    <row r="76" spans="1:11">
      <c r="A76">
        <v>5.1709083943838303</v>
      </c>
      <c r="B76">
        <v>8.2664021387359302E-2</v>
      </c>
      <c r="C76">
        <v>0.18250534999717499</v>
      </c>
      <c r="D76">
        <v>0.51537200219812096</v>
      </c>
      <c r="E76">
        <v>8.2348726753162793E-2</v>
      </c>
      <c r="F76">
        <v>6.6640275353112205E-2</v>
      </c>
      <c r="G76">
        <v>2.9027941072915401E-2</v>
      </c>
      <c r="H76">
        <v>1.7418993761566401E-2</v>
      </c>
      <c r="I76">
        <v>0.13933464099617701</v>
      </c>
      <c r="J76">
        <v>2.92266</v>
      </c>
      <c r="K76">
        <v>2.7178740000000001</v>
      </c>
    </row>
    <row r="77" spans="1:11">
      <c r="A77">
        <v>5.24078553484848</v>
      </c>
      <c r="B77">
        <v>8.9006875665791504E-2</v>
      </c>
      <c r="C77">
        <v>0.1891416875212</v>
      </c>
      <c r="D77">
        <v>0.51913256481682102</v>
      </c>
      <c r="E77">
        <v>7.9588988669760094E-2</v>
      </c>
      <c r="F77">
        <v>6.39202717964341E-2</v>
      </c>
      <c r="G77">
        <v>2.8333481361631201E-2</v>
      </c>
      <c r="H77">
        <v>1.7418993761566401E-2</v>
      </c>
      <c r="I77">
        <v>5.1901415757068699E-2</v>
      </c>
      <c r="J77">
        <v>2.92266</v>
      </c>
      <c r="K77">
        <v>2.7178740000000001</v>
      </c>
    </row>
    <row r="78" spans="1:11">
      <c r="A78">
        <v>5.3106626753131296</v>
      </c>
      <c r="B78">
        <v>9.7083973357367098E-2</v>
      </c>
      <c r="C78">
        <v>0.19587979529463401</v>
      </c>
      <c r="D78">
        <v>0.52784044351714798</v>
      </c>
      <c r="E78">
        <v>7.6933099081498396E-2</v>
      </c>
      <c r="F78">
        <v>6.0779346436909798E-2</v>
      </c>
      <c r="G78">
        <v>2.6839826158965598E-2</v>
      </c>
      <c r="H78">
        <v>1.29687604359951E-2</v>
      </c>
      <c r="I78">
        <v>1.7733254242263799E-4</v>
      </c>
      <c r="J78">
        <v>2.92266</v>
      </c>
      <c r="K78">
        <v>2.7178740000000001</v>
      </c>
    </row>
    <row r="79" spans="1:11">
      <c r="A79">
        <v>5.3805398157777704</v>
      </c>
      <c r="B79">
        <v>0.105440489077678</v>
      </c>
      <c r="C79">
        <v>0.20276531553867799</v>
      </c>
      <c r="D79">
        <v>0.54131985510207703</v>
      </c>
      <c r="E79">
        <v>7.3906271232484805E-2</v>
      </c>
      <c r="F79">
        <v>5.7549298735507799E-2</v>
      </c>
      <c r="G79">
        <v>2.5454751083937101E-2</v>
      </c>
      <c r="H79">
        <v>7.8015139081118699E-3</v>
      </c>
      <c r="I79">
        <v>1.7733254242263799E-4</v>
      </c>
      <c r="J79">
        <v>2.92266</v>
      </c>
      <c r="K79">
        <v>2.7178740000000001</v>
      </c>
    </row>
    <row r="80" spans="1:11">
      <c r="A80">
        <v>5.4504169562424201</v>
      </c>
      <c r="B80">
        <v>0.11379700479799</v>
      </c>
      <c r="C80">
        <v>0.20965083578272301</v>
      </c>
      <c r="D80">
        <v>0.54964312957943395</v>
      </c>
      <c r="E80">
        <v>7.1218619772401806E-2</v>
      </c>
      <c r="F80">
        <v>5.4003801594729402E-2</v>
      </c>
      <c r="G80">
        <v>2.5356522632317899E-2</v>
      </c>
      <c r="H80">
        <v>2.63426738022856E-3</v>
      </c>
      <c r="I80">
        <v>1.7733254242263799E-4</v>
      </c>
      <c r="J80">
        <v>2.92266</v>
      </c>
      <c r="K80">
        <v>2.7178740000000001</v>
      </c>
    </row>
    <row r="81" spans="1:11">
      <c r="A81">
        <v>5.5202940967070697</v>
      </c>
      <c r="B81">
        <v>0.120840387167313</v>
      </c>
      <c r="C81">
        <v>0.21653635602676699</v>
      </c>
      <c r="D81">
        <v>0.55314209052397501</v>
      </c>
      <c r="E81">
        <v>6.8637000911963494E-2</v>
      </c>
      <c r="F81">
        <v>5.0561945510328998E-2</v>
      </c>
      <c r="G81">
        <v>2.5197437954928799E-2</v>
      </c>
      <c r="H81" s="45">
        <v>1.37573830099005E-7</v>
      </c>
      <c r="I81">
        <v>1.7733254242263799E-4</v>
      </c>
      <c r="J81">
        <v>2.92266</v>
      </c>
      <c r="K81">
        <v>2.7178740000000001</v>
      </c>
    </row>
    <row r="82" spans="1:11">
      <c r="A82">
        <v>5.5901712371717096</v>
      </c>
      <c r="B82">
        <v>0.12651827237250099</v>
      </c>
      <c r="C82">
        <v>0.2235888867443</v>
      </c>
      <c r="D82">
        <v>0.53014305729771605</v>
      </c>
      <c r="E82">
        <v>6.6771532819639295E-2</v>
      </c>
      <c r="F82">
        <v>4.7653796577698498E-2</v>
      </c>
      <c r="G82">
        <v>2.44210167731818E-2</v>
      </c>
      <c r="H82" s="45">
        <v>1.37573830099005E-7</v>
      </c>
      <c r="I82">
        <v>1.7733254242263799E-4</v>
      </c>
      <c r="J82">
        <v>2.92266</v>
      </c>
      <c r="K82">
        <v>2.7178740000000001</v>
      </c>
    </row>
    <row r="83" spans="1:11">
      <c r="A83">
        <v>5.6600483776363602</v>
      </c>
      <c r="B83">
        <v>0.13219615757768899</v>
      </c>
      <c r="C83">
        <v>0.23110477605735499</v>
      </c>
      <c r="D83">
        <v>0.50375016520615301</v>
      </c>
      <c r="E83">
        <v>6.5345248342984399E-2</v>
      </c>
      <c r="F83">
        <v>4.4896312683724703E-2</v>
      </c>
      <c r="G83">
        <v>2.1641400571682099E-2</v>
      </c>
      <c r="H83" s="45">
        <v>1.37573830099005E-7</v>
      </c>
      <c r="I83">
        <v>1.7733254242263799E-4</v>
      </c>
      <c r="J83">
        <v>2.92266</v>
      </c>
      <c r="K83">
        <v>2.7178740000000001</v>
      </c>
    </row>
    <row r="84" spans="1:11">
      <c r="A84">
        <v>5.7299255181010098</v>
      </c>
      <c r="B84">
        <v>0.13755504879813599</v>
      </c>
      <c r="C84">
        <v>0.23831414881333801</v>
      </c>
      <c r="D84">
        <v>0.47735727311458998</v>
      </c>
      <c r="E84">
        <v>6.22403250471723E-2</v>
      </c>
      <c r="F84">
        <v>4.2237830519388099E-2</v>
      </c>
      <c r="G84">
        <v>1.9073148004835699E-2</v>
      </c>
      <c r="H84" s="45">
        <v>1.37573830099005E-7</v>
      </c>
      <c r="I84">
        <v>1.7733254242263799E-4</v>
      </c>
      <c r="J84">
        <v>2.92266</v>
      </c>
      <c r="K84">
        <v>2.7178740000000001</v>
      </c>
    </row>
    <row r="85" spans="1:11">
      <c r="A85">
        <v>5.7998026585656497</v>
      </c>
      <c r="B85">
        <v>0.14163568216618</v>
      </c>
      <c r="C85">
        <v>0.24480850725994799</v>
      </c>
      <c r="D85">
        <v>0.45895054678427499</v>
      </c>
      <c r="E85">
        <v>5.9663961400133303E-2</v>
      </c>
      <c r="F85">
        <v>4.0071060182292603E-2</v>
      </c>
      <c r="G85">
        <v>1.67357895168069E-2</v>
      </c>
      <c r="H85" s="45">
        <v>1.37573830099005E-7</v>
      </c>
      <c r="I85">
        <v>1.7733254242263799E-4</v>
      </c>
      <c r="J85">
        <v>2.92266</v>
      </c>
      <c r="K85">
        <v>2.7178740000000001</v>
      </c>
    </row>
    <row r="86" spans="1:11">
      <c r="A86">
        <v>5.8696797990303002</v>
      </c>
      <c r="B86">
        <v>0.14547633701471099</v>
      </c>
      <c r="C86">
        <v>0.25079431233261401</v>
      </c>
      <c r="D86">
        <v>0.453228450912675</v>
      </c>
      <c r="E86">
        <v>5.8128613977214097E-2</v>
      </c>
      <c r="F86">
        <v>3.8015819799385703E-2</v>
      </c>
      <c r="G86">
        <v>1.5260321273875801E-2</v>
      </c>
      <c r="H86" s="45">
        <v>1.37573830099005E-7</v>
      </c>
      <c r="I86">
        <v>1.7733254242263799E-4</v>
      </c>
      <c r="J86">
        <v>2.92266</v>
      </c>
      <c r="K86">
        <v>2.7178740000000001</v>
      </c>
    </row>
    <row r="87" spans="1:11">
      <c r="A87">
        <v>5.9395569394949499</v>
      </c>
      <c r="B87">
        <v>0.14888707984834701</v>
      </c>
      <c r="C87">
        <v>0.25420837983917399</v>
      </c>
      <c r="D87">
        <v>0.454377511813715</v>
      </c>
      <c r="E87">
        <v>5.6947082648920302E-2</v>
      </c>
      <c r="F87">
        <v>3.58591384071026E-2</v>
      </c>
      <c r="G87">
        <v>1.5184110783951399E-2</v>
      </c>
      <c r="H87" s="45">
        <v>1.37573830099005E-7</v>
      </c>
      <c r="I87">
        <v>1.7733254242263799E-4</v>
      </c>
      <c r="J87">
        <v>2.92266</v>
      </c>
      <c r="K87">
        <v>2.7178740000000001</v>
      </c>
    </row>
    <row r="88" spans="1:11">
      <c r="A88">
        <v>6.0094340799595898</v>
      </c>
      <c r="B88">
        <v>0.15184267931203899</v>
      </c>
      <c r="C88">
        <v>0.25526994702602002</v>
      </c>
      <c r="D88">
        <v>0.44936486163456402</v>
      </c>
      <c r="E88">
        <v>5.5665861580896397E-2</v>
      </c>
      <c r="F88">
        <v>3.4057981463326503E-2</v>
      </c>
      <c r="G88">
        <v>1.4616894441442801E-2</v>
      </c>
      <c r="H88" s="45">
        <v>1.37573830099005E-7</v>
      </c>
      <c r="I88">
        <v>1.7733254242263799E-4</v>
      </c>
      <c r="J88">
        <v>2.92266</v>
      </c>
      <c r="K88">
        <v>2.7178740000000001</v>
      </c>
    </row>
    <row r="89" spans="1:11">
      <c r="A89">
        <v>6.0793112204242403</v>
      </c>
      <c r="B89">
        <v>0.15460124742928899</v>
      </c>
      <c r="C89">
        <v>0.25428884965075599</v>
      </c>
      <c r="D89">
        <v>0.44591082412809102</v>
      </c>
      <c r="E89">
        <v>5.4834418625015598E-2</v>
      </c>
      <c r="F89">
        <v>3.3177386045036297E-2</v>
      </c>
      <c r="G89">
        <v>1.3134759161555201E-2</v>
      </c>
      <c r="H89" s="45">
        <v>1.37573830099005E-7</v>
      </c>
      <c r="I89">
        <v>1.7733254242263799E-4</v>
      </c>
      <c r="J89">
        <v>2.92266</v>
      </c>
      <c r="K89">
        <v>2.7178740000000001</v>
      </c>
    </row>
    <row r="90" spans="1:11">
      <c r="A90">
        <v>6.1491883608888802</v>
      </c>
      <c r="B90">
        <v>0.155384239248224</v>
      </c>
      <c r="C90">
        <v>0.25302637789963001</v>
      </c>
      <c r="D90">
        <v>0.445492983800785</v>
      </c>
      <c r="E90">
        <v>5.4215576294194101E-2</v>
      </c>
      <c r="F90">
        <v>3.2247703676680603E-2</v>
      </c>
      <c r="G90">
        <v>1.25894746947075E-2</v>
      </c>
      <c r="H90" s="45">
        <v>1.37573830099005E-7</v>
      </c>
      <c r="I90">
        <v>1.7733254242263799E-4</v>
      </c>
      <c r="J90">
        <v>2.92266</v>
      </c>
      <c r="K90">
        <v>2.7178740000000001</v>
      </c>
    </row>
    <row r="91" spans="1:11">
      <c r="A91">
        <v>6.2190655013535299</v>
      </c>
      <c r="B91">
        <v>0.15555726082132901</v>
      </c>
      <c r="C91">
        <v>0.25087144668935901</v>
      </c>
      <c r="D91">
        <v>0.44833817557658401</v>
      </c>
      <c r="E91">
        <v>5.34684484776154E-2</v>
      </c>
      <c r="F91">
        <v>3.1346892510338301E-2</v>
      </c>
      <c r="G91">
        <v>1.2665964216994299E-2</v>
      </c>
      <c r="H91" s="45">
        <v>1.37573830099005E-7</v>
      </c>
      <c r="I91">
        <v>1.7733254242263799E-4</v>
      </c>
      <c r="J91">
        <v>2.92266</v>
      </c>
      <c r="K91">
        <v>2.7178740000000001</v>
      </c>
    </row>
    <row r="92" spans="1:11">
      <c r="A92">
        <v>6.2889426418181804</v>
      </c>
      <c r="B92">
        <v>0.15362320503692001</v>
      </c>
      <c r="C92">
        <v>0.248421023105419</v>
      </c>
      <c r="D92">
        <v>0.45280371038433198</v>
      </c>
      <c r="E92">
        <v>5.27514067102791E-2</v>
      </c>
      <c r="F92">
        <v>3.0861507127611799E-2</v>
      </c>
      <c r="G92">
        <v>1.30606474708885E-2</v>
      </c>
      <c r="H92" s="45">
        <v>1.37573830099005E-7</v>
      </c>
      <c r="I92">
        <v>1.7733254242263799E-4</v>
      </c>
      <c r="J92">
        <v>2.92266</v>
      </c>
      <c r="K92">
        <v>2.7178740000000001</v>
      </c>
    </row>
    <row r="93" spans="1:11">
      <c r="A93">
        <v>6.3588197822828203</v>
      </c>
      <c r="B93">
        <v>0.15020638890294299</v>
      </c>
      <c r="C93">
        <v>0.24578141289563399</v>
      </c>
      <c r="D93">
        <v>0.461369436439997</v>
      </c>
      <c r="E93">
        <v>5.2908863173239902E-2</v>
      </c>
      <c r="F93">
        <v>3.0712906761647799E-2</v>
      </c>
      <c r="G93">
        <v>1.3575365518521201E-2</v>
      </c>
      <c r="H93" s="45">
        <v>1.37573830099005E-7</v>
      </c>
      <c r="I93">
        <v>1.7733254242263799E-4</v>
      </c>
      <c r="J93">
        <v>2.92266</v>
      </c>
      <c r="K93">
        <v>2.7178740000000001</v>
      </c>
    </row>
    <row r="94" spans="1:11">
      <c r="A94">
        <v>6.42869692274747</v>
      </c>
      <c r="B94">
        <v>0.146256902349684</v>
      </c>
      <c r="C94">
        <v>0.24395478284102701</v>
      </c>
      <c r="D94">
        <v>0.47038438456211001</v>
      </c>
      <c r="E94">
        <v>5.3165372010173698E-2</v>
      </c>
      <c r="F94">
        <v>3.0708988964078199E-2</v>
      </c>
      <c r="G94">
        <v>1.3132326344248499E-2</v>
      </c>
      <c r="H94" s="45">
        <v>1.37573830099005E-7</v>
      </c>
      <c r="I94">
        <v>1.7733254242263799E-4</v>
      </c>
      <c r="J94">
        <v>2.92266</v>
      </c>
      <c r="K94">
        <v>2.7178740000000001</v>
      </c>
    </row>
    <row r="95" spans="1:11">
      <c r="A95">
        <v>6.4985740632121196</v>
      </c>
      <c r="B95">
        <v>0.141666473292448</v>
      </c>
      <c r="C95">
        <v>0.24120267727202399</v>
      </c>
      <c r="D95">
        <v>0.48020363118800502</v>
      </c>
      <c r="E95">
        <v>5.3517312237661298E-2</v>
      </c>
      <c r="F95">
        <v>3.0339596562580302E-2</v>
      </c>
      <c r="G95">
        <v>1.27711822348702E-2</v>
      </c>
      <c r="H95" s="45">
        <v>1.37573830099005E-7</v>
      </c>
      <c r="I95">
        <v>1.7733254242263799E-4</v>
      </c>
      <c r="J95">
        <v>2.92266</v>
      </c>
      <c r="K95">
        <v>2.7178740000000001</v>
      </c>
    </row>
    <row r="96" spans="1:11">
      <c r="A96">
        <v>6.5684512036767604</v>
      </c>
      <c r="B96">
        <v>0.13706042019207301</v>
      </c>
      <c r="C96">
        <v>0.236858208799683</v>
      </c>
      <c r="D96">
        <v>0.492356160240004</v>
      </c>
      <c r="E96">
        <v>5.4123414688124698E-2</v>
      </c>
      <c r="F96">
        <v>3.0364455908196499E-2</v>
      </c>
      <c r="G96">
        <v>1.32456712894411E-2</v>
      </c>
      <c r="H96" s="45">
        <v>1.37573830099005E-7</v>
      </c>
      <c r="I96">
        <v>1.7733254242263799E-4</v>
      </c>
      <c r="J96">
        <v>2.92266</v>
      </c>
      <c r="K96">
        <v>2.7178740000000001</v>
      </c>
    </row>
    <row r="97" spans="1:11">
      <c r="A97">
        <v>6.63832834414141</v>
      </c>
      <c r="B97">
        <v>0.13297060159809401</v>
      </c>
      <c r="C97">
        <v>0.233033510249683</v>
      </c>
      <c r="D97">
        <v>0.50566417563469501</v>
      </c>
      <c r="E97">
        <v>5.4986990640577403E-2</v>
      </c>
      <c r="F97">
        <v>3.0591870347273301E-2</v>
      </c>
      <c r="G97">
        <v>1.36314459401064E-2</v>
      </c>
      <c r="H97" s="45">
        <v>1.37573830099005E-7</v>
      </c>
      <c r="I97">
        <v>1.7733254242263799E-4</v>
      </c>
      <c r="J97">
        <v>2.92266</v>
      </c>
      <c r="K97">
        <v>2.7178740000000001</v>
      </c>
    </row>
    <row r="98" spans="1:11">
      <c r="A98">
        <v>6.7082054846060597</v>
      </c>
      <c r="B98">
        <v>0.12904042082129499</v>
      </c>
      <c r="C98">
        <v>0.22922953284344399</v>
      </c>
      <c r="D98">
        <v>0.52270325733337897</v>
      </c>
      <c r="E98">
        <v>5.6394695796913703E-2</v>
      </c>
      <c r="F98">
        <v>3.11306382182636E-2</v>
      </c>
      <c r="G98">
        <v>1.3874108899783201E-2</v>
      </c>
      <c r="H98" s="45">
        <v>1.37573830099005E-7</v>
      </c>
      <c r="I98">
        <v>1.7733254242263799E-4</v>
      </c>
      <c r="J98">
        <v>2.92266</v>
      </c>
      <c r="K98">
        <v>2.7178740000000001</v>
      </c>
    </row>
    <row r="99" spans="1:11">
      <c r="A99">
        <v>6.7780826250706996</v>
      </c>
      <c r="B99">
        <v>0.12513063244947201</v>
      </c>
      <c r="C99">
        <v>0.22527993722836701</v>
      </c>
      <c r="D99">
        <v>0.537168705379932</v>
      </c>
      <c r="E99">
        <v>5.7978102732771201E-2</v>
      </c>
      <c r="F99">
        <v>3.1588157308474397E-2</v>
      </c>
      <c r="G99">
        <v>1.4288850354861901E-2</v>
      </c>
      <c r="H99" s="45">
        <v>1.37573830099005E-7</v>
      </c>
      <c r="I99">
        <v>1.7733254242263799E-4</v>
      </c>
      <c r="J99">
        <v>2.92266</v>
      </c>
      <c r="K99">
        <v>2.7178740000000001</v>
      </c>
    </row>
    <row r="100" spans="1:11">
      <c r="A100">
        <v>6.8479597655353501</v>
      </c>
      <c r="B100">
        <v>0.121539711305303</v>
      </c>
      <c r="C100">
        <v>0.22041056147822899</v>
      </c>
      <c r="D100">
        <v>0.54717038957597697</v>
      </c>
      <c r="E100">
        <v>5.9683384120539897E-2</v>
      </c>
      <c r="F100">
        <v>3.18232411503893E-2</v>
      </c>
      <c r="G100">
        <v>1.49339112724119E-2</v>
      </c>
      <c r="H100" s="45">
        <v>9.1910093725506894E-8</v>
      </c>
      <c r="I100">
        <v>1.41899961034924E-4</v>
      </c>
      <c r="J100">
        <v>2.92266</v>
      </c>
      <c r="K100">
        <v>2.7178740000000001</v>
      </c>
    </row>
    <row r="101" spans="1:11">
      <c r="A101">
        <v>6.9178369059999998</v>
      </c>
      <c r="B101">
        <v>0.11827172579735599</v>
      </c>
      <c r="C101">
        <v>0.21401226977999599</v>
      </c>
      <c r="D101">
        <v>0.55374986955981598</v>
      </c>
      <c r="E101">
        <v>6.1112738968525399E-2</v>
      </c>
      <c r="F101">
        <v>3.2267877444667997E-2</v>
      </c>
      <c r="G101">
        <v>1.5876605106019199E-2</v>
      </c>
      <c r="H101">
        <v>0</v>
      </c>
      <c r="I101" s="45">
        <v>4.75691313586119E-5</v>
      </c>
      <c r="J101">
        <v>2.92266</v>
      </c>
      <c r="K101">
        <v>2.7178740000000001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4207-8CE8-42F7-B3B9-60E3A170937E}">
  <dimension ref="A1:G101"/>
  <sheetViews>
    <sheetView topLeftCell="E24" zoomScale="176" zoomScaleNormal="184" workbookViewId="0">
      <selection activeCell="J25" sqref="J25"/>
    </sheetView>
  </sheetViews>
  <sheetFormatPr defaultRowHeight="14.25"/>
  <sheetData>
    <row r="1" spans="1:7">
      <c r="A1" t="s">
        <v>377</v>
      </c>
      <c r="B1" t="s">
        <v>313</v>
      </c>
      <c r="C1" t="s">
        <v>314</v>
      </c>
      <c r="D1" t="s">
        <v>315</v>
      </c>
      <c r="E1" t="s">
        <v>387</v>
      </c>
      <c r="F1" t="s">
        <v>302</v>
      </c>
      <c r="G1" t="s">
        <v>303</v>
      </c>
    </row>
    <row r="2" spans="1:7">
      <c r="A2">
        <v>0</v>
      </c>
      <c r="B2">
        <v>0</v>
      </c>
      <c r="C2">
        <v>0</v>
      </c>
      <c r="D2">
        <v>0</v>
      </c>
      <c r="E2">
        <v>1</v>
      </c>
      <c r="F2">
        <v>3.4514</v>
      </c>
      <c r="G2">
        <v>3.3052280000000001</v>
      </c>
    </row>
    <row r="3" spans="1:7">
      <c r="A3">
        <v>0.103761658686868</v>
      </c>
      <c r="B3">
        <v>0</v>
      </c>
      <c r="C3">
        <v>0</v>
      </c>
      <c r="D3">
        <v>0</v>
      </c>
      <c r="E3">
        <v>1</v>
      </c>
      <c r="F3">
        <v>3.4514</v>
      </c>
      <c r="G3">
        <v>3.3052280000000001</v>
      </c>
    </row>
    <row r="4" spans="1:7">
      <c r="A4">
        <v>0.207523317373737</v>
      </c>
      <c r="B4">
        <v>0</v>
      </c>
      <c r="C4">
        <v>0</v>
      </c>
      <c r="D4">
        <v>0</v>
      </c>
      <c r="E4">
        <v>1</v>
      </c>
      <c r="F4">
        <v>3.4514</v>
      </c>
      <c r="G4">
        <v>3.3052280000000001</v>
      </c>
    </row>
    <row r="5" spans="1:7">
      <c r="A5">
        <v>0.31128497606060601</v>
      </c>
      <c r="B5">
        <v>0</v>
      </c>
      <c r="C5">
        <v>0</v>
      </c>
      <c r="D5">
        <v>0</v>
      </c>
      <c r="E5">
        <v>1</v>
      </c>
      <c r="F5">
        <v>3.4514</v>
      </c>
      <c r="G5">
        <v>3.3052280000000001</v>
      </c>
    </row>
    <row r="6" spans="1:7">
      <c r="A6">
        <v>0.415046634747474</v>
      </c>
      <c r="B6">
        <v>0</v>
      </c>
      <c r="C6">
        <v>0</v>
      </c>
      <c r="D6">
        <v>0</v>
      </c>
      <c r="E6">
        <v>1</v>
      </c>
      <c r="F6">
        <v>3.4514</v>
      </c>
      <c r="G6">
        <v>3.3052280000000001</v>
      </c>
    </row>
    <row r="7" spans="1:7">
      <c r="A7">
        <v>0.51880829343434298</v>
      </c>
      <c r="B7">
        <v>0</v>
      </c>
      <c r="C7">
        <v>0</v>
      </c>
      <c r="D7">
        <v>0</v>
      </c>
      <c r="E7">
        <v>1</v>
      </c>
      <c r="F7">
        <v>3.4514</v>
      </c>
      <c r="G7">
        <v>3.3052280000000001</v>
      </c>
    </row>
    <row r="8" spans="1:7">
      <c r="A8">
        <v>0.62256995212121202</v>
      </c>
      <c r="B8">
        <v>0</v>
      </c>
      <c r="C8">
        <v>0</v>
      </c>
      <c r="D8">
        <v>0</v>
      </c>
      <c r="E8">
        <v>1</v>
      </c>
      <c r="F8">
        <v>3.4514</v>
      </c>
      <c r="G8">
        <v>3.3052280000000001</v>
      </c>
    </row>
    <row r="9" spans="1:7">
      <c r="A9">
        <v>0.72633161080807995</v>
      </c>
      <c r="B9">
        <v>0</v>
      </c>
      <c r="C9">
        <v>0</v>
      </c>
      <c r="D9">
        <v>0</v>
      </c>
      <c r="E9">
        <v>1</v>
      </c>
      <c r="F9">
        <v>3.4514</v>
      </c>
      <c r="G9">
        <v>3.3052280000000001</v>
      </c>
    </row>
    <row r="10" spans="1:7">
      <c r="A10">
        <v>0.83009326949494899</v>
      </c>
      <c r="B10">
        <v>0</v>
      </c>
      <c r="C10">
        <v>0</v>
      </c>
      <c r="D10">
        <v>0</v>
      </c>
      <c r="E10">
        <v>1</v>
      </c>
      <c r="F10">
        <v>3.4514</v>
      </c>
      <c r="G10">
        <v>3.3052280000000001</v>
      </c>
    </row>
    <row r="11" spans="1:7">
      <c r="A11">
        <v>0.93385492818181803</v>
      </c>
      <c r="B11">
        <v>0</v>
      </c>
      <c r="C11">
        <v>0</v>
      </c>
      <c r="D11">
        <v>0</v>
      </c>
      <c r="E11">
        <v>1</v>
      </c>
      <c r="F11">
        <v>3.4514</v>
      </c>
      <c r="G11">
        <v>3.3052280000000001</v>
      </c>
    </row>
    <row r="12" spans="1:7">
      <c r="A12">
        <v>1.03761658686868</v>
      </c>
      <c r="B12">
        <v>0</v>
      </c>
      <c r="C12">
        <v>0</v>
      </c>
      <c r="D12">
        <v>0</v>
      </c>
      <c r="E12">
        <v>1</v>
      </c>
      <c r="F12">
        <v>3.4514</v>
      </c>
      <c r="G12">
        <v>3.3052280000000001</v>
      </c>
    </row>
    <row r="13" spans="1:7">
      <c r="A13">
        <v>1.1413782455555499</v>
      </c>
      <c r="B13">
        <v>0</v>
      </c>
      <c r="C13">
        <v>0</v>
      </c>
      <c r="D13">
        <v>0</v>
      </c>
      <c r="E13">
        <v>1</v>
      </c>
      <c r="F13">
        <v>3.4514</v>
      </c>
      <c r="G13">
        <v>3.3052280000000001</v>
      </c>
    </row>
    <row r="14" spans="1:7">
      <c r="A14">
        <v>1.24513990424242</v>
      </c>
      <c r="B14">
        <v>0</v>
      </c>
      <c r="C14">
        <v>0</v>
      </c>
      <c r="D14">
        <v>0</v>
      </c>
      <c r="E14">
        <v>1</v>
      </c>
      <c r="F14">
        <v>3.4514</v>
      </c>
      <c r="G14">
        <v>3.3052280000000001</v>
      </c>
    </row>
    <row r="15" spans="1:7">
      <c r="A15">
        <v>1.34890156292929</v>
      </c>
      <c r="B15">
        <v>0</v>
      </c>
      <c r="C15">
        <v>0</v>
      </c>
      <c r="D15">
        <v>0</v>
      </c>
      <c r="E15">
        <v>1</v>
      </c>
      <c r="F15">
        <v>3.4514</v>
      </c>
      <c r="G15">
        <v>3.3052280000000001</v>
      </c>
    </row>
    <row r="16" spans="1:7">
      <c r="A16">
        <v>1.4526632216161599</v>
      </c>
      <c r="B16">
        <v>0</v>
      </c>
      <c r="C16">
        <v>0</v>
      </c>
      <c r="D16">
        <v>0</v>
      </c>
      <c r="E16">
        <v>1</v>
      </c>
      <c r="F16">
        <v>3.4514</v>
      </c>
      <c r="G16">
        <v>3.3052280000000001</v>
      </c>
    </row>
    <row r="17" spans="1:7">
      <c r="A17">
        <v>1.5564248803030301</v>
      </c>
      <c r="B17">
        <v>6.2612273277871305E-2</v>
      </c>
      <c r="C17">
        <v>0</v>
      </c>
      <c r="D17">
        <v>0</v>
      </c>
      <c r="E17">
        <v>1</v>
      </c>
      <c r="F17">
        <v>3.4514</v>
      </c>
      <c r="G17">
        <v>3.3052280000000001</v>
      </c>
    </row>
    <row r="18" spans="1:7">
      <c r="A18">
        <v>1.66018653898989</v>
      </c>
      <c r="B18">
        <v>0.46095787187769799</v>
      </c>
      <c r="C18">
        <v>0</v>
      </c>
      <c r="D18">
        <v>0</v>
      </c>
      <c r="E18">
        <v>1</v>
      </c>
      <c r="F18">
        <v>3.4514</v>
      </c>
      <c r="G18">
        <v>3.3052280000000001</v>
      </c>
    </row>
    <row r="19" spans="1:7">
      <c r="A19">
        <v>1.7639481976767599</v>
      </c>
      <c r="B19">
        <v>0.99994769007349404</v>
      </c>
      <c r="C19">
        <v>0</v>
      </c>
      <c r="D19">
        <v>0</v>
      </c>
      <c r="E19">
        <v>1</v>
      </c>
      <c r="F19">
        <v>3.4514</v>
      </c>
      <c r="G19">
        <v>3.3052280000000001</v>
      </c>
    </row>
    <row r="20" spans="1:7">
      <c r="A20">
        <v>1.8677098563636301</v>
      </c>
      <c r="B20">
        <v>1.2384516980767999</v>
      </c>
      <c r="C20">
        <v>2.9059459344315001E-3</v>
      </c>
      <c r="D20">
        <v>0</v>
      </c>
      <c r="E20">
        <v>0.81933469577646101</v>
      </c>
      <c r="F20">
        <v>3.4514</v>
      </c>
      <c r="G20">
        <v>3.3052280000000001</v>
      </c>
    </row>
    <row r="21" spans="1:7">
      <c r="A21">
        <v>1.9714715150505</v>
      </c>
      <c r="B21">
        <v>1.09040523702456</v>
      </c>
      <c r="C21">
        <v>8.8186713781525494E-3</v>
      </c>
      <c r="D21">
        <v>0</v>
      </c>
      <c r="E21">
        <v>0.76597785570501298</v>
      </c>
      <c r="F21">
        <v>3.4514</v>
      </c>
      <c r="G21">
        <v>3.3052280000000001</v>
      </c>
    </row>
    <row r="22" spans="1:7">
      <c r="A22">
        <v>2.0752331737373702</v>
      </c>
      <c r="B22">
        <v>0.80723907259291905</v>
      </c>
      <c r="C22">
        <v>2.6986059689671198E-2</v>
      </c>
      <c r="D22">
        <v>4.2448366339591898E-2</v>
      </c>
      <c r="E22">
        <v>0.76597785570501298</v>
      </c>
      <c r="F22">
        <v>3.4514</v>
      </c>
      <c r="G22">
        <v>3.3052280000000001</v>
      </c>
    </row>
    <row r="23" spans="1:7">
      <c r="A23">
        <v>2.1789948324242401</v>
      </c>
      <c r="B23">
        <v>0.57451006708282804</v>
      </c>
      <c r="C23">
        <v>7.2339609514790307E-2</v>
      </c>
      <c r="D23">
        <v>9.2969698970699205E-2</v>
      </c>
      <c r="E23">
        <v>0.76597785570501298</v>
      </c>
      <c r="F23">
        <v>3.4514</v>
      </c>
      <c r="G23">
        <v>3.3052280000000001</v>
      </c>
    </row>
    <row r="24" spans="1:7">
      <c r="A24">
        <v>2.28275649111111</v>
      </c>
      <c r="B24">
        <v>0.410442110461535</v>
      </c>
      <c r="C24">
        <v>0.152769257567239</v>
      </c>
      <c r="D24">
        <v>0.17765003407763799</v>
      </c>
      <c r="E24">
        <v>0.76597785570501298</v>
      </c>
      <c r="F24">
        <v>3.4514</v>
      </c>
      <c r="G24">
        <v>3.3052280000000001</v>
      </c>
    </row>
    <row r="25" spans="1:7">
      <c r="A25">
        <v>2.3865181497979702</v>
      </c>
      <c r="B25">
        <v>0.30796192165585701</v>
      </c>
      <c r="C25">
        <v>0.27244849344319</v>
      </c>
      <c r="D25">
        <v>0.27724748683112299</v>
      </c>
      <c r="E25">
        <v>0.76597785570501298</v>
      </c>
      <c r="F25">
        <v>3.4514</v>
      </c>
      <c r="G25">
        <v>3.3052280000000001</v>
      </c>
    </row>
    <row r="26" spans="1:7">
      <c r="A26">
        <v>2.4902798084848401</v>
      </c>
      <c r="B26">
        <v>0.242001179322541</v>
      </c>
      <c r="C26">
        <v>0.382126164694091</v>
      </c>
      <c r="D26">
        <v>0.38172424062328097</v>
      </c>
      <c r="E26">
        <v>0.76597785570501298</v>
      </c>
      <c r="F26">
        <v>3.4514</v>
      </c>
      <c r="G26">
        <v>3.3052280000000001</v>
      </c>
    </row>
    <row r="27" spans="1:7">
      <c r="A27">
        <v>2.59404146717171</v>
      </c>
      <c r="B27">
        <v>0.19822381311765599</v>
      </c>
      <c r="C27">
        <v>0.50095558025064402</v>
      </c>
      <c r="D27">
        <v>0.47448019990086898</v>
      </c>
      <c r="E27">
        <v>0.76597785570501298</v>
      </c>
      <c r="F27">
        <v>3.4514</v>
      </c>
      <c r="G27">
        <v>3.3052280000000001</v>
      </c>
    </row>
    <row r="28" spans="1:7">
      <c r="A28">
        <v>2.69780312585858</v>
      </c>
      <c r="B28">
        <v>0.17418548388294899</v>
      </c>
      <c r="C28">
        <v>0.56513102911643998</v>
      </c>
      <c r="D28">
        <v>0.52909769874756696</v>
      </c>
      <c r="E28">
        <v>0.76597785570501298</v>
      </c>
      <c r="F28">
        <v>3.4514</v>
      </c>
      <c r="G28">
        <v>3.3052280000000001</v>
      </c>
    </row>
    <row r="29" spans="1:7">
      <c r="A29">
        <v>2.8015647845454499</v>
      </c>
      <c r="B29">
        <v>0.160117594333333</v>
      </c>
      <c r="C29">
        <v>0.59350780014153204</v>
      </c>
      <c r="D29">
        <v>0.56168131363878704</v>
      </c>
      <c r="E29">
        <v>0.76597785570501298</v>
      </c>
      <c r="F29">
        <v>3.4514</v>
      </c>
      <c r="G29">
        <v>3.3052280000000001</v>
      </c>
    </row>
    <row r="30" spans="1:7">
      <c r="A30">
        <v>2.9053264432323198</v>
      </c>
      <c r="B30">
        <v>0.160117594333333</v>
      </c>
      <c r="C30">
        <v>0.58132620668212498</v>
      </c>
      <c r="D30">
        <v>0.55589858614231702</v>
      </c>
      <c r="E30">
        <v>0.76597785570501298</v>
      </c>
      <c r="F30">
        <v>3.4514</v>
      </c>
      <c r="G30">
        <v>3.3052280000000001</v>
      </c>
    </row>
    <row r="31" spans="1:7">
      <c r="A31">
        <v>3.0090881019191902</v>
      </c>
      <c r="B31">
        <v>0.160117594333333</v>
      </c>
      <c r="C31">
        <v>0.55409605327533995</v>
      </c>
      <c r="D31">
        <v>0.53681912381144803</v>
      </c>
      <c r="E31">
        <v>0.76597785570501298</v>
      </c>
      <c r="F31">
        <v>3.4514</v>
      </c>
      <c r="G31">
        <v>3.3052280000000001</v>
      </c>
    </row>
    <row r="32" spans="1:7">
      <c r="A32">
        <v>3.1128497606060601</v>
      </c>
      <c r="B32">
        <v>0.16913947962922399</v>
      </c>
      <c r="C32">
        <v>0.51352072912200797</v>
      </c>
      <c r="D32">
        <v>0.50216995376917895</v>
      </c>
      <c r="E32">
        <v>0.76597785570501298</v>
      </c>
      <c r="F32">
        <v>3.4514</v>
      </c>
      <c r="G32">
        <v>3.3052280000000001</v>
      </c>
    </row>
    <row r="33" spans="1:7">
      <c r="A33">
        <v>3.2166114192929198</v>
      </c>
      <c r="B33">
        <v>0.18851110810043201</v>
      </c>
      <c r="C33">
        <v>0.46063540649053297</v>
      </c>
      <c r="D33">
        <v>0.46613554155885401</v>
      </c>
      <c r="E33">
        <v>0.76597785570501298</v>
      </c>
      <c r="F33">
        <v>3.4514</v>
      </c>
      <c r="G33">
        <v>3.3052280000000001</v>
      </c>
    </row>
    <row r="34" spans="1:7">
      <c r="A34">
        <v>3.3203730779797902</v>
      </c>
      <c r="B34">
        <v>0.20788273657164</v>
      </c>
      <c r="C34">
        <v>0.42003229319381902</v>
      </c>
      <c r="D34">
        <v>0.43475352841493797</v>
      </c>
      <c r="E34">
        <v>0.76597785570501298</v>
      </c>
      <c r="F34">
        <v>3.4514</v>
      </c>
      <c r="G34">
        <v>3.3052280000000001</v>
      </c>
    </row>
    <row r="35" spans="1:7">
      <c r="A35">
        <v>3.4241347366666601</v>
      </c>
      <c r="B35">
        <v>0.22725436504284799</v>
      </c>
      <c r="C35">
        <v>0.38982806339022402</v>
      </c>
      <c r="D35">
        <v>0.40634750237658102</v>
      </c>
      <c r="E35">
        <v>0.76597785570501298</v>
      </c>
      <c r="F35">
        <v>3.4514</v>
      </c>
      <c r="G35">
        <v>3.3052280000000001</v>
      </c>
    </row>
    <row r="36" spans="1:7">
      <c r="A36">
        <v>3.5278963953535301</v>
      </c>
      <c r="B36">
        <v>0.25078696494321601</v>
      </c>
      <c r="C36">
        <v>0.362453009526992</v>
      </c>
      <c r="D36">
        <v>0.38166095940305</v>
      </c>
      <c r="E36">
        <v>0.76597785570501298</v>
      </c>
      <c r="F36">
        <v>3.4514</v>
      </c>
      <c r="G36">
        <v>3.3052280000000001</v>
      </c>
    </row>
    <row r="37" spans="1:7">
      <c r="A37">
        <v>3.6316580540404</v>
      </c>
      <c r="B37">
        <v>0.28392075119763099</v>
      </c>
      <c r="C37">
        <v>0.340247052791876</v>
      </c>
      <c r="D37">
        <v>0.35802198143080899</v>
      </c>
      <c r="E37">
        <v>0.30374862307016998</v>
      </c>
      <c r="F37">
        <v>3.4514</v>
      </c>
      <c r="G37">
        <v>3.3052280000000001</v>
      </c>
    </row>
    <row r="38" spans="1:7">
      <c r="A38">
        <v>3.7354197127272699</v>
      </c>
      <c r="B38">
        <v>0.320784108936295</v>
      </c>
      <c r="C38">
        <v>0.31925501416454899</v>
      </c>
      <c r="D38">
        <v>0.33324540719996998</v>
      </c>
      <c r="E38">
        <v>0.13679561687706901</v>
      </c>
      <c r="F38">
        <v>3.4514</v>
      </c>
      <c r="G38">
        <v>3.3052280000000001</v>
      </c>
    </row>
    <row r="39" spans="1:7">
      <c r="A39">
        <v>3.8391813714141398</v>
      </c>
      <c r="B39">
        <v>0.35770950052761202</v>
      </c>
      <c r="C39">
        <v>0.29761245677589698</v>
      </c>
      <c r="D39">
        <v>0.30937818948521101</v>
      </c>
      <c r="E39">
        <v>0.13679561687706901</v>
      </c>
      <c r="F39">
        <v>3.4514</v>
      </c>
      <c r="G39">
        <v>3.3052280000000001</v>
      </c>
    </row>
    <row r="40" spans="1:7">
      <c r="A40">
        <v>3.942943030101</v>
      </c>
      <c r="B40">
        <v>0.39463489211892799</v>
      </c>
      <c r="C40">
        <v>0.27796354530275602</v>
      </c>
      <c r="D40">
        <v>0.28696081475839802</v>
      </c>
      <c r="E40">
        <v>0.13679561687706901</v>
      </c>
      <c r="F40">
        <v>3.4514</v>
      </c>
      <c r="G40">
        <v>3.3052280000000001</v>
      </c>
    </row>
    <row r="41" spans="1:7">
      <c r="A41">
        <v>4.0467046887878704</v>
      </c>
      <c r="B41">
        <v>0.42435374864766201</v>
      </c>
      <c r="C41">
        <v>0.26372992958457497</v>
      </c>
      <c r="D41">
        <v>0.26525915465604399</v>
      </c>
      <c r="E41">
        <v>0.13679561687706901</v>
      </c>
      <c r="F41">
        <v>3.4514</v>
      </c>
      <c r="G41">
        <v>3.3052280000000001</v>
      </c>
    </row>
    <row r="42" spans="1:7">
      <c r="A42">
        <v>4.1504663474747403</v>
      </c>
      <c r="B42">
        <v>0.43216488924385799</v>
      </c>
      <c r="C42">
        <v>0.25123353741260901</v>
      </c>
      <c r="D42">
        <v>0.25138999755413799</v>
      </c>
      <c r="E42">
        <v>0.13679561687706901</v>
      </c>
      <c r="F42">
        <v>3.4514</v>
      </c>
      <c r="G42">
        <v>3.3052280000000001</v>
      </c>
    </row>
    <row r="43" spans="1:7">
      <c r="A43">
        <v>4.2542280061616102</v>
      </c>
      <c r="B43">
        <v>0.43997602984005402</v>
      </c>
      <c r="C43">
        <v>0.241292085866224</v>
      </c>
      <c r="D43">
        <v>0.24057679150962899</v>
      </c>
      <c r="E43">
        <v>0.13679561687706901</v>
      </c>
      <c r="F43">
        <v>3.4514</v>
      </c>
      <c r="G43">
        <v>3.3052280000000001</v>
      </c>
    </row>
    <row r="44" spans="1:7">
      <c r="A44">
        <v>4.3579896648484802</v>
      </c>
      <c r="B44">
        <v>0.44778717043624899</v>
      </c>
      <c r="C44">
        <v>0.23442381779361299</v>
      </c>
      <c r="D44">
        <v>0.23494550413373599</v>
      </c>
      <c r="E44">
        <v>0.13679561687706901</v>
      </c>
      <c r="F44">
        <v>3.4514</v>
      </c>
      <c r="G44">
        <v>3.3052280000000001</v>
      </c>
    </row>
    <row r="45" spans="1:7">
      <c r="A45">
        <v>4.4617513235353501</v>
      </c>
      <c r="B45">
        <v>0.44092687880625803</v>
      </c>
      <c r="C45">
        <v>0.239891616158462</v>
      </c>
      <c r="D45">
        <v>0.24051173717132401</v>
      </c>
      <c r="E45">
        <v>0.13679561687706901</v>
      </c>
      <c r="F45">
        <v>3.4514</v>
      </c>
      <c r="G45">
        <v>3.3052280000000001</v>
      </c>
    </row>
    <row r="46" spans="1:7">
      <c r="A46">
        <v>4.56551298222222</v>
      </c>
      <c r="B46">
        <v>0.42160356239496899</v>
      </c>
      <c r="C46">
        <v>0.246867881714364</v>
      </c>
      <c r="D46">
        <v>0.24672874469651701</v>
      </c>
      <c r="E46">
        <v>0.13679561687706901</v>
      </c>
      <c r="F46">
        <v>3.4514</v>
      </c>
      <c r="G46">
        <v>3.3052280000000001</v>
      </c>
    </row>
    <row r="47" spans="1:7">
      <c r="A47">
        <v>4.6692746409090899</v>
      </c>
      <c r="B47">
        <v>0.39792498186194297</v>
      </c>
      <c r="C47">
        <v>0.26008673484080003</v>
      </c>
      <c r="D47">
        <v>0.26265734513716499</v>
      </c>
      <c r="E47">
        <v>0.13679561687706901</v>
      </c>
      <c r="F47">
        <v>3.4514</v>
      </c>
      <c r="G47">
        <v>3.3052280000000001</v>
      </c>
    </row>
    <row r="48" spans="1:7">
      <c r="A48">
        <v>4.7730362995959501</v>
      </c>
      <c r="B48">
        <v>0.37292933227418501</v>
      </c>
      <c r="C48">
        <v>0.28725617881599502</v>
      </c>
      <c r="D48">
        <v>0.28014986236948902</v>
      </c>
      <c r="E48">
        <v>0.13679561687706901</v>
      </c>
      <c r="F48">
        <v>3.4514</v>
      </c>
      <c r="G48">
        <v>3.3052280000000001</v>
      </c>
    </row>
    <row r="49" spans="1:7">
      <c r="A49">
        <v>4.87679795828282</v>
      </c>
      <c r="B49">
        <v>0.35059375023566303</v>
      </c>
      <c r="C49">
        <v>0.30912737233865101</v>
      </c>
      <c r="D49">
        <v>0.30076259432052599</v>
      </c>
      <c r="E49">
        <v>0.13679561687706901</v>
      </c>
      <c r="F49">
        <v>3.4514</v>
      </c>
      <c r="G49">
        <v>3.3052280000000001</v>
      </c>
    </row>
    <row r="50" spans="1:7">
      <c r="A50">
        <v>4.98055961696969</v>
      </c>
      <c r="B50">
        <v>0.33080552747790498</v>
      </c>
      <c r="C50">
        <v>0.33129008502345703</v>
      </c>
      <c r="D50">
        <v>0.32264775383619898</v>
      </c>
      <c r="E50">
        <v>0.13679561687706901</v>
      </c>
      <c r="F50">
        <v>3.4514</v>
      </c>
      <c r="G50">
        <v>3.3052280000000001</v>
      </c>
    </row>
    <row r="51" spans="1:7">
      <c r="A51">
        <v>5.0843212756565599</v>
      </c>
      <c r="B51">
        <v>0.31125594584628302</v>
      </c>
      <c r="C51">
        <v>0.35433294966331402</v>
      </c>
      <c r="D51">
        <v>0.34464065512680803</v>
      </c>
      <c r="E51">
        <v>0.13679561687706901</v>
      </c>
      <c r="F51">
        <v>3.4514</v>
      </c>
      <c r="G51">
        <v>3.3052280000000001</v>
      </c>
    </row>
    <row r="52" spans="1:7">
      <c r="A52">
        <v>5.1880829343434298</v>
      </c>
      <c r="B52">
        <v>0.29719589286457598</v>
      </c>
      <c r="C52">
        <v>0.37246149353465502</v>
      </c>
      <c r="D52">
        <v>0.366079070767031</v>
      </c>
      <c r="E52">
        <v>0.13679561687706901</v>
      </c>
      <c r="F52">
        <v>3.4514</v>
      </c>
      <c r="G52">
        <v>3.3052280000000001</v>
      </c>
    </row>
    <row r="53" spans="1:7">
      <c r="A53">
        <v>5.2918445930302997</v>
      </c>
      <c r="B53">
        <v>0.28584529164772399</v>
      </c>
      <c r="C53">
        <v>0.386834887569101</v>
      </c>
      <c r="D53">
        <v>0.37993535477092399</v>
      </c>
      <c r="E53">
        <v>8.8764665794569E-2</v>
      </c>
      <c r="F53">
        <v>3.4514</v>
      </c>
      <c r="G53">
        <v>3.3052280000000001</v>
      </c>
    </row>
    <row r="54" spans="1:7">
      <c r="A54">
        <v>5.3956062517171697</v>
      </c>
      <c r="B54">
        <v>0.28098256099999902</v>
      </c>
      <c r="C54">
        <v>0.39767052299671002</v>
      </c>
      <c r="D54">
        <v>0.39185894929708298</v>
      </c>
      <c r="E54">
        <v>6.8722650828349904E-3</v>
      </c>
      <c r="F54">
        <v>3.4514</v>
      </c>
      <c r="G54">
        <v>3.3052280000000001</v>
      </c>
    </row>
    <row r="55" spans="1:7">
      <c r="A55">
        <v>5.4993679104040396</v>
      </c>
      <c r="B55">
        <v>0.28098256099999902</v>
      </c>
      <c r="C55">
        <v>0.39754661933787799</v>
      </c>
      <c r="D55">
        <v>0.39370895620937002</v>
      </c>
      <c r="E55">
        <v>6.8722650828349904E-3</v>
      </c>
      <c r="F55">
        <v>3.4514</v>
      </c>
      <c r="G55">
        <v>3.3052280000000001</v>
      </c>
    </row>
    <row r="56" spans="1:7">
      <c r="A56">
        <v>5.6031295690908998</v>
      </c>
      <c r="B56">
        <v>0.28098256099999902</v>
      </c>
      <c r="C56">
        <v>0.39738270510876</v>
      </c>
      <c r="D56">
        <v>0.395558963121658</v>
      </c>
      <c r="E56">
        <v>6.8722650828349904E-3</v>
      </c>
      <c r="F56">
        <v>3.4514</v>
      </c>
      <c r="G56">
        <v>3.3052280000000001</v>
      </c>
    </row>
    <row r="57" spans="1:7">
      <c r="A57">
        <v>5.7068912277777697</v>
      </c>
      <c r="B57">
        <v>0.28098256099999902</v>
      </c>
      <c r="C57">
        <v>0.39443682366772898</v>
      </c>
      <c r="D57">
        <v>0.39702762560562199</v>
      </c>
      <c r="E57">
        <v>6.8722650828349904E-3</v>
      </c>
      <c r="F57">
        <v>3.4514</v>
      </c>
      <c r="G57">
        <v>3.3052280000000001</v>
      </c>
    </row>
    <row r="58" spans="1:7">
      <c r="A58">
        <v>5.8106528864646396</v>
      </c>
      <c r="B58">
        <v>0.28453529354192197</v>
      </c>
      <c r="C58">
        <v>0.384347433852265</v>
      </c>
      <c r="D58">
        <v>0.38744967953019399</v>
      </c>
      <c r="E58">
        <v>6.8722650828349904E-3</v>
      </c>
      <c r="F58">
        <v>3.4514</v>
      </c>
      <c r="G58">
        <v>3.3052280000000001</v>
      </c>
    </row>
    <row r="59" spans="1:7">
      <c r="A59">
        <v>5.9144145451515104</v>
      </c>
      <c r="B59">
        <v>0.29401110328650898</v>
      </c>
      <c r="C59">
        <v>0.37425804403680202</v>
      </c>
      <c r="D59">
        <v>0.37787173345476699</v>
      </c>
      <c r="E59">
        <v>6.8722650828349904E-3</v>
      </c>
      <c r="F59">
        <v>3.4514</v>
      </c>
      <c r="G59">
        <v>3.3052280000000001</v>
      </c>
    </row>
    <row r="60" spans="1:7">
      <c r="A60">
        <v>6.0181762038383804</v>
      </c>
      <c r="B60">
        <v>0.30348691303109498</v>
      </c>
      <c r="C60">
        <v>0.36231404750173002</v>
      </c>
      <c r="D60">
        <v>0.36589782178782299</v>
      </c>
      <c r="E60">
        <v>6.8722650828349904E-3</v>
      </c>
      <c r="F60">
        <v>3.4514</v>
      </c>
      <c r="G60">
        <v>3.3052280000000001</v>
      </c>
    </row>
    <row r="61" spans="1:7">
      <c r="A61">
        <v>6.1219378625252503</v>
      </c>
      <c r="B61">
        <v>0.31296272277568099</v>
      </c>
      <c r="C61">
        <v>0.34935603148380701</v>
      </c>
      <c r="D61">
        <v>0.35313797490153898</v>
      </c>
      <c r="E61">
        <v>6.8722650828349904E-3</v>
      </c>
      <c r="F61">
        <v>3.4514</v>
      </c>
      <c r="G61">
        <v>3.3052280000000001</v>
      </c>
    </row>
    <row r="62" spans="1:7">
      <c r="A62">
        <v>6.2256995212121202</v>
      </c>
      <c r="B62">
        <v>0.322438532520267</v>
      </c>
      <c r="C62">
        <v>0.33673564210905199</v>
      </c>
      <c r="D62">
        <v>0.340592809997247</v>
      </c>
      <c r="E62">
        <v>6.8722650828349904E-3</v>
      </c>
      <c r="F62">
        <v>3.4514</v>
      </c>
      <c r="G62">
        <v>3.3052280000000001</v>
      </c>
    </row>
    <row r="63" spans="1:7">
      <c r="A63">
        <v>6.3294611798989804</v>
      </c>
      <c r="B63">
        <v>0.331914342264854</v>
      </c>
      <c r="C63">
        <v>0.324162627728939</v>
      </c>
      <c r="D63">
        <v>0.32896355857459297</v>
      </c>
      <c r="E63">
        <v>6.8722650828349904E-3</v>
      </c>
      <c r="F63">
        <v>3.4514</v>
      </c>
      <c r="G63">
        <v>3.3052280000000001</v>
      </c>
    </row>
    <row r="64" spans="1:7">
      <c r="A64">
        <v>6.4332228385858503</v>
      </c>
      <c r="B64">
        <v>0.34139015200944001</v>
      </c>
      <c r="C64">
        <v>0.31544537943253897</v>
      </c>
      <c r="D64">
        <v>0.31818020829723298</v>
      </c>
      <c r="E64">
        <v>6.8722650828349904E-3</v>
      </c>
      <c r="F64">
        <v>3.4514</v>
      </c>
      <c r="G64">
        <v>3.3052280000000001</v>
      </c>
    </row>
    <row r="65" spans="1:7">
      <c r="A65">
        <v>6.5369844972727202</v>
      </c>
      <c r="B65">
        <v>0.35086596175402601</v>
      </c>
      <c r="C65">
        <v>0.307353379716584</v>
      </c>
      <c r="D65">
        <v>0.30948606917817101</v>
      </c>
      <c r="E65">
        <v>6.8722650828349904E-3</v>
      </c>
      <c r="F65">
        <v>3.4514</v>
      </c>
      <c r="G65">
        <v>3.3052280000000001</v>
      </c>
    </row>
    <row r="66" spans="1:7">
      <c r="A66">
        <v>6.6407461559595902</v>
      </c>
      <c r="B66">
        <v>0.36034177149861202</v>
      </c>
      <c r="C66">
        <v>0.30174994246403197</v>
      </c>
      <c r="D66">
        <v>0.30288857712756201</v>
      </c>
      <c r="E66">
        <v>6.8722650828349904E-3</v>
      </c>
      <c r="F66">
        <v>3.4514</v>
      </c>
      <c r="G66">
        <v>3.3052280000000001</v>
      </c>
    </row>
    <row r="67" spans="1:7">
      <c r="A67">
        <v>6.7445078146464601</v>
      </c>
      <c r="B67">
        <v>0.36981758124319902</v>
      </c>
      <c r="C67">
        <v>0.29628214409918302</v>
      </c>
      <c r="D67">
        <v>0.29763333881278897</v>
      </c>
      <c r="E67">
        <v>6.8722650828349904E-3</v>
      </c>
      <c r="F67">
        <v>3.4514</v>
      </c>
      <c r="G67">
        <v>3.3052280000000001</v>
      </c>
    </row>
    <row r="68" spans="1:7">
      <c r="A68">
        <v>6.84826947333333</v>
      </c>
      <c r="B68">
        <v>0.37613157720721002</v>
      </c>
      <c r="C68">
        <v>0.29684018097495402</v>
      </c>
      <c r="D68">
        <v>0.296765434432744</v>
      </c>
      <c r="E68">
        <v>6.8722650828349904E-3</v>
      </c>
      <c r="F68">
        <v>3.4514</v>
      </c>
      <c r="G68">
        <v>3.3052280000000001</v>
      </c>
    </row>
    <row r="69" spans="1:7">
      <c r="A69">
        <v>6.9520311320202</v>
      </c>
      <c r="B69">
        <v>0.37114488004287199</v>
      </c>
      <c r="C69">
        <v>0.29775913866884002</v>
      </c>
      <c r="D69">
        <v>0.29695700327378</v>
      </c>
      <c r="E69">
        <v>5.5449778313355997E-3</v>
      </c>
      <c r="F69">
        <v>3.4514</v>
      </c>
      <c r="G69">
        <v>3.3052280000000001</v>
      </c>
    </row>
    <row r="70" spans="1:7">
      <c r="A70">
        <v>7.0557927907070699</v>
      </c>
      <c r="B70">
        <v>0.365737167381954</v>
      </c>
      <c r="C70">
        <v>0.29867809636272702</v>
      </c>
      <c r="D70">
        <v>0.29865368053973801</v>
      </c>
      <c r="E70">
        <v>4.1056307732461996E-3</v>
      </c>
      <c r="F70">
        <v>3.4514</v>
      </c>
      <c r="G70">
        <v>3.3052280000000001</v>
      </c>
    </row>
    <row r="71" spans="1:7">
      <c r="A71">
        <v>7.15955444939393</v>
      </c>
      <c r="B71">
        <v>0.360329454721037</v>
      </c>
      <c r="C71">
        <v>0.30327699549425802</v>
      </c>
      <c r="D71">
        <v>0.303587032605248</v>
      </c>
      <c r="E71">
        <v>2.6662837151567799E-3</v>
      </c>
      <c r="F71">
        <v>3.4514</v>
      </c>
      <c r="G71">
        <v>3.3052280000000001</v>
      </c>
    </row>
    <row r="72" spans="1:7">
      <c r="A72">
        <v>7.2633161080808</v>
      </c>
      <c r="B72">
        <v>0.35492174206011901</v>
      </c>
      <c r="C72">
        <v>0.31107062390881601</v>
      </c>
      <c r="D72">
        <v>0.30989903253589701</v>
      </c>
      <c r="E72">
        <v>1.22693665706737E-3</v>
      </c>
      <c r="F72">
        <v>3.4514</v>
      </c>
      <c r="G72">
        <v>3.3052280000000001</v>
      </c>
    </row>
    <row r="73" spans="1:7">
      <c r="A73">
        <v>7.3670777667676699</v>
      </c>
      <c r="B73">
        <v>0.34751431226493301</v>
      </c>
      <c r="C73">
        <v>0.31901863935385</v>
      </c>
      <c r="D73">
        <v>0.31702095476011</v>
      </c>
      <c r="E73">
        <v>7.1203397418789403E-4</v>
      </c>
      <c r="F73">
        <v>3.4514</v>
      </c>
      <c r="G73">
        <v>3.3052280000000001</v>
      </c>
    </row>
    <row r="74" spans="1:7">
      <c r="A74">
        <v>7.4708394254545398</v>
      </c>
      <c r="B74">
        <v>0.33899306833076998</v>
      </c>
      <c r="C74">
        <v>0.32730544611234402</v>
      </c>
      <c r="D74">
        <v>0.32506770162764098</v>
      </c>
      <c r="E74">
        <v>7.1203397418789403E-4</v>
      </c>
      <c r="F74">
        <v>3.4514</v>
      </c>
      <c r="G74">
        <v>3.3052280000000001</v>
      </c>
    </row>
    <row r="75" spans="1:7">
      <c r="A75">
        <v>7.5746010841414098</v>
      </c>
      <c r="B75">
        <v>0.33106230970989903</v>
      </c>
      <c r="C75">
        <v>0.33559225287083699</v>
      </c>
      <c r="D75">
        <v>0.333239764233075</v>
      </c>
      <c r="E75">
        <v>7.1203397418789403E-4</v>
      </c>
      <c r="F75">
        <v>3.4514</v>
      </c>
      <c r="G75">
        <v>3.3052280000000001</v>
      </c>
    </row>
    <row r="76" spans="1:7">
      <c r="A76">
        <v>7.6783627428282797</v>
      </c>
      <c r="B76">
        <v>0.32375822288471201</v>
      </c>
      <c r="C76">
        <v>0.34380916134415901</v>
      </c>
      <c r="D76">
        <v>0.34021993240005</v>
      </c>
      <c r="E76">
        <v>7.1203397418789403E-4</v>
      </c>
      <c r="F76">
        <v>3.4514</v>
      </c>
      <c r="G76">
        <v>3.3052280000000001</v>
      </c>
    </row>
    <row r="77" spans="1:7">
      <c r="A77">
        <v>7.7821244015151496</v>
      </c>
      <c r="B77">
        <v>0.31910550452310699</v>
      </c>
      <c r="C77">
        <v>0.34874039343070101</v>
      </c>
      <c r="D77">
        <v>0.34720010056702499</v>
      </c>
      <c r="E77">
        <v>7.1203397418789403E-4</v>
      </c>
      <c r="F77">
        <v>3.4514</v>
      </c>
      <c r="G77">
        <v>3.3052280000000001</v>
      </c>
    </row>
    <row r="78" spans="1:7">
      <c r="A78">
        <v>7.8858860602020098</v>
      </c>
      <c r="B78">
        <v>0.31519993419439002</v>
      </c>
      <c r="C78">
        <v>0.35367162551724202</v>
      </c>
      <c r="D78">
        <v>0.350832737225657</v>
      </c>
      <c r="E78">
        <v>7.1203397418789403E-4</v>
      </c>
      <c r="F78">
        <v>3.4514</v>
      </c>
      <c r="G78">
        <v>3.3052280000000001</v>
      </c>
    </row>
    <row r="79" spans="1:7">
      <c r="A79">
        <v>7.9896477188888797</v>
      </c>
      <c r="B79">
        <v>0.311841701333333</v>
      </c>
      <c r="C79">
        <v>0.35719195244476398</v>
      </c>
      <c r="D79">
        <v>0.35160611746339998</v>
      </c>
      <c r="E79">
        <v>7.1203397418789403E-4</v>
      </c>
      <c r="F79">
        <v>3.4514</v>
      </c>
      <c r="G79">
        <v>3.3052280000000001</v>
      </c>
    </row>
    <row r="80" spans="1:7">
      <c r="A80">
        <v>8.0934093775757496</v>
      </c>
      <c r="B80">
        <v>0.311841701333333</v>
      </c>
      <c r="C80">
        <v>0.35765143124280502</v>
      </c>
      <c r="D80">
        <v>0.35237949770114202</v>
      </c>
      <c r="E80">
        <v>7.1203397418789403E-4</v>
      </c>
      <c r="F80">
        <v>3.4514</v>
      </c>
      <c r="G80">
        <v>3.3052280000000001</v>
      </c>
    </row>
    <row r="81" spans="1:7">
      <c r="A81">
        <v>8.1971710362626204</v>
      </c>
      <c r="B81">
        <v>0.311841701333333</v>
      </c>
      <c r="C81">
        <v>0.358110910040847</v>
      </c>
      <c r="D81">
        <v>0.353152877938884</v>
      </c>
      <c r="E81">
        <v>7.1203397418789403E-4</v>
      </c>
      <c r="F81">
        <v>3.4514</v>
      </c>
      <c r="G81">
        <v>3.3052280000000001</v>
      </c>
    </row>
    <row r="82" spans="1:7">
      <c r="A82">
        <v>8.3009326949494895</v>
      </c>
      <c r="B82">
        <v>0.311841701333333</v>
      </c>
      <c r="C82">
        <v>0.35857038883888798</v>
      </c>
      <c r="D82">
        <v>0.35392625817662698</v>
      </c>
      <c r="E82">
        <v>7.1203397418789403E-4</v>
      </c>
      <c r="F82">
        <v>3.4514</v>
      </c>
      <c r="G82">
        <v>3.3052280000000001</v>
      </c>
    </row>
    <row r="83" spans="1:7">
      <c r="A83">
        <v>8.4046943536363603</v>
      </c>
      <c r="B83">
        <v>0.31498140085106002</v>
      </c>
      <c r="C83">
        <v>0.35421404223808201</v>
      </c>
      <c r="D83">
        <v>0.35469963841436902</v>
      </c>
      <c r="E83">
        <v>7.1203397418789403E-4</v>
      </c>
      <c r="F83">
        <v>3.4514</v>
      </c>
      <c r="G83">
        <v>3.3052280000000001</v>
      </c>
    </row>
    <row r="84" spans="1:7">
      <c r="A84">
        <v>8.5084560123232293</v>
      </c>
      <c r="B84">
        <v>0.31957618944429</v>
      </c>
      <c r="C84">
        <v>0.34936574814909999</v>
      </c>
      <c r="D84">
        <v>0.35033461032695401</v>
      </c>
      <c r="E84">
        <v>7.1203397418789403E-4</v>
      </c>
      <c r="F84">
        <v>3.4514</v>
      </c>
      <c r="G84">
        <v>3.3052280000000001</v>
      </c>
    </row>
    <row r="85" spans="1:7">
      <c r="A85">
        <v>8.6122176710101002</v>
      </c>
      <c r="B85">
        <v>0.32417097803751999</v>
      </c>
      <c r="C85">
        <v>0.34451733838554299</v>
      </c>
      <c r="D85">
        <v>0.34595639148885199</v>
      </c>
      <c r="E85">
        <v>7.1203397418789403E-4</v>
      </c>
      <c r="F85">
        <v>3.4514</v>
      </c>
      <c r="G85">
        <v>3.3052280000000001</v>
      </c>
    </row>
    <row r="86" spans="1:7">
      <c r="A86">
        <v>8.7159793296969692</v>
      </c>
      <c r="B86">
        <v>0.32876576663074902</v>
      </c>
      <c r="C86">
        <v>0.339309911354713</v>
      </c>
      <c r="D86">
        <v>0.34096300005217001</v>
      </c>
      <c r="E86">
        <v>7.1203397418789403E-4</v>
      </c>
      <c r="F86">
        <v>3.4514</v>
      </c>
      <c r="G86">
        <v>3.3052280000000001</v>
      </c>
    </row>
    <row r="87" spans="1:7">
      <c r="A87">
        <v>8.8197409883838294</v>
      </c>
      <c r="B87">
        <v>0.333360555223979</v>
      </c>
      <c r="C87">
        <v>0.33410248432388301</v>
      </c>
      <c r="D87">
        <v>0.33585571582914497</v>
      </c>
      <c r="E87">
        <v>7.1203397418789403E-4</v>
      </c>
      <c r="F87">
        <v>3.4514</v>
      </c>
      <c r="G87">
        <v>3.3052280000000001</v>
      </c>
    </row>
    <row r="88" spans="1:7">
      <c r="A88">
        <v>8.9235026470707002</v>
      </c>
      <c r="B88">
        <v>0.33796329745164</v>
      </c>
      <c r="C88">
        <v>0.329672055574668</v>
      </c>
      <c r="D88">
        <v>0.33101114778198998</v>
      </c>
      <c r="E88">
        <v>6.8053607299571497E-4</v>
      </c>
      <c r="F88">
        <v>3.4514</v>
      </c>
      <c r="G88">
        <v>3.3052280000000001</v>
      </c>
    </row>
    <row r="89" spans="1:7">
      <c r="A89">
        <v>9.0272643057575692</v>
      </c>
      <c r="B89">
        <v>0.34264997948389903</v>
      </c>
      <c r="C89">
        <v>0.32544300321172298</v>
      </c>
      <c r="D89">
        <v>0.32658504399340998</v>
      </c>
      <c r="E89">
        <v>3.1662062177019901E-4</v>
      </c>
      <c r="F89">
        <v>3.4514</v>
      </c>
      <c r="G89">
        <v>3.3052280000000001</v>
      </c>
    </row>
    <row r="90" spans="1:7">
      <c r="A90">
        <v>9.13102596444444</v>
      </c>
      <c r="B90">
        <v>0.34527243357860299</v>
      </c>
      <c r="C90">
        <v>0.32231854705074198</v>
      </c>
      <c r="D90">
        <v>0.32274146700321599</v>
      </c>
      <c r="E90">
        <v>1.12990106756371E-4</v>
      </c>
      <c r="F90">
        <v>3.4514</v>
      </c>
      <c r="G90">
        <v>3.3052280000000001</v>
      </c>
    </row>
    <row r="91" spans="1:7">
      <c r="A91">
        <v>9.2347876231313109</v>
      </c>
      <c r="B91">
        <v>0.34527243413547298</v>
      </c>
      <c r="C91">
        <v>0.31919409088976203</v>
      </c>
      <c r="D91">
        <v>0.320467127527092</v>
      </c>
      <c r="E91">
        <v>1.12990106756371E-4</v>
      </c>
      <c r="F91">
        <v>3.4514</v>
      </c>
      <c r="G91">
        <v>3.3052280000000001</v>
      </c>
    </row>
    <row r="92" spans="1:7">
      <c r="A92">
        <v>9.3385492818181799</v>
      </c>
      <c r="B92">
        <v>0.34527243469234198</v>
      </c>
      <c r="C92">
        <v>0.31642914443132603</v>
      </c>
      <c r="D92">
        <v>0.31955648666666597</v>
      </c>
      <c r="E92">
        <v>1.12990106756371E-4</v>
      </c>
      <c r="F92">
        <v>3.4514</v>
      </c>
      <c r="G92">
        <v>3.3052280000000001</v>
      </c>
    </row>
    <row r="93" spans="1:7">
      <c r="A93">
        <v>9.4423109405050507</v>
      </c>
      <c r="B93">
        <v>0.34527243524921097</v>
      </c>
      <c r="C93">
        <v>0.317600815447311</v>
      </c>
      <c r="D93">
        <v>0.31955648666666597</v>
      </c>
      <c r="E93">
        <v>1.12990106756371E-4</v>
      </c>
      <c r="F93">
        <v>3.4514</v>
      </c>
      <c r="G93">
        <v>3.3052280000000001</v>
      </c>
    </row>
    <row r="94" spans="1:7">
      <c r="A94">
        <v>9.5460725991919109</v>
      </c>
      <c r="B94">
        <v>0.34527243580608102</v>
      </c>
      <c r="C94">
        <v>0.31877248646329598</v>
      </c>
      <c r="D94">
        <v>0.31955648666666597</v>
      </c>
      <c r="E94">
        <v>1.12990106756371E-4</v>
      </c>
      <c r="F94">
        <v>3.4514</v>
      </c>
      <c r="G94">
        <v>3.3052280000000001</v>
      </c>
    </row>
    <row r="95" spans="1:7">
      <c r="A95">
        <v>9.6498342578787799</v>
      </c>
      <c r="B95">
        <v>0.34527243636295002</v>
      </c>
      <c r="C95">
        <v>0.31994415747928101</v>
      </c>
      <c r="D95">
        <v>0.32026960647643998</v>
      </c>
      <c r="E95">
        <v>1.12990106756371E-4</v>
      </c>
      <c r="F95">
        <v>3.4514</v>
      </c>
      <c r="G95">
        <v>3.3052280000000001</v>
      </c>
    </row>
    <row r="96" spans="1:7">
      <c r="A96">
        <v>9.7535959165656507</v>
      </c>
      <c r="B96">
        <v>0.34527243691981901</v>
      </c>
      <c r="C96">
        <v>0.321270043315728</v>
      </c>
      <c r="D96">
        <v>0.32168981382787498</v>
      </c>
      <c r="E96">
        <v>1.12990106756371E-4</v>
      </c>
      <c r="F96">
        <v>3.4514</v>
      </c>
      <c r="G96">
        <v>3.3052280000000001</v>
      </c>
    </row>
    <row r="97" spans="1:7">
      <c r="A97">
        <v>9.8573575752525198</v>
      </c>
      <c r="B97">
        <v>0.34279012048947599</v>
      </c>
      <c r="C97">
        <v>0.32452468521675298</v>
      </c>
      <c r="D97">
        <v>0.32441297935425401</v>
      </c>
      <c r="E97">
        <v>1.12990106756371E-4</v>
      </c>
      <c r="F97">
        <v>3.4514</v>
      </c>
      <c r="G97">
        <v>3.3052280000000001</v>
      </c>
    </row>
    <row r="98" spans="1:7">
      <c r="A98">
        <v>9.9611192339393906</v>
      </c>
      <c r="B98">
        <v>0.33871474482999903</v>
      </c>
      <c r="C98">
        <v>0.32777932711777702</v>
      </c>
      <c r="D98">
        <v>0.32771769257884997</v>
      </c>
      <c r="E98">
        <v>1.12990106756371E-4</v>
      </c>
      <c r="F98">
        <v>3.4514</v>
      </c>
      <c r="G98">
        <v>3.3052280000000001</v>
      </c>
    </row>
    <row r="99" spans="1:7">
      <c r="A99">
        <v>10.064880892626199</v>
      </c>
      <c r="B99">
        <v>0.33579860469838002</v>
      </c>
      <c r="C99">
        <v>0.33131542783129603</v>
      </c>
      <c r="D99">
        <v>0.33100637270653799</v>
      </c>
      <c r="E99">
        <v>1.12990106756371E-4</v>
      </c>
      <c r="F99">
        <v>3.4514</v>
      </c>
      <c r="G99">
        <v>3.3052280000000001</v>
      </c>
    </row>
    <row r="100" spans="1:7">
      <c r="A100">
        <v>10.1686425513131</v>
      </c>
      <c r="B100">
        <v>0.33204925704078703</v>
      </c>
      <c r="C100">
        <v>0.33499125874622099</v>
      </c>
      <c r="D100">
        <v>0.33428201235326899</v>
      </c>
      <c r="E100">
        <v>1.12990106756371E-4</v>
      </c>
      <c r="F100">
        <v>3.4514</v>
      </c>
      <c r="G100">
        <v>3.3052280000000001</v>
      </c>
    </row>
    <row r="101" spans="1:7">
      <c r="A101">
        <v>10.272404209999999</v>
      </c>
      <c r="B101">
        <v>0.32949998736902097</v>
      </c>
      <c r="C101">
        <v>0.338667089661147</v>
      </c>
      <c r="D101">
        <v>0.33755765199999999</v>
      </c>
      <c r="E101">
        <v>1.12990106756371E-4</v>
      </c>
      <c r="F101">
        <v>3.4514</v>
      </c>
      <c r="G101">
        <v>3.3052280000000001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Figs</vt:lpstr>
      <vt:lpstr>Fig1_Fig2 (2)</vt:lpstr>
      <vt:lpstr>MFP-rsum</vt:lpstr>
      <vt:lpstr>GUI_plotter_results_BC</vt:lpstr>
      <vt:lpstr>GUI_plotter_results_Final_9-4-2</vt:lpstr>
      <vt:lpstr>ChargeCalcs</vt:lpstr>
      <vt:lpstr>WalzPDFpeaks</vt:lpstr>
      <vt:lpstr>1.0LiF_PLot_for_Figs</vt:lpstr>
      <vt:lpstr>0.64NaCl_0.36UCl3_plot_data</vt:lpstr>
      <vt:lpstr>1.0LiF_plot_data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2025-07-21T10:57:19Z</dcterms:created>
  <dcterms:modified xsi:type="dcterms:W3CDTF">2025-10-06T17:12:59Z</dcterms:modified>
</cp:coreProperties>
</file>