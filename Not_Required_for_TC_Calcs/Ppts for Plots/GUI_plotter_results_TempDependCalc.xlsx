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obcn2\Documents\Thermal Conductivity Model\Code\TC_Comparison_Code\Not_Required_for_TC_Calcs\Ppts for Plots\"/>
    </mc:Choice>
  </mc:AlternateContent>
  <xr:revisionPtr revIDLastSave="0" documentId="8_{42D9F970-235B-4FDF-B0B5-D451EB0DEC32}" xr6:coauthVersionLast="36" xr6:coauthVersionMax="36" xr10:uidLastSave="{00000000-0000-0000-0000-000000000000}"/>
  <bookViews>
    <workbookView xWindow="0" yWindow="0" windowWidth="21570" windowHeight="7890"/>
  </bookViews>
  <sheets>
    <sheet name="GUI_plotter_results" sheetId="1" r:id="rId1"/>
  </sheets>
  <calcPr calcId="0"/>
</workbook>
</file>

<file path=xl/calcChain.xml><?xml version="1.0" encoding="utf-8"?>
<calcChain xmlns="http://schemas.openxmlformats.org/spreadsheetml/2006/main">
  <c r="AF31" i="1" l="1"/>
  <c r="AB31" i="1"/>
  <c r="AF3" i="1"/>
  <c r="AF4" i="1"/>
  <c r="AF5" i="1"/>
  <c r="AF6" i="1"/>
  <c r="AF7" i="1"/>
  <c r="AF8" i="1"/>
  <c r="AF9" i="1"/>
  <c r="AF10" i="1"/>
  <c r="AF11" i="1"/>
  <c r="AF12" i="1"/>
  <c r="AF13" i="1"/>
  <c r="AB3" i="1"/>
  <c r="AB4" i="1"/>
  <c r="AB5" i="1"/>
  <c r="AB6" i="1"/>
  <c r="AB7" i="1"/>
  <c r="AB8" i="1"/>
  <c r="AB9" i="1"/>
  <c r="AB10" i="1"/>
  <c r="AB11" i="1"/>
  <c r="AB12" i="1"/>
  <c r="AB13" i="1"/>
  <c r="AF2" i="1"/>
  <c r="AB2" i="1"/>
  <c r="AE3" i="1"/>
  <c r="AE4" i="1"/>
  <c r="AE5" i="1"/>
  <c r="AE6" i="1"/>
  <c r="AE7" i="1"/>
  <c r="AE8" i="1"/>
  <c r="AE9" i="1"/>
  <c r="AE10" i="1"/>
  <c r="AE11" i="1"/>
  <c r="AE12" i="1"/>
  <c r="AE13" i="1"/>
  <c r="AE2" i="1"/>
  <c r="AA3" i="1"/>
  <c r="AA4" i="1"/>
  <c r="AA5" i="1"/>
  <c r="AA6" i="1"/>
  <c r="AA7" i="1"/>
  <c r="AA8" i="1"/>
  <c r="AA9" i="1"/>
  <c r="AA10" i="1"/>
  <c r="AA11" i="1"/>
  <c r="AA12" i="1"/>
  <c r="AA13" i="1"/>
  <c r="AA2" i="1"/>
  <c r="AI3" i="1" l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2" i="1"/>
</calcChain>
</file>

<file path=xl/sharedStrings.xml><?xml version="1.0" encoding="utf-8"?>
<sst xmlns="http://schemas.openxmlformats.org/spreadsheetml/2006/main" count="115" uniqueCount="73">
  <si>
    <t>Salt Composition</t>
  </si>
  <si>
    <t>PDF Source</t>
  </si>
  <si>
    <t>Melting Temp (K)</t>
  </si>
  <si>
    <t>Min Measured Temp (K)</t>
  </si>
  <si>
    <t>Gheribi-KT24 at Melt Temp (W/m-K)</t>
  </si>
  <si>
    <t>Gheribi-KT24, Mix Data at Melt Temp (W/m-K)</t>
  </si>
  <si>
    <t>Zhao-PGM at Melt Temp (W/m-K)</t>
  </si>
  <si>
    <t>Zhao-PGM, Mix Data at Melt Temp (W/m-K)</t>
  </si>
  <si>
    <t>Present Model at Melt Temp (W/m-K)</t>
  </si>
  <si>
    <t>Present Model, Mix Data at Melt Temp (W/m-K)</t>
  </si>
  <si>
    <t>Ideal at Melt Temp (W/m-K)</t>
  </si>
  <si>
    <t>Gheribi-KT24 at Min Meas Temp (W/m-K)</t>
  </si>
  <si>
    <t>Gheribi-KT24, Mix Data at Min Meas Temp (W/m-K)</t>
  </si>
  <si>
    <t>Zhao-PGM at Min Meas Temp (W/m-K)</t>
  </si>
  <si>
    <t>Zhao-PGM, Mix Data at Min Meas Temp (W/m-K)</t>
  </si>
  <si>
    <t>Present Model at Min Meas Temp (W/m-K)</t>
  </si>
  <si>
    <t>Present Model, Mix Data at Min Meas Temp (W/m-K)</t>
  </si>
  <si>
    <t>Ideal at Min Meas Temp (W/m-K)</t>
  </si>
  <si>
    <t>TC Experimental (W/m-K)</t>
  </si>
  <si>
    <t>Exp. Reference</t>
  </si>
  <si>
    <t>TC MSTDB (W/m-K)</t>
  </si>
  <si>
    <t>MSTDB Reference</t>
  </si>
  <si>
    <t>GECM c_m (J/kg-K)</t>
  </si>
  <si>
    <t>GECM c' (J/kg-KÂ²)</t>
  </si>
  <si>
    <t>GECM_Mix c_m (J/kg-K)</t>
  </si>
  <si>
    <t>GECM_Mix c' (J/kg-KÂ²)</t>
  </si>
  <si>
    <t>GECM v_m (m/s)</t>
  </si>
  <si>
    <t>GECM v' (m/s/K)</t>
  </si>
  <si>
    <t>GECM_Mix v_m (m/s)</t>
  </si>
  <si>
    <t>GECM_Mix v' (m/s/K)</t>
  </si>
  <si>
    <t>1.0LiF</t>
  </si>
  <si>
    <t>Walz, 2019</t>
  </si>
  <si>
    <t>LiF (Golyshev, 1992),LiF (Smirnov, 1987),LiF (Khlebnikov, 1981)</t>
  </si>
  <si>
    <t>1.0NaF</t>
  </si>
  <si>
    <t>NaF (Smirnov, 1987),NaF (Polyakov, 1975)</t>
  </si>
  <si>
    <t>1.0KF</t>
  </si>
  <si>
    <t>KF (Smirnov, 1987)</t>
  </si>
  <si>
    <t>1.0LiCl</t>
  </si>
  <si>
    <t>LiCl (Nagasaka, 1992)</t>
  </si>
  <si>
    <t>1.0NaCl</t>
  </si>
  <si>
    <t>NaCl (Harada, 1992),NaCl (Nagasaka 1992)</t>
  </si>
  <si>
    <t>1.0KCl</t>
  </si>
  <si>
    <t>KCl (Harada, 1992),KCl (Nagasaka, 1992)</t>
  </si>
  <si>
    <t>1.0MgCl2</t>
  </si>
  <si>
    <t>McGreevy, 1987</t>
  </si>
  <si>
    <t>MgCl2 (Filatov, 2005)</t>
  </si>
  <si>
    <t>1.0CaCl2</t>
  </si>
  <si>
    <t>1.0SrCl2</t>
  </si>
  <si>
    <t>0.64NaCl-0.36UCl3</t>
  </si>
  <si>
    <t>Andersson, 2022</t>
  </si>
  <si>
    <t>63NaCl-37UCl3 (Termini, 2024),65.8NaCl-34.2UCl3 (Rose, 2023)</t>
  </si>
  <si>
    <t>0.5LiF-0.5BeF2</t>
  </si>
  <si>
    <t>Sun, 2024</t>
  </si>
  <si>
    <t>0.66LiF-0.34BeF2</t>
  </si>
  <si>
    <t>Langford, 2022</t>
  </si>
  <si>
    <t>0.73LiF-0.27BeF2 (Bobrova, 2023)</t>
  </si>
  <si>
    <t>Rosenthal 1969 [122]</t>
  </si>
  <si>
    <t>0.6LiF-0.4NaF</t>
  </si>
  <si>
    <t>Grizzi, 2024</t>
  </si>
  <si>
    <t>0.6LiF-0.4NaF (BYU)</t>
  </si>
  <si>
    <t>0.465LiF-0.115NaF-0.42KF</t>
  </si>
  <si>
    <t>Frandsen, 2020</t>
  </si>
  <si>
    <t>0.465LiF-0.115NaF-0.42KF (Merritt, 2022),0.465LiF-0.115NaF-0.42KF (Gallagher, 2022),0.465LiF-0.115NaF-0.42KF (Rudenko, 2022)</t>
  </si>
  <si>
    <t>0.34500000000000003NaF-0.59KF-0.065MgF2</t>
  </si>
  <si>
    <t>0.345NaF-0.59KF-0.065MgF2 (Rudenko, 2024)</t>
  </si>
  <si>
    <t>0.38NaCl-0.21KCl-0.41000000000000003MgCl2</t>
  </si>
  <si>
    <t>0.1511NaCl-0.3891KCl-0.4598MgCl2 (Wang, 2021)</t>
  </si>
  <si>
    <t>0.45NaCl-0.33KCl-0.22MgCl2</t>
  </si>
  <si>
    <t>l</t>
  </si>
  <si>
    <t>c_100+</t>
  </si>
  <si>
    <t>v_100+</t>
  </si>
  <si>
    <t>%dev_c</t>
  </si>
  <si>
    <t>%dev_v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</si>
</sst>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1"/>
  <sheetViews>
    <sheetView tabSelected="1" topLeftCell="D1" workbookViewId="0">
      <selection activeCell="Z16" sqref="Z16"/>
    </sheetView>
  </sheetViews>
  <sheetFormatPr defaultRowHeight="15" x14ac:dyDescent="0.25"/>
  <cols>
    <col min="27" max="28" width="9.140625" style="2"/>
    <col min="31" max="32" width="9.140625" style="2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2" t="s">
        <v>69</v>
      </c>
      <c r="AB1" s="2" t="s">
        <v>71</v>
      </c>
      <c r="AC1" t="s">
        <v>26</v>
      </c>
      <c r="AD1" t="s">
        <v>27</v>
      </c>
      <c r="AE1" s="2" t="s">
        <v>70</v>
      </c>
      <c r="AF1" s="2" t="s">
        <v>72</v>
      </c>
      <c r="AG1" t="s">
        <v>28</v>
      </c>
      <c r="AH1" t="s">
        <v>29</v>
      </c>
      <c r="AI1" t="s">
        <v>68</v>
      </c>
    </row>
    <row r="2" spans="1:35" x14ac:dyDescent="0.25">
      <c r="A2" t="s">
        <v>30</v>
      </c>
      <c r="B2" t="s">
        <v>31</v>
      </c>
      <c r="C2">
        <v>1121.2</v>
      </c>
      <c r="D2">
        <v>1121.2</v>
      </c>
      <c r="E2">
        <v>1.3498414938304</v>
      </c>
      <c r="G2">
        <v>0.80194503019063301</v>
      </c>
      <c r="I2">
        <v>1.3243220465071499</v>
      </c>
      <c r="L2">
        <v>1.3498414938304</v>
      </c>
      <c r="N2">
        <v>0.80194503019063301</v>
      </c>
      <c r="P2">
        <v>1.3243220465071499</v>
      </c>
      <c r="S2">
        <v>1.26067524166442</v>
      </c>
      <c r="T2" t="s">
        <v>32</v>
      </c>
      <c r="W2">
        <v>4476075.1837773202</v>
      </c>
      <c r="X2">
        <v>-1213.2634257295999</v>
      </c>
      <c r="AA2" s="2">
        <f>W2+X2*(100)</f>
        <v>4354748.8412043601</v>
      </c>
      <c r="AB2" s="2">
        <f>(W2-AA2)/W2</f>
        <v>2.7105519364974975E-2</v>
      </c>
      <c r="AC2">
        <v>2571.7111999999902</v>
      </c>
      <c r="AD2">
        <v>-1.1739999999999999</v>
      </c>
      <c r="AE2" s="2">
        <f>AC2+AD2*(100)</f>
        <v>2454.3111999999901</v>
      </c>
      <c r="AF2" s="2">
        <f>(AC2-AE2)/AC2</f>
        <v>4.5650538054195409E-2</v>
      </c>
      <c r="AI2" t="e">
        <f>Q2/(1/3*(Y2)*AG2)</f>
        <v>#DIV/0!</v>
      </c>
    </row>
    <row r="3" spans="1:35" x14ac:dyDescent="0.25">
      <c r="A3" t="s">
        <v>30</v>
      </c>
      <c r="B3" t="s">
        <v>31</v>
      </c>
      <c r="C3">
        <v>1121.2</v>
      </c>
      <c r="D3">
        <v>1121.2</v>
      </c>
      <c r="E3">
        <v>1.3498414938304</v>
      </c>
      <c r="G3">
        <v>0.80194503019063301</v>
      </c>
      <c r="I3">
        <v>1.3243220465071499</v>
      </c>
      <c r="L3">
        <v>1.3498414938304</v>
      </c>
      <c r="N3">
        <v>0.80194503019063301</v>
      </c>
      <c r="P3">
        <v>1.3243220465071499</v>
      </c>
      <c r="S3">
        <v>1.3542200220493199</v>
      </c>
      <c r="T3" t="s">
        <v>32</v>
      </c>
      <c r="W3">
        <v>4476075.1837773202</v>
      </c>
      <c r="X3">
        <v>-1213.2634257295999</v>
      </c>
      <c r="AA3" s="2">
        <f t="shared" ref="AA3:AA30" si="0">W3+X3*(100)</f>
        <v>4354748.8412043601</v>
      </c>
      <c r="AB3" s="2">
        <f t="shared" ref="AB3:AB30" si="1">(W3-AA3)/W3</f>
        <v>2.7105519364974975E-2</v>
      </c>
      <c r="AC3">
        <v>2571.7111999999902</v>
      </c>
      <c r="AD3">
        <v>-1.1739999999999999</v>
      </c>
      <c r="AE3" s="2">
        <f t="shared" ref="AE3:AE30" si="2">AC3+AD3*(100)</f>
        <v>2454.3111999999901</v>
      </c>
      <c r="AF3" s="2">
        <f t="shared" ref="AF3:AF30" si="3">(AC3-AE3)/AC3</f>
        <v>4.5650538054195409E-2</v>
      </c>
      <c r="AI3" t="e">
        <f t="shared" ref="AI3:AI30" si="4">Q3/(1/3*(Y3)*AG3)</f>
        <v>#DIV/0!</v>
      </c>
    </row>
    <row r="4" spans="1:35" x14ac:dyDescent="0.25">
      <c r="A4" t="s">
        <v>33</v>
      </c>
      <c r="B4" t="s">
        <v>31</v>
      </c>
      <c r="C4">
        <v>1268</v>
      </c>
      <c r="D4">
        <v>1276.21082621082</v>
      </c>
      <c r="E4">
        <v>0.842268101058265</v>
      </c>
      <c r="G4">
        <v>0.53047695960528096</v>
      </c>
      <c r="I4">
        <v>0.87920122610597196</v>
      </c>
      <c r="L4">
        <v>0.84016734168807905</v>
      </c>
      <c r="N4">
        <v>0.527137021587059</v>
      </c>
      <c r="P4">
        <v>0.87366568389708099</v>
      </c>
      <c r="S4">
        <v>1.17915204552163</v>
      </c>
      <c r="T4" t="s">
        <v>34</v>
      </c>
      <c r="W4">
        <v>3257796.28465275</v>
      </c>
      <c r="X4">
        <v>-1063.33238068019</v>
      </c>
      <c r="AA4" s="2">
        <f t="shared" si="0"/>
        <v>3151463.046584731</v>
      </c>
      <c r="AB4" s="2">
        <f t="shared" si="1"/>
        <v>3.2639621626725852E-2</v>
      </c>
      <c r="AC4">
        <v>2078.7199999999998</v>
      </c>
      <c r="AD4">
        <v>-0.96000000000000096</v>
      </c>
      <c r="AE4" s="2">
        <f t="shared" si="2"/>
        <v>1982.7199999999998</v>
      </c>
      <c r="AF4" s="2">
        <f t="shared" si="3"/>
        <v>4.6182266009852223E-2</v>
      </c>
      <c r="AI4" t="e">
        <f t="shared" si="4"/>
        <v>#DIV/0!</v>
      </c>
    </row>
    <row r="5" spans="1:35" x14ac:dyDescent="0.25">
      <c r="A5" t="s">
        <v>33</v>
      </c>
      <c r="B5" t="s">
        <v>31</v>
      </c>
      <c r="C5">
        <v>1131.2</v>
      </c>
      <c r="D5">
        <v>1276.21082621082</v>
      </c>
      <c r="E5">
        <v>0.842268101058265</v>
      </c>
      <c r="G5">
        <v>0.53047695960528096</v>
      </c>
      <c r="I5">
        <v>0.87920122610597196</v>
      </c>
      <c r="L5">
        <v>0.84050685835396699</v>
      </c>
      <c r="N5">
        <v>0.52767611613251197</v>
      </c>
      <c r="P5">
        <v>0.87455916772661901</v>
      </c>
      <c r="S5">
        <v>1.17915204552163</v>
      </c>
      <c r="T5" t="s">
        <v>34</v>
      </c>
      <c r="W5">
        <v>3257796.28465275</v>
      </c>
      <c r="X5">
        <v>-1063.33238068019</v>
      </c>
      <c r="AA5" s="2">
        <f t="shared" si="0"/>
        <v>3151463.046584731</v>
      </c>
      <c r="AB5" s="2">
        <f t="shared" si="1"/>
        <v>3.2639621626725852E-2</v>
      </c>
      <c r="AC5">
        <v>2078.7199999999998</v>
      </c>
      <c r="AD5">
        <v>-0.96000000000000096</v>
      </c>
      <c r="AE5" s="2">
        <f t="shared" si="2"/>
        <v>1982.7199999999998</v>
      </c>
      <c r="AF5" s="2">
        <f t="shared" si="3"/>
        <v>4.6182266009852223E-2</v>
      </c>
      <c r="AI5" t="e">
        <f t="shared" si="4"/>
        <v>#DIV/0!</v>
      </c>
    </row>
    <row r="6" spans="1:35" x14ac:dyDescent="0.25">
      <c r="A6" t="s">
        <v>35</v>
      </c>
      <c r="B6" t="s">
        <v>31</v>
      </c>
      <c r="C6">
        <v>1131.2</v>
      </c>
      <c r="D6">
        <v>1130.5970149253701</v>
      </c>
      <c r="E6">
        <v>0.58268227937308503</v>
      </c>
      <c r="G6">
        <v>0.36409719101091298</v>
      </c>
      <c r="I6">
        <v>0.58083041043938699</v>
      </c>
      <c r="L6">
        <v>0.58268227937308503</v>
      </c>
      <c r="N6">
        <v>0.36409719101091298</v>
      </c>
      <c r="P6">
        <v>0.58083041043938699</v>
      </c>
      <c r="S6">
        <v>0.62277172330456099</v>
      </c>
      <c r="T6" t="s">
        <v>36</v>
      </c>
      <c r="W6">
        <v>2198743.6886586202</v>
      </c>
      <c r="X6">
        <v>-750.21687866843899</v>
      </c>
      <c r="AA6" s="2">
        <f t="shared" si="0"/>
        <v>2123722.0007917765</v>
      </c>
      <c r="AB6" s="2">
        <f t="shared" si="1"/>
        <v>3.4120251602683158E-2</v>
      </c>
      <c r="AC6">
        <v>1833.136</v>
      </c>
      <c r="AD6">
        <v>-0.84500000000000297</v>
      </c>
      <c r="AE6" s="2">
        <f t="shared" si="2"/>
        <v>1748.6359999999997</v>
      </c>
      <c r="AF6" s="2">
        <f t="shared" si="3"/>
        <v>4.6095870682808168E-2</v>
      </c>
      <c r="AI6" t="e">
        <f t="shared" si="4"/>
        <v>#DIV/0!</v>
      </c>
    </row>
    <row r="7" spans="1:35" x14ac:dyDescent="0.25">
      <c r="A7" t="s">
        <v>35</v>
      </c>
      <c r="B7" t="s">
        <v>31</v>
      </c>
      <c r="C7">
        <v>1131.2</v>
      </c>
      <c r="D7">
        <v>1130.5970149253701</v>
      </c>
      <c r="E7">
        <v>0.58268227937308503</v>
      </c>
      <c r="G7">
        <v>0.36409719101091298</v>
      </c>
      <c r="I7">
        <v>0.58083041043938699</v>
      </c>
      <c r="L7">
        <v>0.58268227937308503</v>
      </c>
      <c r="N7">
        <v>0.36409719101091298</v>
      </c>
      <c r="P7">
        <v>0.58083041043938699</v>
      </c>
      <c r="S7">
        <v>0.62277172330456099</v>
      </c>
      <c r="T7" t="s">
        <v>36</v>
      </c>
      <c r="W7">
        <v>2198743.6886586202</v>
      </c>
      <c r="X7">
        <v>-750.21687866843899</v>
      </c>
      <c r="AA7" s="2">
        <f t="shared" si="0"/>
        <v>2123722.0007917765</v>
      </c>
      <c r="AB7" s="2">
        <f t="shared" si="1"/>
        <v>3.4120251602683158E-2</v>
      </c>
      <c r="AC7">
        <v>1833.136</v>
      </c>
      <c r="AD7">
        <v>-0.84500000000000297</v>
      </c>
      <c r="AE7" s="2">
        <f t="shared" si="2"/>
        <v>1748.6359999999997</v>
      </c>
      <c r="AF7" s="2">
        <f t="shared" si="3"/>
        <v>4.6095870682808168E-2</v>
      </c>
      <c r="AI7" t="e">
        <f t="shared" si="4"/>
        <v>#DIV/0!</v>
      </c>
    </row>
    <row r="8" spans="1:35" x14ac:dyDescent="0.25">
      <c r="A8" t="s">
        <v>37</v>
      </c>
      <c r="B8" t="s">
        <v>31</v>
      </c>
      <c r="C8">
        <v>883</v>
      </c>
      <c r="D8">
        <v>965.57734204792996</v>
      </c>
      <c r="E8">
        <v>0.68631947375037605</v>
      </c>
      <c r="G8">
        <v>0.41038418590950398</v>
      </c>
      <c r="I8">
        <v>0.67489675404850602</v>
      </c>
      <c r="L8">
        <v>0.66799848820061802</v>
      </c>
      <c r="N8">
        <v>0.38692536901942998</v>
      </c>
      <c r="P8">
        <v>0.63631758867973998</v>
      </c>
      <c r="S8">
        <v>0.65551426087602205</v>
      </c>
      <c r="T8" t="s">
        <v>38</v>
      </c>
      <c r="W8">
        <v>2303686.4828041699</v>
      </c>
      <c r="X8">
        <v>-663.78864933717102</v>
      </c>
      <c r="AA8" s="2">
        <f t="shared" si="0"/>
        <v>2237307.6178704528</v>
      </c>
      <c r="AB8" s="2">
        <f t="shared" si="1"/>
        <v>2.8814192134737526E-2</v>
      </c>
      <c r="AC8">
        <v>2079.4830000000002</v>
      </c>
      <c r="AD8">
        <v>-0.84899999999999998</v>
      </c>
      <c r="AE8" s="2">
        <f t="shared" si="2"/>
        <v>1994.5830000000001</v>
      </c>
      <c r="AF8" s="2">
        <f t="shared" si="3"/>
        <v>4.0827455670471982E-2</v>
      </c>
      <c r="AI8" t="e">
        <f t="shared" si="4"/>
        <v>#DIV/0!</v>
      </c>
    </row>
    <row r="9" spans="1:35" x14ac:dyDescent="0.25">
      <c r="A9" t="s">
        <v>39</v>
      </c>
      <c r="B9" t="s">
        <v>31</v>
      </c>
      <c r="C9">
        <v>1073.8</v>
      </c>
      <c r="D9">
        <v>1087.31808731808</v>
      </c>
      <c r="E9">
        <v>0.48681288142144602</v>
      </c>
      <c r="G9">
        <v>0.310170753406454</v>
      </c>
      <c r="I9">
        <v>0.504451630050747</v>
      </c>
      <c r="L9">
        <v>0.48411361105307399</v>
      </c>
      <c r="N9">
        <v>0.30671570563685202</v>
      </c>
      <c r="P9">
        <v>0.49883245267784099</v>
      </c>
      <c r="S9">
        <v>0.49104259587103499</v>
      </c>
      <c r="T9" t="s">
        <v>40</v>
      </c>
      <c r="W9">
        <v>1853848.9792105099</v>
      </c>
      <c r="X9">
        <v>-646.84667111544604</v>
      </c>
      <c r="AA9" s="2">
        <f t="shared" si="0"/>
        <v>1789164.3120989653</v>
      </c>
      <c r="AB9" s="2">
        <f t="shared" si="1"/>
        <v>3.4892090907583849E-2</v>
      </c>
      <c r="AC9">
        <v>1773.623</v>
      </c>
      <c r="AD9">
        <v>-0.91499999999999804</v>
      </c>
      <c r="AE9" s="2">
        <f t="shared" si="2"/>
        <v>1682.1230000000003</v>
      </c>
      <c r="AF9" s="2">
        <f t="shared" si="3"/>
        <v>5.1589317459234445E-2</v>
      </c>
      <c r="AI9" t="e">
        <f t="shared" si="4"/>
        <v>#DIV/0!</v>
      </c>
    </row>
    <row r="10" spans="1:35" x14ac:dyDescent="0.25">
      <c r="A10" t="s">
        <v>37</v>
      </c>
      <c r="B10" t="s">
        <v>31</v>
      </c>
      <c r="C10">
        <v>883</v>
      </c>
      <c r="D10">
        <v>965.57734204792996</v>
      </c>
      <c r="E10">
        <v>0.68631947375037605</v>
      </c>
      <c r="G10">
        <v>0.41038418590950398</v>
      </c>
      <c r="I10">
        <v>0.67489675404850602</v>
      </c>
      <c r="L10">
        <v>0.66793180176935196</v>
      </c>
      <c r="N10">
        <v>0.38684120382342102</v>
      </c>
      <c r="P10">
        <v>0.63617917492126497</v>
      </c>
      <c r="S10">
        <v>0.65551426087602205</v>
      </c>
      <c r="T10" t="s">
        <v>38</v>
      </c>
      <c r="W10">
        <v>2303686.4828041699</v>
      </c>
      <c r="X10">
        <v>-663.78864933717102</v>
      </c>
      <c r="AA10" s="2">
        <f t="shared" si="0"/>
        <v>2237307.6178704528</v>
      </c>
      <c r="AB10" s="2">
        <f t="shared" si="1"/>
        <v>2.8814192134737526E-2</v>
      </c>
      <c r="AC10">
        <v>2079.4830000000002</v>
      </c>
      <c r="AD10">
        <v>-0.84899999999999898</v>
      </c>
      <c r="AE10" s="2">
        <f t="shared" si="2"/>
        <v>1994.5830000000003</v>
      </c>
      <c r="AF10" s="2">
        <f t="shared" si="3"/>
        <v>4.0827455670471871E-2</v>
      </c>
      <c r="AI10" t="e">
        <f t="shared" si="4"/>
        <v>#DIV/0!</v>
      </c>
    </row>
    <row r="11" spans="1:35" x14ac:dyDescent="0.25">
      <c r="A11" t="s">
        <v>37</v>
      </c>
      <c r="B11" t="s">
        <v>31</v>
      </c>
      <c r="C11">
        <v>883</v>
      </c>
      <c r="D11">
        <v>907.84313725490199</v>
      </c>
      <c r="E11">
        <v>0.68631947375037605</v>
      </c>
      <c r="G11">
        <v>0.41038418590950398</v>
      </c>
      <c r="I11">
        <v>0.67489675404850602</v>
      </c>
      <c r="L11">
        <v>0.68068224742737304</v>
      </c>
      <c r="N11">
        <v>0.40309480966586198</v>
      </c>
      <c r="P11">
        <v>0.66290902027418996</v>
      </c>
      <c r="S11">
        <v>0.71088282197700403</v>
      </c>
      <c r="T11" t="s">
        <v>38</v>
      </c>
      <c r="W11">
        <v>2303686.4828041699</v>
      </c>
      <c r="X11">
        <v>-663.78864933717102</v>
      </c>
      <c r="AA11" s="2">
        <f t="shared" si="0"/>
        <v>2237307.6178704528</v>
      </c>
      <c r="AB11" s="2">
        <f t="shared" si="1"/>
        <v>2.8814192134737526E-2</v>
      </c>
      <c r="AC11">
        <v>2079.4830000000002</v>
      </c>
      <c r="AD11">
        <v>-0.84899999999999998</v>
      </c>
      <c r="AE11" s="2">
        <f t="shared" si="2"/>
        <v>1994.5830000000001</v>
      </c>
      <c r="AF11" s="2">
        <f t="shared" si="3"/>
        <v>4.0827455670471982E-2</v>
      </c>
      <c r="AI11" t="e">
        <f t="shared" si="4"/>
        <v>#DIV/0!</v>
      </c>
    </row>
    <row r="12" spans="1:35" x14ac:dyDescent="0.25">
      <c r="A12" t="s">
        <v>41</v>
      </c>
      <c r="B12" t="s">
        <v>31</v>
      </c>
      <c r="C12">
        <v>1042.7</v>
      </c>
      <c r="D12">
        <v>1052.1638776687801</v>
      </c>
      <c r="E12">
        <v>0.37423569928907002</v>
      </c>
      <c r="G12">
        <v>0.26186834835755002</v>
      </c>
      <c r="I12">
        <v>0.41546111235251698</v>
      </c>
      <c r="L12">
        <v>0.37219191681272601</v>
      </c>
      <c r="N12">
        <v>0.25926783445691498</v>
      </c>
      <c r="P12">
        <v>0.41133532775646903</v>
      </c>
      <c r="S12">
        <v>0.36749821512915098</v>
      </c>
      <c r="T12" t="s">
        <v>42</v>
      </c>
      <c r="W12">
        <v>1508405.0843915499</v>
      </c>
      <c r="X12">
        <v>-575.65944524106601</v>
      </c>
      <c r="AA12" s="2">
        <f t="shared" si="0"/>
        <v>1450839.1398674434</v>
      </c>
      <c r="AB12" s="2">
        <f t="shared" si="1"/>
        <v>3.8163451661479331E-2</v>
      </c>
      <c r="AC12">
        <v>1632.65939999999</v>
      </c>
      <c r="AD12">
        <v>-0.878000000000003</v>
      </c>
      <c r="AE12" s="2">
        <f t="shared" si="2"/>
        <v>1544.8593999999898</v>
      </c>
      <c r="AF12" s="2">
        <f t="shared" si="3"/>
        <v>5.3777291209667316E-2</v>
      </c>
      <c r="AI12" t="e">
        <f t="shared" si="4"/>
        <v>#DIV/0!</v>
      </c>
    </row>
    <row r="13" spans="1:35" x14ac:dyDescent="0.25">
      <c r="A13" t="s">
        <v>41</v>
      </c>
      <c r="B13" t="s">
        <v>31</v>
      </c>
      <c r="C13">
        <v>1042.7</v>
      </c>
      <c r="D13">
        <v>1052.1638776687801</v>
      </c>
      <c r="E13">
        <v>0.37423569928907002</v>
      </c>
      <c r="G13">
        <v>0.26186834835755002</v>
      </c>
      <c r="I13">
        <v>0.41546111235251698</v>
      </c>
      <c r="L13">
        <v>0.37219191681272601</v>
      </c>
      <c r="N13">
        <v>0.25926783445691498</v>
      </c>
      <c r="P13">
        <v>0.41133532775646903</v>
      </c>
      <c r="S13">
        <v>0.43193913006918699</v>
      </c>
      <c r="T13" t="s">
        <v>42</v>
      </c>
      <c r="W13">
        <v>1508405.0843915499</v>
      </c>
      <c r="X13">
        <v>-575.65944524106601</v>
      </c>
      <c r="AA13" s="2">
        <f t="shared" si="0"/>
        <v>1450839.1398674434</v>
      </c>
      <c r="AB13" s="2">
        <f t="shared" si="1"/>
        <v>3.8163451661479331E-2</v>
      </c>
      <c r="AC13">
        <v>1632.65939999999</v>
      </c>
      <c r="AD13">
        <v>-0.878000000000003</v>
      </c>
      <c r="AE13" s="2">
        <f t="shared" si="2"/>
        <v>1544.8593999999898</v>
      </c>
      <c r="AF13" s="2">
        <f t="shared" si="3"/>
        <v>5.3777291209667316E-2</v>
      </c>
      <c r="AI13" t="e">
        <f t="shared" si="4"/>
        <v>#DIV/0!</v>
      </c>
    </row>
    <row r="14" spans="1:35" x14ac:dyDescent="0.25">
      <c r="A14" t="s">
        <v>43</v>
      </c>
      <c r="B14" t="s">
        <v>44</v>
      </c>
      <c r="C14">
        <v>987</v>
      </c>
      <c r="D14">
        <v>986.86210640607999</v>
      </c>
      <c r="E14">
        <v>0.43829220310135403</v>
      </c>
      <c r="G14">
        <v>0.28861057804145501</v>
      </c>
      <c r="I14">
        <v>0.51893094534471995</v>
      </c>
      <c r="L14">
        <v>0.43829220310135403</v>
      </c>
      <c r="N14">
        <v>0.28861057804145501</v>
      </c>
      <c r="P14">
        <v>0.51893094534471995</v>
      </c>
      <c r="S14">
        <v>0.54390685781354797</v>
      </c>
      <c r="T14" t="s">
        <v>45</v>
      </c>
      <c r="W14">
        <v>1628871.87942569</v>
      </c>
      <c r="X14">
        <v>-278.43236600812901</v>
      </c>
      <c r="AC14">
        <v>2101</v>
      </c>
      <c r="AD14" s="1">
        <v>6.3893004180326898E-16</v>
      </c>
      <c r="AI14" t="e">
        <f t="shared" si="4"/>
        <v>#DIV/0!</v>
      </c>
    </row>
    <row r="15" spans="1:35" x14ac:dyDescent="0.25">
      <c r="A15" t="s">
        <v>43</v>
      </c>
      <c r="B15" t="s">
        <v>44</v>
      </c>
      <c r="C15">
        <v>987</v>
      </c>
      <c r="D15">
        <v>986.86210640607999</v>
      </c>
      <c r="E15">
        <v>0.43829220310135403</v>
      </c>
      <c r="G15">
        <v>0.28861057804145501</v>
      </c>
      <c r="I15">
        <v>0.51893094534471995</v>
      </c>
      <c r="L15">
        <v>0.43829220310135403</v>
      </c>
      <c r="N15">
        <v>0.28861057804145501</v>
      </c>
      <c r="P15">
        <v>0.51893094534471995</v>
      </c>
      <c r="S15">
        <v>0.79153948112217498</v>
      </c>
      <c r="T15" t="s">
        <v>45</v>
      </c>
      <c r="W15">
        <v>1628871.87942569</v>
      </c>
      <c r="X15">
        <v>-278.43236600812901</v>
      </c>
      <c r="AC15">
        <v>2101</v>
      </c>
      <c r="AD15" s="1">
        <v>6.3893004180326898E-16</v>
      </c>
      <c r="AI15" t="e">
        <f t="shared" si="4"/>
        <v>#DIV/0!</v>
      </c>
    </row>
    <row r="16" spans="1:35" x14ac:dyDescent="0.25">
      <c r="A16" t="s">
        <v>46</v>
      </c>
      <c r="B16" t="s">
        <v>44</v>
      </c>
      <c r="C16">
        <v>1045</v>
      </c>
      <c r="E16">
        <v>0.448735993317051</v>
      </c>
      <c r="G16">
        <v>0.37311089961278099</v>
      </c>
      <c r="I16">
        <v>0.72718119317414798</v>
      </c>
      <c r="W16">
        <v>1928974.58503027</v>
      </c>
      <c r="X16">
        <v>-390.79019498306099</v>
      </c>
      <c r="AC16">
        <v>2065.0300000000002</v>
      </c>
      <c r="AD16" s="1">
        <v>2.2410472797632E-16</v>
      </c>
      <c r="AI16" t="e">
        <f t="shared" si="4"/>
        <v>#DIV/0!</v>
      </c>
    </row>
    <row r="17" spans="1:35" x14ac:dyDescent="0.25">
      <c r="A17" t="s">
        <v>47</v>
      </c>
      <c r="B17" t="s">
        <v>44</v>
      </c>
      <c r="C17">
        <v>1146</v>
      </c>
      <c r="E17">
        <v>0.383511707903748</v>
      </c>
      <c r="G17">
        <v>0.33599408249358698</v>
      </c>
      <c r="I17">
        <v>0.54688374624466196</v>
      </c>
      <c r="W17">
        <v>1799756.6027023899</v>
      </c>
      <c r="X17">
        <v>-381.38097220644897</v>
      </c>
      <c r="AC17">
        <v>1873.13</v>
      </c>
      <c r="AD17" s="1">
        <v>-3.2040404307875402E-16</v>
      </c>
      <c r="AI17" t="e">
        <f t="shared" si="4"/>
        <v>#DIV/0!</v>
      </c>
    </row>
    <row r="18" spans="1:35" x14ac:dyDescent="0.25">
      <c r="A18" t="s">
        <v>46</v>
      </c>
      <c r="B18" t="s">
        <v>44</v>
      </c>
      <c r="C18">
        <v>1146</v>
      </c>
      <c r="E18">
        <v>0.448735993317051</v>
      </c>
      <c r="G18">
        <v>0.37311089961278099</v>
      </c>
      <c r="I18">
        <v>0.72718119317414798</v>
      </c>
      <c r="W18">
        <v>1928974.58503027</v>
      </c>
      <c r="X18">
        <v>-390.79019498306099</v>
      </c>
      <c r="AC18">
        <v>2065.0300000000002</v>
      </c>
      <c r="AD18" s="1">
        <v>2.2410472797632E-16</v>
      </c>
      <c r="AI18" t="e">
        <f t="shared" si="4"/>
        <v>#DIV/0!</v>
      </c>
    </row>
    <row r="19" spans="1:35" x14ac:dyDescent="0.25">
      <c r="A19" t="s">
        <v>48</v>
      </c>
      <c r="B19" t="s">
        <v>49</v>
      </c>
      <c r="C19">
        <v>796.15</v>
      </c>
      <c r="D19">
        <v>802</v>
      </c>
      <c r="E19">
        <v>0.11347722464537301</v>
      </c>
      <c r="G19">
        <v>0.30138327406579501</v>
      </c>
      <c r="I19">
        <v>0.305805040890549</v>
      </c>
      <c r="K19">
        <v>0.445407809416629</v>
      </c>
      <c r="L19">
        <v>0.113273345983639</v>
      </c>
      <c r="N19">
        <v>0.300722557177935</v>
      </c>
      <c r="P19">
        <v>0.30513463024637599</v>
      </c>
      <c r="R19">
        <v>0.44469124860435899</v>
      </c>
      <c r="S19">
        <v>0.23702504143771699</v>
      </c>
      <c r="T19" t="s">
        <v>50</v>
      </c>
      <c r="W19">
        <v>2145991.5464689899</v>
      </c>
      <c r="X19">
        <v>-656.67519872960304</v>
      </c>
      <c r="AC19">
        <v>1462.7145859571201</v>
      </c>
      <c r="AD19">
        <v>-0.39072139401289402</v>
      </c>
      <c r="AI19" t="e">
        <f t="shared" si="4"/>
        <v>#DIV/0!</v>
      </c>
    </row>
    <row r="20" spans="1:35" x14ac:dyDescent="0.25">
      <c r="A20" t="s">
        <v>48</v>
      </c>
      <c r="B20" t="s">
        <v>49</v>
      </c>
      <c r="C20">
        <v>796.15</v>
      </c>
      <c r="D20">
        <v>802</v>
      </c>
      <c r="E20">
        <v>0.113372866367227</v>
      </c>
      <c r="F20">
        <v>0.113372866367227</v>
      </c>
      <c r="G20">
        <v>0.30885021790973499</v>
      </c>
      <c r="H20">
        <v>0.30885021790973499</v>
      </c>
      <c r="I20">
        <v>0.31338153654911399</v>
      </c>
      <c r="J20">
        <v>0.31338153654911299</v>
      </c>
      <c r="K20">
        <v>0.453514430357915</v>
      </c>
      <c r="L20">
        <v>0.11087186109239</v>
      </c>
      <c r="M20">
        <v>0.11087186109239</v>
      </c>
      <c r="N20">
        <v>0.30075969832552202</v>
      </c>
      <c r="O20">
        <v>0.30075969832552202</v>
      </c>
      <c r="P20">
        <v>0.30517231631303698</v>
      </c>
      <c r="Q20">
        <v>0.30517231631303698</v>
      </c>
      <c r="R20">
        <v>0.444731525762806</v>
      </c>
      <c r="S20">
        <v>0.228535410075136</v>
      </c>
      <c r="T20" t="s">
        <v>50</v>
      </c>
      <c r="W20">
        <v>2176290.41835859</v>
      </c>
      <c r="X20">
        <v>-656.65977009068399</v>
      </c>
      <c r="Y20">
        <v>2176290.41835859</v>
      </c>
      <c r="Z20">
        <v>-656.65977009068399</v>
      </c>
      <c r="AC20">
        <v>1478.0853570352499</v>
      </c>
      <c r="AD20">
        <v>-0.38466214114666802</v>
      </c>
      <c r="AG20">
        <v>1478.0853570352499</v>
      </c>
      <c r="AH20">
        <v>-0.38466214114666802</v>
      </c>
      <c r="AI20">
        <f t="shared" si="4"/>
        <v>2.8460991410567077E-10</v>
      </c>
    </row>
    <row r="21" spans="1:35" x14ac:dyDescent="0.25">
      <c r="A21" t="s">
        <v>51</v>
      </c>
      <c r="B21" t="s">
        <v>52</v>
      </c>
      <c r="C21">
        <v>648.15</v>
      </c>
      <c r="E21">
        <v>0.98532243773133699</v>
      </c>
      <c r="F21">
        <v>1.5359530124983101</v>
      </c>
      <c r="G21">
        <v>0.70337308163983003</v>
      </c>
      <c r="H21">
        <v>1.0927876475588501</v>
      </c>
      <c r="I21">
        <v>0.743057540559796</v>
      </c>
      <c r="J21">
        <v>1.1544429591421299</v>
      </c>
      <c r="K21">
        <v>1.2385705963704701</v>
      </c>
      <c r="W21">
        <v>4148286.1105358899</v>
      </c>
      <c r="X21">
        <v>-396.11656766585799</v>
      </c>
      <c r="Y21">
        <v>4900967.14135738</v>
      </c>
      <c r="Z21">
        <v>-926.30419608219199</v>
      </c>
      <c r="AC21">
        <v>2705.7050159338801</v>
      </c>
      <c r="AD21">
        <v>-0.33945409255657799</v>
      </c>
      <c r="AG21">
        <v>3558.0937916854</v>
      </c>
      <c r="AH21">
        <v>-1.10192988399999</v>
      </c>
      <c r="AI21">
        <f t="shared" si="4"/>
        <v>0</v>
      </c>
    </row>
    <row r="22" spans="1:35" x14ac:dyDescent="0.25">
      <c r="A22" t="s">
        <v>53</v>
      </c>
      <c r="B22" t="s">
        <v>54</v>
      </c>
      <c r="C22">
        <v>713.15</v>
      </c>
      <c r="D22">
        <v>884</v>
      </c>
      <c r="E22">
        <v>1.0026613717161601</v>
      </c>
      <c r="F22">
        <v>1.5321496703039901</v>
      </c>
      <c r="G22">
        <v>0.77869667496149497</v>
      </c>
      <c r="H22">
        <v>1.2070034314887701</v>
      </c>
      <c r="I22">
        <v>0.79144167446386904</v>
      </c>
      <c r="J22">
        <v>1.2267585667401799</v>
      </c>
      <c r="K22">
        <v>1.3173179153819901</v>
      </c>
      <c r="L22">
        <v>0.982069391595494</v>
      </c>
      <c r="M22">
        <v>1.48889250439541</v>
      </c>
      <c r="N22">
        <v>0.74064918759555398</v>
      </c>
      <c r="O22">
        <v>1.1037517938335799</v>
      </c>
      <c r="P22">
        <v>0.75277146040197895</v>
      </c>
      <c r="Q22">
        <v>1.1218170001141301</v>
      </c>
      <c r="R22">
        <v>1.2743264568954</v>
      </c>
      <c r="S22">
        <v>0.90170801372287801</v>
      </c>
      <c r="T22" t="s">
        <v>55</v>
      </c>
      <c r="U22">
        <v>1.1000000000000001</v>
      </c>
      <c r="V22" t="s">
        <v>56</v>
      </c>
      <c r="W22">
        <v>4334227.3380131098</v>
      </c>
      <c r="X22">
        <v>-587.70577569964496</v>
      </c>
      <c r="Y22">
        <v>5333760.0191836702</v>
      </c>
      <c r="Z22">
        <v>-1020.64282723632</v>
      </c>
      <c r="AC22">
        <v>2768.0079108828199</v>
      </c>
      <c r="AD22">
        <v>-0.538406484156978</v>
      </c>
      <c r="AG22">
        <v>3486.4683492253998</v>
      </c>
      <c r="AH22">
        <v>-1.10192988399999</v>
      </c>
      <c r="AI22">
        <f t="shared" si="4"/>
        <v>1.8097728686055963E-10</v>
      </c>
    </row>
    <row r="23" spans="1:35" x14ac:dyDescent="0.25">
      <c r="A23" t="s">
        <v>57</v>
      </c>
      <c r="B23" t="s">
        <v>58</v>
      </c>
      <c r="C23">
        <v>927.15</v>
      </c>
      <c r="D23">
        <v>933.1</v>
      </c>
      <c r="E23">
        <v>1.0140558778341999</v>
      </c>
      <c r="G23">
        <v>0.79266966177798104</v>
      </c>
      <c r="I23">
        <v>0.81987116534920401</v>
      </c>
      <c r="K23">
        <v>1.2300446970349801</v>
      </c>
      <c r="L23">
        <v>1.0124409317565199</v>
      </c>
      <c r="N23">
        <v>0.78967818404426404</v>
      </c>
      <c r="P23">
        <v>0.81677703111659405</v>
      </c>
      <c r="R23">
        <v>1.22821955335388</v>
      </c>
      <c r="S23">
        <v>0.86868921021225798</v>
      </c>
      <c r="T23" t="s">
        <v>59</v>
      </c>
      <c r="W23">
        <v>4180231.6951695499</v>
      </c>
      <c r="X23">
        <v>-1150.5433379509</v>
      </c>
      <c r="AC23">
        <v>2592.8447537113402</v>
      </c>
      <c r="AD23">
        <v>-1.0632393817817001</v>
      </c>
      <c r="AI23" t="e">
        <f t="shared" si="4"/>
        <v>#DIV/0!</v>
      </c>
    </row>
    <row r="24" spans="1:35" x14ac:dyDescent="0.25">
      <c r="A24" t="s">
        <v>57</v>
      </c>
      <c r="B24" t="s">
        <v>58</v>
      </c>
      <c r="C24">
        <v>927.15</v>
      </c>
      <c r="D24">
        <v>933.1</v>
      </c>
      <c r="E24">
        <v>1.0140558778341999</v>
      </c>
      <c r="F24">
        <v>1.0673833757828699</v>
      </c>
      <c r="G24">
        <v>0.79266966177798104</v>
      </c>
      <c r="H24">
        <v>0.73580819594028302</v>
      </c>
      <c r="I24">
        <v>0.81987116534920401</v>
      </c>
      <c r="J24">
        <v>0.76105842341172503</v>
      </c>
      <c r="K24">
        <v>1.2300446970349801</v>
      </c>
      <c r="L24">
        <v>1.0124409317565199</v>
      </c>
      <c r="M24">
        <v>1.0655587539672799</v>
      </c>
      <c r="N24">
        <v>0.78967818404426404</v>
      </c>
      <c r="O24">
        <v>0.73351782467266502</v>
      </c>
      <c r="P24">
        <v>0.81677703111659405</v>
      </c>
      <c r="Q24">
        <v>0.75868945503711605</v>
      </c>
      <c r="R24">
        <v>1.22821955335388</v>
      </c>
      <c r="S24">
        <v>0.86868921021225798</v>
      </c>
      <c r="T24" t="s">
        <v>59</v>
      </c>
      <c r="W24">
        <v>4180231.6951695499</v>
      </c>
      <c r="X24">
        <v>-1150.5433379509</v>
      </c>
      <c r="Y24">
        <v>4180231.6951695499</v>
      </c>
      <c r="Z24">
        <v>-1150.5433379509</v>
      </c>
      <c r="AC24">
        <v>2592.8447537113402</v>
      </c>
      <c r="AD24">
        <v>-1.0632393817817001</v>
      </c>
      <c r="AG24">
        <v>2406.8492999999999</v>
      </c>
      <c r="AH24">
        <v>-0.69800000000000095</v>
      </c>
      <c r="AI24">
        <f t="shared" si="4"/>
        <v>2.2622263159549355E-10</v>
      </c>
    </row>
    <row r="25" spans="1:35" x14ac:dyDescent="0.25">
      <c r="A25" t="s">
        <v>51</v>
      </c>
      <c r="B25" t="s">
        <v>52</v>
      </c>
      <c r="C25">
        <v>927.15</v>
      </c>
      <c r="E25">
        <v>0.98532243773133699</v>
      </c>
      <c r="F25">
        <v>1.4380931557151999</v>
      </c>
      <c r="G25">
        <v>0.68524656394886096</v>
      </c>
      <c r="H25">
        <v>1.01353253737987</v>
      </c>
      <c r="I25">
        <v>0.72390832088399704</v>
      </c>
      <c r="J25">
        <v>1.07071625878406</v>
      </c>
      <c r="K25">
        <v>1.21047525801978</v>
      </c>
      <c r="W25">
        <v>4093038.1403674702</v>
      </c>
      <c r="X25">
        <v>-404.71117514330598</v>
      </c>
      <c r="Y25">
        <v>4763874.1203372199</v>
      </c>
      <c r="Z25">
        <v>-926.30419608219802</v>
      </c>
      <c r="AC25">
        <v>2671.55721982764</v>
      </c>
      <c r="AD25">
        <v>-0.38191427006965101</v>
      </c>
      <c r="AG25">
        <v>3395.0081688533901</v>
      </c>
      <c r="AH25">
        <v>-1.101929884</v>
      </c>
      <c r="AI25">
        <f t="shared" si="4"/>
        <v>0</v>
      </c>
    </row>
    <row r="26" spans="1:35" x14ac:dyDescent="0.25">
      <c r="A26" t="s">
        <v>60</v>
      </c>
      <c r="B26" t="s">
        <v>61</v>
      </c>
      <c r="C26">
        <v>735</v>
      </c>
      <c r="D26">
        <v>742.4</v>
      </c>
      <c r="E26">
        <v>0.69546259777516795</v>
      </c>
      <c r="F26">
        <v>0.90509686778680298</v>
      </c>
      <c r="G26">
        <v>0.65005468660002197</v>
      </c>
      <c r="H26">
        <v>0.77295464205475894</v>
      </c>
      <c r="I26">
        <v>0.67219472501646704</v>
      </c>
      <c r="J26">
        <v>0.79928049712822902</v>
      </c>
      <c r="K26">
        <v>1.09938713445514</v>
      </c>
      <c r="L26">
        <v>0.69407516388877799</v>
      </c>
      <c r="M26">
        <v>0.90306884950757005</v>
      </c>
      <c r="N26">
        <v>0.64755375881160904</v>
      </c>
      <c r="O26">
        <v>0.76924646830120302</v>
      </c>
      <c r="P26">
        <v>0.66960861879852596</v>
      </c>
      <c r="Q26">
        <v>0.79544602767824701</v>
      </c>
      <c r="R26">
        <v>1.0975899332416701</v>
      </c>
      <c r="S26">
        <v>0.79004699038973603</v>
      </c>
      <c r="T26" t="s">
        <v>62</v>
      </c>
      <c r="W26">
        <v>3402318.9027080499</v>
      </c>
      <c r="X26">
        <v>-957.23555234657294</v>
      </c>
      <c r="Y26">
        <v>4129410.0713726999</v>
      </c>
      <c r="Z26">
        <v>-1374.74374739576</v>
      </c>
      <c r="AC26">
        <v>2408.04408679383</v>
      </c>
      <c r="AD26">
        <v>-0.94763242463505204</v>
      </c>
      <c r="AG26">
        <v>2359.15</v>
      </c>
      <c r="AH26">
        <v>-1.2</v>
      </c>
      <c r="AI26">
        <f t="shared" si="4"/>
        <v>2.449561819887999E-10</v>
      </c>
    </row>
    <row r="27" spans="1:35" x14ac:dyDescent="0.25">
      <c r="A27" t="s">
        <v>60</v>
      </c>
      <c r="B27" t="s">
        <v>61</v>
      </c>
      <c r="C27">
        <v>735</v>
      </c>
      <c r="D27">
        <v>742.4</v>
      </c>
      <c r="E27">
        <v>0.69546259777516795</v>
      </c>
      <c r="F27">
        <v>0.90509686778680298</v>
      </c>
      <c r="G27">
        <v>0.65005468660002197</v>
      </c>
      <c r="H27">
        <v>0.77295464205475894</v>
      </c>
      <c r="I27">
        <v>0.67219472501646704</v>
      </c>
      <c r="J27">
        <v>0.79928049712822902</v>
      </c>
      <c r="K27">
        <v>1.09938713445514</v>
      </c>
      <c r="L27">
        <v>0.69317885535811896</v>
      </c>
      <c r="M27">
        <v>0.901758710144691</v>
      </c>
      <c r="N27">
        <v>0.64594060152309996</v>
      </c>
      <c r="O27">
        <v>0.76685545577098702</v>
      </c>
      <c r="P27">
        <v>0.66794051941810395</v>
      </c>
      <c r="Q27">
        <v>0.79297358029283505</v>
      </c>
      <c r="R27">
        <v>1.0964289094488999</v>
      </c>
      <c r="S27">
        <v>0.79004699038973603</v>
      </c>
      <c r="T27" t="s">
        <v>62</v>
      </c>
      <c r="W27">
        <v>3402318.9027080499</v>
      </c>
      <c r="X27">
        <v>-956.96194338330099</v>
      </c>
      <c r="Y27">
        <v>4129410.0713726999</v>
      </c>
      <c r="Z27">
        <v>-1374.74374739577</v>
      </c>
      <c r="AC27">
        <v>2408.04408679383</v>
      </c>
      <c r="AD27">
        <v>-0.94777014932468795</v>
      </c>
      <c r="AG27">
        <v>2359.15</v>
      </c>
      <c r="AH27">
        <v>-1.2</v>
      </c>
      <c r="AI27">
        <f t="shared" si="4"/>
        <v>2.4419479623712742E-10</v>
      </c>
    </row>
    <row r="28" spans="1:35" x14ac:dyDescent="0.25">
      <c r="A28" t="s">
        <v>63</v>
      </c>
      <c r="C28">
        <v>958</v>
      </c>
      <c r="D28">
        <v>993.01377726750798</v>
      </c>
      <c r="E28">
        <v>0.57197134962562102</v>
      </c>
      <c r="F28">
        <v>0.59758620590054001</v>
      </c>
      <c r="G28">
        <v>0.48604519668468199</v>
      </c>
      <c r="H28">
        <v>0.49336010899981603</v>
      </c>
      <c r="I28">
        <v>0.48768133923201801</v>
      </c>
      <c r="J28">
        <v>0.49502087526393901</v>
      </c>
      <c r="K28">
        <v>0.74453172698894998</v>
      </c>
      <c r="L28">
        <v>0.56441884679958798</v>
      </c>
      <c r="M28">
        <v>0.58980999157009195</v>
      </c>
      <c r="N28">
        <v>0.474074647381037</v>
      </c>
      <c r="O28">
        <v>0.48273780415808099</v>
      </c>
      <c r="P28">
        <v>0.47567049424154301</v>
      </c>
      <c r="Q28">
        <v>0.48436281324361102</v>
      </c>
      <c r="R28">
        <v>0.73572484743950795</v>
      </c>
      <c r="S28">
        <v>0.76602038472580902</v>
      </c>
      <c r="T28" t="s">
        <v>64</v>
      </c>
      <c r="W28">
        <v>2774359.2612307202</v>
      </c>
      <c r="X28">
        <v>-854.31058856936102</v>
      </c>
      <c r="Y28">
        <v>2816112.9805659</v>
      </c>
      <c r="Z28">
        <v>-610.09615394999798</v>
      </c>
      <c r="AC28">
        <v>2066.8355831662002</v>
      </c>
      <c r="AD28">
        <v>-0.85529696508283404</v>
      </c>
      <c r="AG28">
        <v>2066.8355831662002</v>
      </c>
      <c r="AH28">
        <v>-0.85529696508283404</v>
      </c>
      <c r="AI28">
        <f t="shared" si="4"/>
        <v>2.4965257128189072E-10</v>
      </c>
    </row>
    <row r="29" spans="1:35" x14ac:dyDescent="0.25">
      <c r="A29" t="s">
        <v>65</v>
      </c>
      <c r="C29">
        <v>674.55</v>
      </c>
      <c r="D29">
        <v>722.73280584297004</v>
      </c>
      <c r="E29">
        <v>0.41270167085464199</v>
      </c>
      <c r="F29">
        <v>0.40661597237843</v>
      </c>
      <c r="G29">
        <v>0.35289583093100202</v>
      </c>
      <c r="H29">
        <v>0.267119877675146</v>
      </c>
      <c r="I29">
        <v>0.34856104350153999</v>
      </c>
      <c r="J29">
        <v>0.26383871709908902</v>
      </c>
      <c r="K29">
        <v>0.50107292992853303</v>
      </c>
      <c r="L29">
        <v>0.40604076043786302</v>
      </c>
      <c r="M29">
        <v>0.39919649555506098</v>
      </c>
      <c r="N29">
        <v>0.34502261313603999</v>
      </c>
      <c r="O29">
        <v>0.259679391493985</v>
      </c>
      <c r="P29">
        <v>0.34078453618750598</v>
      </c>
      <c r="Q29">
        <v>0.256489625950513</v>
      </c>
      <c r="R29">
        <v>0.49361622270130501</v>
      </c>
      <c r="S29">
        <v>0.477823248819853</v>
      </c>
      <c r="T29" t="s">
        <v>66</v>
      </c>
      <c r="W29">
        <v>1830873.2206836699</v>
      </c>
      <c r="X29">
        <v>-444.87487101070298</v>
      </c>
      <c r="Y29">
        <v>1385855.5071548701</v>
      </c>
      <c r="Z29">
        <v>-494.70976333545201</v>
      </c>
      <c r="AC29">
        <v>2078.0630924287102</v>
      </c>
      <c r="AD29">
        <v>-0.59807100704306504</v>
      </c>
      <c r="AG29">
        <v>2078.0630924287102</v>
      </c>
      <c r="AH29">
        <v>-0.59807100704306504</v>
      </c>
      <c r="AI29">
        <f t="shared" si="4"/>
        <v>2.6718641809122993E-10</v>
      </c>
    </row>
    <row r="30" spans="1:35" x14ac:dyDescent="0.25">
      <c r="A30" t="s">
        <v>67</v>
      </c>
      <c r="C30">
        <v>674.55</v>
      </c>
      <c r="D30">
        <v>722.73280584297004</v>
      </c>
      <c r="E30">
        <v>0.38752648752653601</v>
      </c>
      <c r="F30">
        <v>0.38673060625127098</v>
      </c>
      <c r="G30">
        <v>0.36832360499562</v>
      </c>
      <c r="H30">
        <v>0.27419099326959401</v>
      </c>
      <c r="I30">
        <v>0.35115442016166998</v>
      </c>
      <c r="J30">
        <v>0.26140974390246202</v>
      </c>
      <c r="K30">
        <v>0.50550042030435205</v>
      </c>
      <c r="L30">
        <v>0.38020105290397199</v>
      </c>
      <c r="M30">
        <v>0.37834204862163001</v>
      </c>
      <c r="N30">
        <v>0.35784597846400401</v>
      </c>
      <c r="O30">
        <v>0.26532954060257402</v>
      </c>
      <c r="P30">
        <v>0.34116520193216199</v>
      </c>
      <c r="Q30">
        <v>0.25296136255825102</v>
      </c>
      <c r="R30">
        <v>0.49709397995117399</v>
      </c>
      <c r="S30">
        <v>0.477823248819853</v>
      </c>
      <c r="T30" t="s">
        <v>66</v>
      </c>
      <c r="W30">
        <v>1861634.07598304</v>
      </c>
      <c r="X30">
        <v>-516.53762081413402</v>
      </c>
      <c r="Y30">
        <v>1385855.5071548701</v>
      </c>
      <c r="Z30">
        <v>-494.70976333545201</v>
      </c>
      <c r="AC30">
        <v>2058.9318610161699</v>
      </c>
      <c r="AD30">
        <v>-0.75481500417950698</v>
      </c>
      <c r="AG30">
        <v>2058.9318610161699</v>
      </c>
      <c r="AH30">
        <v>-0.75481500417950698</v>
      </c>
      <c r="AI30">
        <f t="shared" si="4"/>
        <v>2.6595950774572574E-10</v>
      </c>
    </row>
    <row r="31" spans="1:35" x14ac:dyDescent="0.25">
      <c r="AB31" s="2">
        <f>AVERAGE(AB2:AB30)</f>
        <v>3.2116029651960247E-2</v>
      </c>
      <c r="AF31" s="2">
        <f>AVERAGE(AF2:AF30)</f>
        <v>4.6456968031974709E-2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GUI_plotter_results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Numbers</dc:creator>
  <cp:lastModifiedBy>Jacob Numbers</cp:lastModifiedBy>
  <dcterms:created xsi:type="dcterms:W3CDTF">2025-09-01T22:58:26Z</dcterms:created>
  <dcterms:modified xsi:type="dcterms:W3CDTF">2025-09-01T22:58:27Z</dcterms:modified>
</cp:coreProperties>
</file>