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n\Documents\TC_Comparison_Code\Not_Required_for_TC_Calcs\"/>
    </mc:Choice>
  </mc:AlternateContent>
  <xr:revisionPtr revIDLastSave="0" documentId="8_{52F675B5-AADC-45D2-8E36-7EE222E79C10}" xr6:coauthVersionLast="47" xr6:coauthVersionMax="47" xr10:uidLastSave="{00000000-0000-0000-0000-000000000000}"/>
  <bookViews>
    <workbookView xWindow="-120" yWindow="-120" windowWidth="29040" windowHeight="15840" xr2:uid="{D97E9547-89A6-4CC7-A4EA-420C93E98508}"/>
  </bookViews>
  <sheets>
    <sheet name="scl_results" sheetId="1" r:id="rId1"/>
  </sheets>
  <calcPr calcId="0"/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B14" i="1"/>
  <c r="B13" i="1"/>
  <c r="B12" i="1"/>
  <c r="B11" i="1"/>
  <c r="O12" i="1"/>
  <c r="O4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" i="1"/>
  <c r="X3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2" i="1"/>
  <c r="O3" i="1"/>
  <c r="O5" i="1"/>
  <c r="O6" i="1"/>
  <c r="O7" i="1"/>
  <c r="O8" i="1"/>
  <c r="O9" i="1"/>
  <c r="O10" i="1"/>
  <c r="O11" i="1"/>
  <c r="O13" i="1"/>
  <c r="O14" i="1"/>
  <c r="O15" i="1"/>
  <c r="O16" i="1"/>
  <c r="O17" i="1"/>
  <c r="O18" i="1"/>
  <c r="O19" i="1"/>
  <c r="O20" i="1"/>
  <c r="O2" i="1"/>
</calcChain>
</file>

<file path=xl/sharedStrings.xml><?xml version="1.0" encoding="utf-8"?>
<sst xmlns="http://schemas.openxmlformats.org/spreadsheetml/2006/main" count="127" uniqueCount="98">
  <si>
    <t>Composition</t>
  </si>
  <si>
    <t>Source</t>
  </si>
  <si>
    <t>Temperature (K)</t>
  </si>
  <si>
    <t>Average SCL (A)</t>
  </si>
  <si>
    <t>Pair 1 Label</t>
  </si>
  <si>
    <t>Pair 1 SCL_i (A)</t>
  </si>
  <si>
    <t>Pair 1 Peak X (A)</t>
  </si>
  <si>
    <t>Pair 1 Peak Y</t>
  </si>
  <si>
    <t>Pair 1 Min X (A)</t>
  </si>
  <si>
    <t>Pair 1 Min Y</t>
  </si>
  <si>
    <t>Pair 1 CC Peak X (A)</t>
  </si>
  <si>
    <t>Pair 1 CC Peak Y</t>
  </si>
  <si>
    <t>Pair 2 Label</t>
  </si>
  <si>
    <t>Pair 2 SCL_i (A)</t>
  </si>
  <si>
    <t>Pair 2 Peak X (A)</t>
  </si>
  <si>
    <t>Pair 2 Peak Y</t>
  </si>
  <si>
    <t>Pair 2 Min X (A)</t>
  </si>
  <si>
    <t>Pair 2 Min Y</t>
  </si>
  <si>
    <t>Pair 2 CC Peak X (A)</t>
  </si>
  <si>
    <t>Pair 2 CC Peak Y</t>
  </si>
  <si>
    <t>Pair 3 Label</t>
  </si>
  <si>
    <t>Pair 3 SCL_i (A)</t>
  </si>
  <si>
    <t>Pair 3 Peak X (A)</t>
  </si>
  <si>
    <t>Pair 3 Peak Y</t>
  </si>
  <si>
    <t>Pair 3 Min X (A)</t>
  </si>
  <si>
    <t>Pair 3 Min Y</t>
  </si>
  <si>
    <t>Pair 3 CC Peak X (A)</t>
  </si>
  <si>
    <t>Pair 3 CC Peak Y</t>
  </si>
  <si>
    <t>Pair 4 Label</t>
  </si>
  <si>
    <t>Pair 4 SCL_i (A)</t>
  </si>
  <si>
    <t>Pair 4 Peak X (A)</t>
  </si>
  <si>
    <t>Pair 4 Peak Y</t>
  </si>
  <si>
    <t>Pair 4 Min X (A)</t>
  </si>
  <si>
    <t>Pair 4 Min Y</t>
  </si>
  <si>
    <t>Pair 4 CC Peak X (A)</t>
  </si>
  <si>
    <t>Pair 4 CC Peak Y</t>
  </si>
  <si>
    <t>Pair 5 Label</t>
  </si>
  <si>
    <t>Pair 5 SCL_i (A)</t>
  </si>
  <si>
    <t>Pair 5 Peak X (A)</t>
  </si>
  <si>
    <t>Pair 5 Peak Y</t>
  </si>
  <si>
    <t>Pair 5 Min X (A)</t>
  </si>
  <si>
    <t>Pair 5 Min Y</t>
  </si>
  <si>
    <t>Pair 5 CC Peak X (A)</t>
  </si>
  <si>
    <t>Pair 5 CC Peak Y</t>
  </si>
  <si>
    <t>Pair 6 Label</t>
  </si>
  <si>
    <t>Pair 6 SCL_i (A)</t>
  </si>
  <si>
    <t>Pair 6 Peak X (A)</t>
  </si>
  <si>
    <t>Pair 6 Peak Y</t>
  </si>
  <si>
    <t>Pair 6 Min X (A)</t>
  </si>
  <si>
    <t>Pair 6 Min Y</t>
  </si>
  <si>
    <t>Pair 6 CC Peak X (A)</t>
  </si>
  <si>
    <t>Pair 6 CC Peak Y</t>
  </si>
  <si>
    <t>1.0LiCl</t>
  </si>
  <si>
    <t>Walz, 2019</t>
  </si>
  <si>
    <t>Li-Cl</t>
  </si>
  <si>
    <t>1.0NaCl</t>
  </si>
  <si>
    <t>Na-Cl</t>
  </si>
  <si>
    <t>1.0KCl</t>
  </si>
  <si>
    <t>K-Cl</t>
  </si>
  <si>
    <t>1.0LiF</t>
  </si>
  <si>
    <t>Li-F</t>
  </si>
  <si>
    <t>1.0NaF</t>
  </si>
  <si>
    <t>Na-F</t>
  </si>
  <si>
    <t>1.0KF</t>
  </si>
  <si>
    <t>K-F</t>
  </si>
  <si>
    <t>1.0MgCl2</t>
  </si>
  <si>
    <t>Roy, 2021</t>
  </si>
  <si>
    <t>Mg-Cl</t>
  </si>
  <si>
    <t>1.0CaCl2</t>
  </si>
  <si>
    <t>McGreevy, 1987</t>
  </si>
  <si>
    <t>Ca-Cl</t>
  </si>
  <si>
    <t>1.0SrCl2</t>
  </si>
  <si>
    <t>Sr-Cl</t>
  </si>
  <si>
    <t>0.64NaCl-0.36UCl3</t>
  </si>
  <si>
    <t>ANL-Andersson, 2022</t>
  </si>
  <si>
    <t>U-Cl</t>
  </si>
  <si>
    <t>0.5LiF-0.5BeF2</t>
  </si>
  <si>
    <t>Sun, 2024</t>
  </si>
  <si>
    <t>Be-F</t>
  </si>
  <si>
    <t>0.66LiF-0.34BeF2</t>
  </si>
  <si>
    <t>Fayfar, 2023</t>
  </si>
  <si>
    <t>0.6LiF-0.4NaF</t>
  </si>
  <si>
    <t>Grizzi, 2024</t>
  </si>
  <si>
    <t>0.465LiF-0.115NaF-0.42KF</t>
  </si>
  <si>
    <t>Frandsen, 2020</t>
  </si>
  <si>
    <t>0.345NaF-0.59KF-0.065MgF2</t>
  </si>
  <si>
    <t>Solano, 2021</t>
  </si>
  <si>
    <t>Mg-F</t>
  </si>
  <si>
    <t>0.38MgCl2-0.21NaCl-0.41KCl</t>
  </si>
  <si>
    <t>Jiang, 2024</t>
  </si>
  <si>
    <t>0.45MgCl2-0.33NaCl-0.22KCl</t>
  </si>
  <si>
    <t>0.5454LiF-0.3636NaF-0.091UF4</t>
  </si>
  <si>
    <t>U-F</t>
  </si>
  <si>
    <t>0.22NaCl-0.393KCl-0.387ZnCl2</t>
  </si>
  <si>
    <t>Xi, 2024</t>
  </si>
  <si>
    <t>Zn-Cl</t>
  </si>
  <si>
    <t>KF_1</t>
  </si>
  <si>
    <t>KF_2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</si>
</sst>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3575-9818-4DF9-B6BC-1ED9ECE4C0C6}">
  <dimension ref="A1:BE20"/>
  <sheetViews>
    <sheetView tabSelected="1" workbookViewId="0">
      <selection activeCell="AH14" sqref="AH14"/>
    </sheetView>
  </sheetViews>
  <sheetFormatPr defaultRowHeight="15" x14ac:dyDescent="0.25"/>
  <cols>
    <col min="1" max="1" width="30" customWidth="1"/>
    <col min="2" max="2" width="18.28515625" customWidth="1"/>
    <col min="3" max="6" width="0" hidden="1" customWidth="1"/>
    <col min="7" max="7" width="11.140625" customWidth="1"/>
    <col min="8" max="12" width="14.5703125" hidden="1" customWidth="1"/>
    <col min="13" max="13" width="18.5703125" hidden="1" customWidth="1"/>
    <col min="14" max="14" width="15.85546875" hidden="1" customWidth="1"/>
    <col min="17" max="23" width="0" hidden="1" customWidth="1"/>
    <col min="26" max="32" width="0" hidden="1" customWidth="1"/>
  </cols>
  <sheetData>
    <row r="1" spans="1:57" x14ac:dyDescent="0.25">
      <c r="A1" t="s">
        <v>0</v>
      </c>
      <c r="C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96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97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</row>
    <row r="2" spans="1:57" x14ac:dyDescent="0.25">
      <c r="A2" t="s">
        <v>52</v>
      </c>
      <c r="C2" t="s">
        <v>53</v>
      </c>
      <c r="E2">
        <v>878</v>
      </c>
      <c r="F2">
        <v>4.2264900000000001</v>
      </c>
      <c r="G2" t="s">
        <v>54</v>
      </c>
      <c r="H2">
        <v>4.2264900000000001</v>
      </c>
      <c r="I2">
        <v>2.3729399999999998</v>
      </c>
      <c r="J2">
        <v>1.3416600000000001</v>
      </c>
      <c r="K2">
        <v>3.7568999999999999</v>
      </c>
      <c r="L2">
        <v>0.14953</v>
      </c>
      <c r="M2">
        <v>3.48922</v>
      </c>
      <c r="N2">
        <v>0.57216999999999996</v>
      </c>
      <c r="O2">
        <f>(J2-L2)/J2</f>
        <v>0.8885485145267803</v>
      </c>
      <c r="X2" t="e">
        <f>(S2-U2)/S2</f>
        <v>#DIV/0!</v>
      </c>
      <c r="AG2" t="e">
        <f>(AB2-AD2)/AB2</f>
        <v>#DIV/0!</v>
      </c>
    </row>
    <row r="3" spans="1:57" x14ac:dyDescent="0.25">
      <c r="A3" t="s">
        <v>55</v>
      </c>
      <c r="C3" t="s">
        <v>53</v>
      </c>
      <c r="E3">
        <v>1074</v>
      </c>
      <c r="F3">
        <v>4.6026199999999999</v>
      </c>
      <c r="G3" t="s">
        <v>56</v>
      </c>
      <c r="H3">
        <v>4.6026199999999999</v>
      </c>
      <c r="I3">
        <v>2.6590099999999999</v>
      </c>
      <c r="J3">
        <v>1.40761</v>
      </c>
      <c r="K3">
        <v>4.1736599999999999</v>
      </c>
      <c r="L3">
        <v>0.15348999999999999</v>
      </c>
      <c r="M3">
        <v>3.9380500000000001</v>
      </c>
      <c r="N3">
        <v>0.53866999999999998</v>
      </c>
      <c r="O3">
        <f t="shared" ref="O3:O20" si="0">(J3-L3)/J3</f>
        <v>0.89095701224060653</v>
      </c>
      <c r="X3" t="e">
        <f>(S3-U3)/S3</f>
        <v>#DIV/0!</v>
      </c>
      <c r="AG3" t="e">
        <f>(AB3-AD3)/AB3</f>
        <v>#DIV/0!</v>
      </c>
    </row>
    <row r="4" spans="1:57" x14ac:dyDescent="0.25">
      <c r="A4" t="s">
        <v>57</v>
      </c>
      <c r="C4" t="s">
        <v>53</v>
      </c>
      <c r="E4">
        <v>1043</v>
      </c>
      <c r="F4">
        <v>5.0610200000000001</v>
      </c>
      <c r="G4" t="s">
        <v>58</v>
      </c>
      <c r="H4">
        <v>5.0610200000000001</v>
      </c>
      <c r="I4">
        <v>2.98522</v>
      </c>
      <c r="J4">
        <v>1.4128499999999999</v>
      </c>
      <c r="K4">
        <v>4.5904800000000003</v>
      </c>
      <c r="L4">
        <v>0.15401999999999999</v>
      </c>
      <c r="M4">
        <v>4.4914300000000003</v>
      </c>
      <c r="N4">
        <v>0.53796999999999995</v>
      </c>
      <c r="O4">
        <f>(J4-L4)/J4</f>
        <v>0.89098630427858583</v>
      </c>
      <c r="X4" t="e">
        <f t="shared" ref="X4:X20" si="1">(S4-U4)/S4</f>
        <v>#DIV/0!</v>
      </c>
      <c r="AG4" t="e">
        <f t="shared" ref="AG4:AG20" si="2">(AB4-AD4)/AB4</f>
        <v>#DIV/0!</v>
      </c>
    </row>
    <row r="5" spans="1:57" x14ac:dyDescent="0.25">
      <c r="A5" t="s">
        <v>59</v>
      </c>
      <c r="C5" t="s">
        <v>53</v>
      </c>
      <c r="E5">
        <v>1121</v>
      </c>
      <c r="F5">
        <v>3.4514</v>
      </c>
      <c r="G5" t="s">
        <v>60</v>
      </c>
      <c r="H5">
        <v>3.4514</v>
      </c>
      <c r="I5">
        <v>1.8774500000000001</v>
      </c>
      <c r="J5">
        <v>1.2421199999999999</v>
      </c>
      <c r="K5">
        <v>2.7912400000000002</v>
      </c>
      <c r="L5">
        <v>0.16012000000000001</v>
      </c>
      <c r="M5">
        <v>2.8083200000000001</v>
      </c>
      <c r="N5">
        <v>0.59536</v>
      </c>
      <c r="O5">
        <f t="shared" si="0"/>
        <v>0.87109135993301767</v>
      </c>
      <c r="X5" t="e">
        <f t="shared" si="1"/>
        <v>#DIV/0!</v>
      </c>
      <c r="AG5" t="e">
        <f t="shared" si="2"/>
        <v>#DIV/0!</v>
      </c>
    </row>
    <row r="6" spans="1:57" x14ac:dyDescent="0.25">
      <c r="A6" t="s">
        <v>61</v>
      </c>
      <c r="C6" t="s">
        <v>53</v>
      </c>
      <c r="E6">
        <v>1266</v>
      </c>
      <c r="F6">
        <v>3.8948399999999999</v>
      </c>
      <c r="G6" t="s">
        <v>62</v>
      </c>
      <c r="H6">
        <v>3.8948399999999999</v>
      </c>
      <c r="I6">
        <v>2.1667700000000001</v>
      </c>
      <c r="J6">
        <v>1.3261400000000001</v>
      </c>
      <c r="K6">
        <v>3.4118400000000002</v>
      </c>
      <c r="L6">
        <v>0.156</v>
      </c>
      <c r="M6">
        <v>3.2688299999999999</v>
      </c>
      <c r="N6">
        <v>0.56472</v>
      </c>
      <c r="O6">
        <f t="shared" si="0"/>
        <v>0.88236536112326003</v>
      </c>
      <c r="X6" t="e">
        <f t="shared" si="1"/>
        <v>#DIV/0!</v>
      </c>
      <c r="AG6" t="e">
        <f t="shared" si="2"/>
        <v>#DIV/0!</v>
      </c>
    </row>
    <row r="7" spans="1:57" x14ac:dyDescent="0.25">
      <c r="A7" t="s">
        <v>63</v>
      </c>
      <c r="C7" t="s">
        <v>53</v>
      </c>
      <c r="E7">
        <v>1131</v>
      </c>
      <c r="F7">
        <v>4.3231599999999997</v>
      </c>
      <c r="G7" t="s">
        <v>64</v>
      </c>
      <c r="H7">
        <v>4.3231599999999997</v>
      </c>
      <c r="I7">
        <v>2.4819399999999998</v>
      </c>
      <c r="J7">
        <v>1.3368800000000001</v>
      </c>
      <c r="K7">
        <v>3.91011</v>
      </c>
      <c r="L7">
        <v>0.16009000000000001</v>
      </c>
      <c r="M7">
        <v>3.7755100000000001</v>
      </c>
      <c r="N7">
        <v>0.60038000000000002</v>
      </c>
      <c r="O7">
        <f t="shared" si="0"/>
        <v>0.88025103225420376</v>
      </c>
      <c r="X7" t="e">
        <f t="shared" si="1"/>
        <v>#DIV/0!</v>
      </c>
      <c r="AG7" t="e">
        <f t="shared" si="2"/>
        <v>#DIV/0!</v>
      </c>
    </row>
    <row r="8" spans="1:57" x14ac:dyDescent="0.25">
      <c r="A8" t="s">
        <v>65</v>
      </c>
      <c r="C8" t="s">
        <v>66</v>
      </c>
      <c r="E8">
        <v>1073</v>
      </c>
      <c r="F8">
        <v>4.4604400000000002</v>
      </c>
      <c r="G8" t="s">
        <v>67</v>
      </c>
      <c r="H8">
        <v>4.4604400000000002</v>
      </c>
      <c r="I8">
        <v>2.4423300000000001</v>
      </c>
      <c r="J8">
        <v>1.7306900000000001</v>
      </c>
      <c r="K8">
        <v>3.4361299999999999</v>
      </c>
      <c r="L8">
        <v>0.10285</v>
      </c>
      <c r="M8">
        <v>4.1347899999999997</v>
      </c>
      <c r="N8">
        <v>0.24614</v>
      </c>
      <c r="O8">
        <f t="shared" si="0"/>
        <v>0.94057283511200729</v>
      </c>
      <c r="X8" t="e">
        <f t="shared" si="1"/>
        <v>#DIV/0!</v>
      </c>
      <c r="AG8" t="e">
        <f t="shared" si="2"/>
        <v>#DIV/0!</v>
      </c>
    </row>
    <row r="9" spans="1:57" x14ac:dyDescent="0.25">
      <c r="A9" t="s">
        <v>68</v>
      </c>
      <c r="C9" t="s">
        <v>69</v>
      </c>
      <c r="E9">
        <v>1093</v>
      </c>
      <c r="F9">
        <v>5.4766000000000004</v>
      </c>
      <c r="G9" t="s">
        <v>70</v>
      </c>
      <c r="H9">
        <v>5.4766000000000004</v>
      </c>
      <c r="I9">
        <v>2.78</v>
      </c>
      <c r="J9">
        <v>1.1745399999999999</v>
      </c>
      <c r="K9">
        <v>3.4220799999999998</v>
      </c>
      <c r="L9">
        <v>7.1700000000000002E-3</v>
      </c>
      <c r="M9">
        <v>3.6</v>
      </c>
      <c r="N9">
        <v>0.35155999999999998</v>
      </c>
      <c r="O9">
        <f t="shared" si="0"/>
        <v>0.99389548248676085</v>
      </c>
      <c r="X9" t="e">
        <f t="shared" si="1"/>
        <v>#DIV/0!</v>
      </c>
      <c r="AG9" t="e">
        <f t="shared" si="2"/>
        <v>#DIV/0!</v>
      </c>
    </row>
    <row r="10" spans="1:57" x14ac:dyDescent="0.25">
      <c r="A10" t="s">
        <v>71</v>
      </c>
      <c r="C10" t="s">
        <v>69</v>
      </c>
      <c r="E10">
        <v>1198</v>
      </c>
      <c r="F10">
        <v>4.8666999999999998</v>
      </c>
      <c r="G10" t="s">
        <v>72</v>
      </c>
      <c r="H10">
        <v>4.8666999999999998</v>
      </c>
      <c r="I10">
        <v>2.9</v>
      </c>
      <c r="J10">
        <v>0.96608000000000005</v>
      </c>
      <c r="K10">
        <v>3.8872499999999999</v>
      </c>
      <c r="L10">
        <v>8.8730000000000003E-2</v>
      </c>
      <c r="M10">
        <v>4.95</v>
      </c>
      <c r="N10">
        <v>0.22725000000000001</v>
      </c>
      <c r="O10">
        <f t="shared" si="0"/>
        <v>0.90815460417356741</v>
      </c>
      <c r="X10" t="e">
        <f t="shared" si="1"/>
        <v>#DIV/0!</v>
      </c>
      <c r="AG10" t="e">
        <f t="shared" si="2"/>
        <v>#DIV/0!</v>
      </c>
    </row>
    <row r="11" spans="1:57" x14ac:dyDescent="0.25">
      <c r="A11" t="s">
        <v>73</v>
      </c>
      <c r="B11">
        <f>0.64*O11+0.36*X11</f>
        <v>0.85032989965629047</v>
      </c>
      <c r="C11" t="s">
        <v>74</v>
      </c>
      <c r="E11">
        <v>1250</v>
      </c>
      <c r="F11">
        <v>2.92266</v>
      </c>
      <c r="G11" t="s">
        <v>56</v>
      </c>
      <c r="H11">
        <v>2.9946799999999998</v>
      </c>
      <c r="I11">
        <v>2.6581899999999998</v>
      </c>
      <c r="J11">
        <v>0.60389999999999999</v>
      </c>
      <c r="K11">
        <v>4.1345799999999997</v>
      </c>
      <c r="L11">
        <v>0.12703</v>
      </c>
      <c r="M11">
        <v>4.3996599999999999</v>
      </c>
      <c r="N11">
        <v>0.10642</v>
      </c>
      <c r="O11">
        <f t="shared" si="0"/>
        <v>0.78965060440470281</v>
      </c>
      <c r="P11" t="s">
        <v>75</v>
      </c>
      <c r="Q11">
        <v>2.7946300000000002</v>
      </c>
      <c r="R11">
        <v>2.7753800000000002</v>
      </c>
      <c r="S11">
        <v>0.70342000000000005</v>
      </c>
      <c r="T11">
        <v>4.0811400000000004</v>
      </c>
      <c r="U11">
        <v>2.9399999999999999E-2</v>
      </c>
      <c r="V11">
        <v>4.8215599999999998</v>
      </c>
      <c r="W11">
        <v>3.7280000000000001E-2</v>
      </c>
      <c r="X11">
        <f t="shared" si="1"/>
        <v>0.95820420232577974</v>
      </c>
      <c r="AG11" t="e">
        <f t="shared" si="2"/>
        <v>#DIV/0!</v>
      </c>
    </row>
    <row r="12" spans="1:57" x14ac:dyDescent="0.25">
      <c r="A12" t="s">
        <v>76</v>
      </c>
      <c r="B12">
        <f>0.5*O12+0.5*X12</f>
        <v>0.91394045732397555</v>
      </c>
      <c r="C12" t="s">
        <v>77</v>
      </c>
      <c r="E12">
        <v>900</v>
      </c>
      <c r="F12">
        <v>1.98607</v>
      </c>
      <c r="G12" t="s">
        <v>78</v>
      </c>
      <c r="H12">
        <v>1.86538</v>
      </c>
      <c r="I12">
        <v>1.5304</v>
      </c>
      <c r="J12">
        <v>1.6749799999999999</v>
      </c>
      <c r="K12">
        <v>2.3899400000000002</v>
      </c>
      <c r="L12">
        <v>0</v>
      </c>
      <c r="M12">
        <v>2.9457100000000001</v>
      </c>
      <c r="N12">
        <v>0.14433000000000001</v>
      </c>
      <c r="O12">
        <f>(J12-L12)/J12</f>
        <v>1</v>
      </c>
      <c r="P12" t="s">
        <v>60</v>
      </c>
      <c r="Q12">
        <v>2.1067499999999999</v>
      </c>
      <c r="R12">
        <v>1.8577300000000001</v>
      </c>
      <c r="S12">
        <v>0.53003999999999996</v>
      </c>
      <c r="T12">
        <v>2.7868300000000001</v>
      </c>
      <c r="U12">
        <v>9.1230000000000006E-2</v>
      </c>
      <c r="V12">
        <v>3.2175699999999998</v>
      </c>
      <c r="W12">
        <v>9.7220000000000001E-2</v>
      </c>
      <c r="X12">
        <f t="shared" si="1"/>
        <v>0.82788091464795099</v>
      </c>
      <c r="AG12" t="e">
        <f t="shared" si="2"/>
        <v>#DIV/0!</v>
      </c>
    </row>
    <row r="13" spans="1:57" x14ac:dyDescent="0.25">
      <c r="A13" t="s">
        <v>79</v>
      </c>
      <c r="B13">
        <f>0.66*O13+0.34*X13</f>
        <v>0.94088177613873047</v>
      </c>
      <c r="C13" t="s">
        <v>80</v>
      </c>
      <c r="E13">
        <v>973</v>
      </c>
      <c r="F13">
        <v>2.08927</v>
      </c>
      <c r="G13" t="s">
        <v>78</v>
      </c>
      <c r="H13">
        <v>1.5616399999999999</v>
      </c>
      <c r="I13">
        <v>1.54661</v>
      </c>
      <c r="J13">
        <v>1.31168</v>
      </c>
      <c r="K13">
        <v>2.1758099999999998</v>
      </c>
      <c r="L13">
        <v>2.1099999999999999E-3</v>
      </c>
      <c r="M13">
        <v>4.9816000000000003</v>
      </c>
      <c r="N13">
        <v>4.5909999999999999E-2</v>
      </c>
      <c r="O13">
        <f t="shared" si="0"/>
        <v>0.99839137594535243</v>
      </c>
      <c r="P13" t="s">
        <v>60</v>
      </c>
      <c r="Q13">
        <v>2.3610899999999999</v>
      </c>
      <c r="R13">
        <v>1.83555</v>
      </c>
      <c r="S13">
        <v>0.75956999999999997</v>
      </c>
      <c r="T13">
        <v>2.61314</v>
      </c>
      <c r="U13">
        <v>0.12970000000000001</v>
      </c>
      <c r="V13">
        <v>3.1478100000000002</v>
      </c>
      <c r="W13">
        <v>0.17004</v>
      </c>
      <c r="X13">
        <f t="shared" si="1"/>
        <v>0.8292454941611701</v>
      </c>
      <c r="AG13" t="e">
        <f t="shared" si="2"/>
        <v>#DIV/0!</v>
      </c>
    </row>
    <row r="14" spans="1:57" x14ac:dyDescent="0.25">
      <c r="A14" t="s">
        <v>81</v>
      </c>
      <c r="B14">
        <f>0.6*O14+0.4*X14</f>
        <v>0.84938808944422806</v>
      </c>
      <c r="C14" t="s">
        <v>82</v>
      </c>
      <c r="E14">
        <v>973</v>
      </c>
      <c r="F14">
        <v>2.2692899999999998</v>
      </c>
      <c r="G14" t="s">
        <v>60</v>
      </c>
      <c r="H14">
        <v>2.3046000000000002</v>
      </c>
      <c r="I14">
        <v>1.78565</v>
      </c>
      <c r="J14">
        <v>0.89148000000000005</v>
      </c>
      <c r="K14">
        <v>2.9373900000000002</v>
      </c>
      <c r="L14">
        <v>9.5699999999999993E-2</v>
      </c>
      <c r="O14">
        <f t="shared" si="0"/>
        <v>0.89265042401399919</v>
      </c>
      <c r="P14" t="s">
        <v>62</v>
      </c>
      <c r="Q14">
        <v>2.2163200000000001</v>
      </c>
      <c r="R14">
        <v>2.1894200000000001</v>
      </c>
      <c r="S14">
        <v>0.39354</v>
      </c>
      <c r="T14">
        <v>3.3775599999999999</v>
      </c>
      <c r="U14">
        <v>8.4809999999999997E-2</v>
      </c>
      <c r="X14">
        <f t="shared" si="1"/>
        <v>0.78449458758957158</v>
      </c>
      <c r="AG14" t="e">
        <f t="shared" si="2"/>
        <v>#DIV/0!</v>
      </c>
    </row>
    <row r="15" spans="1:57" x14ac:dyDescent="0.25">
      <c r="A15" t="s">
        <v>83</v>
      </c>
      <c r="B15">
        <f>0.465*X15+0.115*AG15+0.42*O15</f>
        <v>0.88069482477212113</v>
      </c>
      <c r="C15" t="s">
        <v>84</v>
      </c>
      <c r="E15">
        <v>873</v>
      </c>
      <c r="F15">
        <v>2.4613700000000001</v>
      </c>
      <c r="G15" t="s">
        <v>64</v>
      </c>
      <c r="H15">
        <v>2.77813</v>
      </c>
      <c r="I15">
        <v>2.62934</v>
      </c>
      <c r="J15">
        <v>0.45417999999999997</v>
      </c>
      <c r="K15">
        <v>3.88869</v>
      </c>
      <c r="L15">
        <v>9.3299999999999994E-2</v>
      </c>
      <c r="M15">
        <v>3.7809300000000001</v>
      </c>
      <c r="N15">
        <v>0.11866</v>
      </c>
      <c r="O15">
        <f t="shared" si="0"/>
        <v>0.79457483816988861</v>
      </c>
      <c r="P15" t="s">
        <v>60</v>
      </c>
      <c r="Q15">
        <v>2.22966</v>
      </c>
      <c r="R15">
        <v>1.85632</v>
      </c>
      <c r="S15">
        <v>1.06471</v>
      </c>
      <c r="T15">
        <v>2.9862700000000002</v>
      </c>
      <c r="U15">
        <v>4.3920000000000001E-2</v>
      </c>
      <c r="V15">
        <v>2.85562</v>
      </c>
      <c r="W15">
        <v>0.14122999999999999</v>
      </c>
      <c r="X15">
        <f t="shared" si="1"/>
        <v>0.95874933080369307</v>
      </c>
      <c r="Y15" t="s">
        <v>62</v>
      </c>
      <c r="Z15">
        <v>2.2414200000000002</v>
      </c>
      <c r="AA15">
        <v>2.25895</v>
      </c>
      <c r="AB15">
        <v>0.1736</v>
      </c>
      <c r="AC15">
        <v>3.4307400000000001</v>
      </c>
      <c r="AD15">
        <v>2.0899999999999998E-2</v>
      </c>
      <c r="AE15">
        <v>3.3388800000000001</v>
      </c>
      <c r="AF15">
        <v>1.035E-2</v>
      </c>
      <c r="AG15">
        <f t="shared" si="2"/>
        <v>0.87960829493087556</v>
      </c>
    </row>
    <row r="16" spans="1:57" x14ac:dyDescent="0.25">
      <c r="A16" t="s">
        <v>85</v>
      </c>
      <c r="B16">
        <f>0.345*AG16+0.59*O16+0.065*X16</f>
        <v>0.86751984321381936</v>
      </c>
      <c r="C16" t="s">
        <v>86</v>
      </c>
      <c r="E16">
        <v>1073</v>
      </c>
      <c r="F16">
        <v>2.5514600000000001</v>
      </c>
      <c r="G16" t="s">
        <v>64</v>
      </c>
      <c r="H16">
        <v>2.7992699999999999</v>
      </c>
      <c r="I16">
        <v>2.56081</v>
      </c>
      <c r="J16">
        <v>0.67720999999999998</v>
      </c>
      <c r="K16">
        <v>3.8424700000000001</v>
      </c>
      <c r="L16">
        <v>0.11625000000000001</v>
      </c>
      <c r="O16">
        <f t="shared" si="0"/>
        <v>0.82833980596860657</v>
      </c>
      <c r="P16" t="s">
        <v>87</v>
      </c>
      <c r="Q16">
        <v>1.94276</v>
      </c>
      <c r="R16">
        <v>1.9494100000000001</v>
      </c>
      <c r="S16">
        <v>0.27348</v>
      </c>
      <c r="T16">
        <v>2.96624</v>
      </c>
      <c r="U16">
        <v>3.3400000000000001E-3</v>
      </c>
      <c r="V16">
        <v>3.4572400000000001</v>
      </c>
      <c r="W16">
        <v>5.96E-3</v>
      </c>
      <c r="X16">
        <f t="shared" si="1"/>
        <v>0.98778704109989757</v>
      </c>
      <c r="Y16" t="s">
        <v>62</v>
      </c>
      <c r="Z16">
        <v>2.2423500000000001</v>
      </c>
      <c r="AA16">
        <v>2.24708</v>
      </c>
      <c r="AB16">
        <v>0.57559000000000005</v>
      </c>
      <c r="AC16">
        <v>3.50244</v>
      </c>
      <c r="AD16">
        <v>5.0729999999999997E-2</v>
      </c>
      <c r="AE16">
        <v>3.4572400000000001</v>
      </c>
      <c r="AF16">
        <v>5.96E-3</v>
      </c>
      <c r="AG16">
        <f t="shared" si="2"/>
        <v>0.9118643478865166</v>
      </c>
    </row>
    <row r="17" spans="1:33" x14ac:dyDescent="0.25">
      <c r="A17" t="s">
        <v>88</v>
      </c>
      <c r="B17">
        <f>0.38*X17+0.21*AG17+0.41*O17</f>
        <v>0.88184198665387226</v>
      </c>
      <c r="C17" t="s">
        <v>89</v>
      </c>
      <c r="E17">
        <v>750</v>
      </c>
      <c r="F17">
        <v>2.7577500000000001</v>
      </c>
      <c r="G17" t="s">
        <v>58</v>
      </c>
      <c r="H17">
        <v>3.1473</v>
      </c>
      <c r="I17">
        <v>3.12961</v>
      </c>
      <c r="J17">
        <v>0.44016</v>
      </c>
      <c r="K17">
        <v>4.5428899999999999</v>
      </c>
      <c r="L17">
        <v>8.7559999999999999E-2</v>
      </c>
      <c r="M17">
        <v>4.9188099999999997</v>
      </c>
      <c r="N17">
        <v>6.4640000000000003E-2</v>
      </c>
      <c r="O17">
        <f t="shared" si="0"/>
        <v>0.80107233733187933</v>
      </c>
      <c r="P17" t="s">
        <v>67</v>
      </c>
      <c r="Q17">
        <v>2.3512599999999999</v>
      </c>
      <c r="R17">
        <v>2.3747600000000002</v>
      </c>
      <c r="S17">
        <v>1.36409</v>
      </c>
      <c r="T17">
        <v>3.5133399999999999</v>
      </c>
      <c r="U17">
        <v>3.406E-2</v>
      </c>
      <c r="V17">
        <v>7.5060200000000004</v>
      </c>
      <c r="W17">
        <v>5.3269999999999998E-2</v>
      </c>
      <c r="X17">
        <f t="shared" si="1"/>
        <v>0.97503097302963881</v>
      </c>
      <c r="Y17" t="s">
        <v>56</v>
      </c>
      <c r="Z17">
        <v>2.7327699999999999</v>
      </c>
      <c r="AA17">
        <v>2.7349199999999998</v>
      </c>
      <c r="AB17">
        <v>0.29413</v>
      </c>
      <c r="AC17">
        <v>4.1008699999999996</v>
      </c>
      <c r="AD17">
        <v>3.7969999999999997E-2</v>
      </c>
      <c r="AE17">
        <v>4.13279</v>
      </c>
      <c r="AF17">
        <v>1.865E-2</v>
      </c>
      <c r="AG17">
        <f t="shared" si="2"/>
        <v>0.87090742188828063</v>
      </c>
    </row>
    <row r="18" spans="1:33" x14ac:dyDescent="0.25">
      <c r="A18" t="s">
        <v>90</v>
      </c>
      <c r="B18">
        <f>0.45*X18+0.33*AG18+0.22*O18</f>
        <v>0.90031139539394922</v>
      </c>
      <c r="C18" t="s">
        <v>89</v>
      </c>
      <c r="E18">
        <v>750</v>
      </c>
      <c r="F18">
        <v>2.67964</v>
      </c>
      <c r="G18" t="s">
        <v>58</v>
      </c>
      <c r="H18">
        <v>3.01349</v>
      </c>
      <c r="I18">
        <v>3.0499100000000001</v>
      </c>
      <c r="J18">
        <v>0.21326000000000001</v>
      </c>
      <c r="K18">
        <v>4.6055599999999997</v>
      </c>
      <c r="L18">
        <v>4.5280000000000001E-2</v>
      </c>
      <c r="M18">
        <v>4.9600999999999997</v>
      </c>
      <c r="N18">
        <v>1.6740000000000001E-2</v>
      </c>
      <c r="O18">
        <f t="shared" si="0"/>
        <v>0.7876770139735535</v>
      </c>
      <c r="P18" t="s">
        <v>67</v>
      </c>
      <c r="Q18">
        <v>2.5417100000000001</v>
      </c>
      <c r="R18">
        <v>2.2832599999999998</v>
      </c>
      <c r="S18">
        <v>1.2950600000000001</v>
      </c>
      <c r="T18">
        <v>3.5802399999999999</v>
      </c>
      <c r="U18">
        <v>1.221E-2</v>
      </c>
      <c r="V18">
        <v>3.6364299999999998</v>
      </c>
      <c r="W18">
        <v>8.0159999999999995E-2</v>
      </c>
      <c r="X18">
        <f t="shared" si="1"/>
        <v>0.99057186539619779</v>
      </c>
      <c r="Y18" t="s">
        <v>56</v>
      </c>
      <c r="Z18">
        <v>2.6451699999999998</v>
      </c>
      <c r="AA18">
        <v>2.63551</v>
      </c>
      <c r="AB18">
        <v>0.41189999999999999</v>
      </c>
      <c r="AC18">
        <v>4.0809600000000001</v>
      </c>
      <c r="AD18">
        <v>6.0830000000000002E-2</v>
      </c>
      <c r="AE18">
        <v>4.3222399999999999</v>
      </c>
      <c r="AF18">
        <v>4.0710000000000003E-2</v>
      </c>
      <c r="AG18">
        <f t="shared" si="2"/>
        <v>0.85231852391357121</v>
      </c>
    </row>
    <row r="19" spans="1:33" x14ac:dyDescent="0.25">
      <c r="A19" t="s">
        <v>91</v>
      </c>
      <c r="B19">
        <f>0.5454*O19+0.3636*X19+0.091*AG19</f>
        <v>0.83932052940981017</v>
      </c>
      <c r="C19" t="s">
        <v>82</v>
      </c>
      <c r="E19">
        <v>1473</v>
      </c>
      <c r="F19">
        <v>2.17259</v>
      </c>
      <c r="G19" t="s">
        <v>60</v>
      </c>
      <c r="H19">
        <v>2.1186500000000001</v>
      </c>
      <c r="I19">
        <v>1.8217000000000001</v>
      </c>
      <c r="J19">
        <v>0.75824999999999998</v>
      </c>
      <c r="K19">
        <v>2.9548000000000001</v>
      </c>
      <c r="L19">
        <v>9.6909999999999996E-2</v>
      </c>
      <c r="O19">
        <f t="shared" si="0"/>
        <v>0.8721925486317178</v>
      </c>
      <c r="P19" t="s">
        <v>62</v>
      </c>
      <c r="Q19">
        <v>2.2430300000000001</v>
      </c>
      <c r="R19">
        <v>2.2423500000000001</v>
      </c>
      <c r="S19">
        <v>0.33994999999999997</v>
      </c>
      <c r="T19">
        <v>3.39818</v>
      </c>
      <c r="U19">
        <v>8.3229999999999998E-2</v>
      </c>
      <c r="X19">
        <f t="shared" si="1"/>
        <v>0.75516987792322388</v>
      </c>
      <c r="Y19" t="s">
        <v>92</v>
      </c>
      <c r="Z19">
        <v>2.2143999999999999</v>
      </c>
      <c r="AA19">
        <v>2.2262400000000002</v>
      </c>
      <c r="AB19">
        <v>0.23623</v>
      </c>
      <c r="AC19">
        <v>3.1291199999999999</v>
      </c>
      <c r="AD19">
        <v>5.0699999999999999E-3</v>
      </c>
      <c r="AG19">
        <f t="shared" si="2"/>
        <v>0.97853786563941925</v>
      </c>
    </row>
    <row r="20" spans="1:33" x14ac:dyDescent="0.25">
      <c r="A20" t="s">
        <v>93</v>
      </c>
      <c r="B20">
        <f>0.22*X20+0.393*O20+0.387*AG20</f>
        <v>0.68746658079043099</v>
      </c>
      <c r="C20" t="s">
        <v>94</v>
      </c>
      <c r="E20">
        <v>1073</v>
      </c>
      <c r="F20">
        <v>2.6549999999999998</v>
      </c>
      <c r="G20" t="s">
        <v>58</v>
      </c>
      <c r="H20">
        <v>2.952</v>
      </c>
      <c r="I20">
        <v>2.9788000000000001</v>
      </c>
      <c r="J20">
        <v>0.35298000000000002</v>
      </c>
      <c r="K20">
        <v>4.47133</v>
      </c>
      <c r="L20">
        <v>9.0539999999999995E-2</v>
      </c>
      <c r="O20">
        <f t="shared" si="0"/>
        <v>0.74349821519632842</v>
      </c>
      <c r="P20" t="s">
        <v>56</v>
      </c>
      <c r="Q20">
        <v>2.6241699999999999</v>
      </c>
      <c r="R20">
        <v>2.6636700000000002</v>
      </c>
      <c r="S20">
        <v>0.26196999999999998</v>
      </c>
      <c r="T20">
        <v>4.0883500000000002</v>
      </c>
      <c r="U20">
        <v>4.3380000000000002E-2</v>
      </c>
      <c r="X20">
        <f t="shared" si="1"/>
        <v>0.8344085200595488</v>
      </c>
      <c r="Y20" t="s">
        <v>95</v>
      </c>
      <c r="Z20">
        <v>2.3709199999999999</v>
      </c>
      <c r="AA20">
        <v>2.3933</v>
      </c>
      <c r="AB20">
        <v>1.05776</v>
      </c>
      <c r="AC20">
        <v>2.67177</v>
      </c>
      <c r="AD20">
        <v>0.47913</v>
      </c>
      <c r="AG20">
        <f t="shared" si="2"/>
        <v>0.54703335350173954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Jacob Numbers</cp:lastModifiedBy>
  <dcterms:created xsi:type="dcterms:W3CDTF">2025-08-11T17:31:24Z</dcterms:created>
  <dcterms:modified xsi:type="dcterms:W3CDTF">2025-08-11T17:31:24Z</dcterms:modified>
</cp:coreProperties>
</file>