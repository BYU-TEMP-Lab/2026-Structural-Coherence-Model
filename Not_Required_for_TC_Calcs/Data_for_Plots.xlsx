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.xml" ContentType="application/vnd.openxmlformats-officedocument.spreadsheetml.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"/>
    </mc:Choice>
  </mc:AlternateContent>
  <xr:revisionPtr revIDLastSave="0" documentId="13_ncr:1_{60E4606F-DA1A-4DBD-85D9-2ED9C29713BF}" xr6:coauthVersionLast="36" xr6:coauthVersionMax="47" xr10:uidLastSave="{00000000-0000-0000-0000-000000000000}"/>
  <bookViews>
    <workbookView xWindow="-120" yWindow="-120" windowWidth="29040" windowHeight="15840" xr2:uid="{98F1A5CD-9A0C-4623-AD83-3FBBA35CD720}"/>
  </bookViews>
  <sheets>
    <sheet name="Figs" sheetId="1" r:id="rId1"/>
    <sheet name="Fig1_Fig2 (2)" sheetId="3" r:id="rId2"/>
    <sheet name="MFP-rsum" sheetId="2" r:id="rId3"/>
    <sheet name="ChargeCalcs" sheetId="5" r:id="rId4"/>
    <sheet name="WalzPDFpeaks" sheetId="4" r:id="rId5"/>
  </sheets>
  <externalReferences>
    <externalReference r:id="rId6"/>
  </externalReferences>
  <calcPr calcId="191029"/>
</workbook>
</file>

<file path=xl/calcChain.xml><?xml version="1.0" encoding="utf-8"?>
<calcChain xmlns="http://schemas.openxmlformats.org/spreadsheetml/2006/main">
  <c r="BO18" i="2" l="1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17" i="2"/>
  <c r="BO11" i="2"/>
  <c r="BO12" i="2"/>
  <c r="BO13" i="2"/>
  <c r="BO10" i="2"/>
  <c r="BO6" i="2"/>
  <c r="BO5" i="2"/>
  <c r="BO7" i="2"/>
  <c r="BO8" i="2"/>
  <c r="BO9" i="2"/>
  <c r="BO14" i="2"/>
  <c r="BO15" i="2"/>
  <c r="BO16" i="2"/>
  <c r="BO2" i="2"/>
  <c r="BM38" i="2"/>
  <c r="BM39" i="2"/>
  <c r="BM40" i="2"/>
  <c r="BM21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2" i="2"/>
  <c r="BL2" i="2"/>
  <c r="BO3" i="2"/>
  <c r="BO4" i="2"/>
  <c r="BL3" i="2"/>
  <c r="BL4" i="2"/>
  <c r="BL7" i="2"/>
  <c r="BL8" i="2"/>
  <c r="BL9" i="2"/>
  <c r="BL14" i="2"/>
  <c r="BL15" i="2"/>
  <c r="BL16" i="2"/>
  <c r="BL24" i="2"/>
  <c r="BL25" i="2"/>
  <c r="BL26" i="2"/>
  <c r="BL27" i="2"/>
  <c r="BL28" i="2"/>
  <c r="BL29" i="2"/>
  <c r="BL30" i="2"/>
  <c r="BL33" i="2"/>
  <c r="BL35" i="2"/>
  <c r="BL36" i="2"/>
  <c r="BL37" i="2"/>
  <c r="BQ2" i="2"/>
  <c r="BP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" i="2"/>
  <c r="BQ2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P3" i="2" l="1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L15" i="2"/>
  <c r="L2" i="2"/>
  <c r="BR2" i="2" s="1"/>
  <c r="L25" i="5" l="1"/>
  <c r="L41" i="5"/>
  <c r="AD16" i="5"/>
  <c r="AE15" i="5"/>
  <c r="AF15" i="5"/>
  <c r="W15" i="5"/>
  <c r="O15" i="5" s="1"/>
  <c r="AD15" i="5"/>
  <c r="U15" i="5"/>
  <c r="V15" i="5" s="1"/>
  <c r="M15" i="5"/>
  <c r="L15" i="5"/>
  <c r="BC15" i="5" s="1"/>
  <c r="I15" i="5"/>
  <c r="G15" i="5"/>
  <c r="F15" i="5"/>
  <c r="AK4" i="5"/>
  <c r="AK5" i="5"/>
  <c r="AK6" i="5"/>
  <c r="AK7" i="5"/>
  <c r="AK8" i="5"/>
  <c r="AK9" i="5"/>
  <c r="AK10" i="5"/>
  <c r="AK3" i="5"/>
  <c r="AI8" i="5"/>
  <c r="AJ8" i="5"/>
  <c r="AI9" i="5"/>
  <c r="AJ9" i="5"/>
  <c r="AI10" i="5"/>
  <c r="AJ10" i="5"/>
  <c r="AJ7" i="5"/>
  <c r="AI4" i="5"/>
  <c r="AJ4" i="5"/>
  <c r="AI5" i="5"/>
  <c r="AJ5" i="5"/>
  <c r="AI6" i="5"/>
  <c r="AJ6" i="5"/>
  <c r="AI7" i="5"/>
  <c r="AJ3" i="5"/>
  <c r="AI3" i="5"/>
  <c r="AS15" i="5" l="1"/>
  <c r="AT15" i="5" s="1"/>
  <c r="J15" i="5"/>
  <c r="H15" i="5"/>
  <c r="Y3" i="4"/>
  <c r="K8" i="4"/>
  <c r="M8" i="4" s="1"/>
  <c r="K13" i="4"/>
  <c r="M13" i="4" s="1"/>
  <c r="K18" i="4"/>
  <c r="K4" i="4"/>
  <c r="M4" i="4" s="1"/>
  <c r="K9" i="4"/>
  <c r="M9" i="4" s="1"/>
  <c r="K14" i="4"/>
  <c r="M14" i="4" s="1"/>
  <c r="K19" i="4"/>
  <c r="M19" i="4" s="1"/>
  <c r="K5" i="4"/>
  <c r="M5" i="4" s="1"/>
  <c r="K10" i="4"/>
  <c r="M10" i="4" s="1"/>
  <c r="K15" i="4"/>
  <c r="M15" i="4" s="1"/>
  <c r="K20" i="4"/>
  <c r="M20" i="4" s="1"/>
  <c r="K6" i="4"/>
  <c r="M6" i="4" s="1"/>
  <c r="K11" i="4"/>
  <c r="M11" i="4" s="1"/>
  <c r="K16" i="4"/>
  <c r="M16" i="4" s="1"/>
  <c r="K21" i="4"/>
  <c r="M21" i="4" s="1"/>
  <c r="K7" i="4"/>
  <c r="M7" i="4" s="1"/>
  <c r="K12" i="4"/>
  <c r="M12" i="4" s="1"/>
  <c r="K17" i="4"/>
  <c r="M17" i="4" s="1"/>
  <c r="K22" i="4"/>
  <c r="M22" i="4" s="1"/>
  <c r="K3" i="4"/>
  <c r="M3" i="4" s="1"/>
  <c r="AU15" i="5" l="1"/>
  <c r="AV15" i="5"/>
  <c r="M2" i="4"/>
  <c r="M18" i="4"/>
  <c r="F14" i="5"/>
  <c r="G14" i="5"/>
  <c r="I14" i="5"/>
  <c r="L14" i="5"/>
  <c r="M14" i="5"/>
  <c r="U14" i="5"/>
  <c r="V14" i="5" s="1"/>
  <c r="W14" i="5"/>
  <c r="O14" i="5" s="1"/>
  <c r="AD14" i="5"/>
  <c r="P3" i="5"/>
  <c r="AF11" i="5"/>
  <c r="AE11" i="5"/>
  <c r="P4" i="5"/>
  <c r="P5" i="5"/>
  <c r="P6" i="5"/>
  <c r="P7" i="5"/>
  <c r="P9" i="5"/>
  <c r="P10" i="5"/>
  <c r="P11" i="5"/>
  <c r="P18" i="5"/>
  <c r="P19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AR4" i="5"/>
  <c r="AR5" i="5"/>
  <c r="AR6" i="5"/>
  <c r="AR7" i="5"/>
  <c r="AR8" i="5"/>
  <c r="AR9" i="5"/>
  <c r="AR10" i="5"/>
  <c r="AR18" i="5"/>
  <c r="AE18" i="5" s="1"/>
  <c r="AR19" i="5"/>
  <c r="AF19" i="5" s="1"/>
  <c r="AR3" i="5"/>
  <c r="BC42" i="5"/>
  <c r="V42" i="5"/>
  <c r="M42" i="5"/>
  <c r="I42" i="5"/>
  <c r="G42" i="5"/>
  <c r="F42" i="5"/>
  <c r="AD41" i="5"/>
  <c r="X41" i="5"/>
  <c r="AD40" i="5"/>
  <c r="X40" i="5"/>
  <c r="L40" i="5"/>
  <c r="AD39" i="5"/>
  <c r="X39" i="5"/>
  <c r="L39" i="5"/>
  <c r="AD38" i="5"/>
  <c r="M38" i="5"/>
  <c r="L38" i="5"/>
  <c r="BC38" i="5" s="1"/>
  <c r="I38" i="5"/>
  <c r="G38" i="5"/>
  <c r="F38" i="5"/>
  <c r="AD37" i="5"/>
  <c r="M37" i="5"/>
  <c r="L37" i="5"/>
  <c r="BC37" i="5" s="1"/>
  <c r="I37" i="5"/>
  <c r="G37" i="5"/>
  <c r="F37" i="5"/>
  <c r="AD36" i="5"/>
  <c r="M36" i="5"/>
  <c r="L36" i="5"/>
  <c r="BC36" i="5" s="1"/>
  <c r="I36" i="5"/>
  <c r="G36" i="5"/>
  <c r="F36" i="5"/>
  <c r="AD35" i="5"/>
  <c r="M35" i="5"/>
  <c r="L35" i="5"/>
  <c r="BC35" i="5" s="1"/>
  <c r="I35" i="5"/>
  <c r="G35" i="5"/>
  <c r="F35" i="5"/>
  <c r="AD34" i="5"/>
  <c r="M34" i="5"/>
  <c r="I34" i="5"/>
  <c r="G34" i="5"/>
  <c r="F34" i="5"/>
  <c r="AD33" i="5"/>
  <c r="M33" i="5"/>
  <c r="I33" i="5"/>
  <c r="G33" i="5"/>
  <c r="F33" i="5"/>
  <c r="AD32" i="5"/>
  <c r="M32" i="5"/>
  <c r="I32" i="5"/>
  <c r="G32" i="5"/>
  <c r="F32" i="5"/>
  <c r="AD31" i="5"/>
  <c r="M31" i="5"/>
  <c r="L31" i="5"/>
  <c r="BC31" i="5" s="1"/>
  <c r="I31" i="5"/>
  <c r="G31" i="5"/>
  <c r="F31" i="5"/>
  <c r="AD30" i="5"/>
  <c r="M30" i="5"/>
  <c r="L30" i="5"/>
  <c r="BC30" i="5" s="1"/>
  <c r="I30" i="5"/>
  <c r="G30" i="5"/>
  <c r="F30" i="5"/>
  <c r="AD29" i="5"/>
  <c r="M29" i="5"/>
  <c r="L29" i="5"/>
  <c r="BC29" i="5" s="1"/>
  <c r="I29" i="5"/>
  <c r="G29" i="5"/>
  <c r="F29" i="5"/>
  <c r="AD28" i="5"/>
  <c r="M28" i="5"/>
  <c r="I28" i="5"/>
  <c r="G28" i="5"/>
  <c r="F28" i="5"/>
  <c r="AD27" i="5"/>
  <c r="M27" i="5"/>
  <c r="L27" i="5"/>
  <c r="BC27" i="5" s="1"/>
  <c r="I27" i="5"/>
  <c r="G27" i="5"/>
  <c r="F27" i="5"/>
  <c r="AD26" i="5"/>
  <c r="M26" i="5"/>
  <c r="L26" i="5"/>
  <c r="BC26" i="5" s="1"/>
  <c r="I26" i="5"/>
  <c r="G26" i="5"/>
  <c r="F26" i="5"/>
  <c r="AD25" i="5"/>
  <c r="M25" i="5"/>
  <c r="BC25" i="5"/>
  <c r="I25" i="5"/>
  <c r="G25" i="5"/>
  <c r="F25" i="5"/>
  <c r="AD24" i="5"/>
  <c r="M24" i="5"/>
  <c r="L24" i="5"/>
  <c r="BC24" i="5" s="1"/>
  <c r="I24" i="5"/>
  <c r="G24" i="5"/>
  <c r="F24" i="5"/>
  <c r="U23" i="5"/>
  <c r="V23" i="5" s="1"/>
  <c r="O23" i="5"/>
  <c r="P23" i="5" s="1"/>
  <c r="M23" i="5"/>
  <c r="L23" i="5"/>
  <c r="BC23" i="5" s="1"/>
  <c r="I23" i="5"/>
  <c r="G23" i="5"/>
  <c r="F23" i="5"/>
  <c r="U22" i="5"/>
  <c r="V22" i="5" s="1"/>
  <c r="O22" i="5"/>
  <c r="AE22" i="5" s="1"/>
  <c r="M22" i="5"/>
  <c r="L22" i="5"/>
  <c r="BC22" i="5" s="1"/>
  <c r="I22" i="5"/>
  <c r="G22" i="5"/>
  <c r="F22" i="5"/>
  <c r="U21" i="5"/>
  <c r="V21" i="5" s="1"/>
  <c r="O21" i="5"/>
  <c r="AE21" i="5" s="1"/>
  <c r="M21" i="5"/>
  <c r="I21" i="5"/>
  <c r="G21" i="5"/>
  <c r="F21" i="5"/>
  <c r="W20" i="5"/>
  <c r="O20" i="5" s="1"/>
  <c r="AE20" i="5" s="1"/>
  <c r="U20" i="5"/>
  <c r="V20" i="5" s="1"/>
  <c r="M20" i="5"/>
  <c r="I20" i="5"/>
  <c r="G20" i="5"/>
  <c r="F20" i="5"/>
  <c r="AD19" i="5"/>
  <c r="W19" i="5"/>
  <c r="U19" i="5"/>
  <c r="V19" i="5" s="1"/>
  <c r="M19" i="5"/>
  <c r="I19" i="5"/>
  <c r="G19" i="5"/>
  <c r="F19" i="5"/>
  <c r="AD18" i="5"/>
  <c r="W18" i="5"/>
  <c r="U18" i="5"/>
  <c r="V18" i="5" s="1"/>
  <c r="M18" i="5"/>
  <c r="I18" i="5"/>
  <c r="G18" i="5"/>
  <c r="F18" i="5"/>
  <c r="AD17" i="5"/>
  <c r="W17" i="5"/>
  <c r="O17" i="5" s="1"/>
  <c r="AE17" i="5" s="1"/>
  <c r="U17" i="5"/>
  <c r="V17" i="5" s="1"/>
  <c r="M17" i="5"/>
  <c r="L17" i="5"/>
  <c r="I17" i="5"/>
  <c r="G17" i="5"/>
  <c r="F17" i="5"/>
  <c r="W16" i="5"/>
  <c r="O16" i="5" s="1"/>
  <c r="AE16" i="5" s="1"/>
  <c r="U16" i="5"/>
  <c r="V16" i="5" s="1"/>
  <c r="M16" i="5"/>
  <c r="L16" i="5"/>
  <c r="I16" i="5"/>
  <c r="G16" i="5"/>
  <c r="F16" i="5"/>
  <c r="AD13" i="5"/>
  <c r="W13" i="5"/>
  <c r="O13" i="5" s="1"/>
  <c r="AE13" i="5" s="1"/>
  <c r="U13" i="5"/>
  <c r="V13" i="5" s="1"/>
  <c r="M13" i="5"/>
  <c r="L13" i="5"/>
  <c r="I13" i="5"/>
  <c r="G13" i="5"/>
  <c r="F13" i="5"/>
  <c r="AD12" i="5"/>
  <c r="W12" i="5"/>
  <c r="O12" i="5" s="1"/>
  <c r="AE12" i="5" s="1"/>
  <c r="U12" i="5"/>
  <c r="V12" i="5" s="1"/>
  <c r="M12" i="5"/>
  <c r="L12" i="5"/>
  <c r="I12" i="5"/>
  <c r="G12" i="5"/>
  <c r="F12" i="5"/>
  <c r="AD11" i="5"/>
  <c r="U11" i="5"/>
  <c r="V11" i="5" s="1"/>
  <c r="M11" i="5"/>
  <c r="L11" i="5"/>
  <c r="I11" i="5"/>
  <c r="G11" i="5"/>
  <c r="F11" i="5"/>
  <c r="AD10" i="5"/>
  <c r="U10" i="5"/>
  <c r="V10" i="5" s="1"/>
  <c r="M10" i="5"/>
  <c r="L10" i="5"/>
  <c r="BC10" i="5" s="1"/>
  <c r="I10" i="5"/>
  <c r="G10" i="5"/>
  <c r="F10" i="5"/>
  <c r="AD9" i="5"/>
  <c r="U9" i="5"/>
  <c r="M9" i="5"/>
  <c r="L9" i="5"/>
  <c r="BC9" i="5" s="1"/>
  <c r="I9" i="5"/>
  <c r="G9" i="5"/>
  <c r="F9" i="5"/>
  <c r="AD8" i="5"/>
  <c r="U8" i="5"/>
  <c r="O8" i="5"/>
  <c r="M8" i="5"/>
  <c r="L8" i="5"/>
  <c r="BC8" i="5" s="1"/>
  <c r="I8" i="5"/>
  <c r="G8" i="5"/>
  <c r="F8" i="5"/>
  <c r="U7" i="5"/>
  <c r="V7" i="5" s="1"/>
  <c r="M7" i="5"/>
  <c r="L7" i="5"/>
  <c r="BC7" i="5" s="1"/>
  <c r="I7" i="5"/>
  <c r="G7" i="5"/>
  <c r="F7" i="5"/>
  <c r="W6" i="5"/>
  <c r="Z6" i="5" s="1"/>
  <c r="U6" i="5"/>
  <c r="M6" i="5"/>
  <c r="L6" i="5"/>
  <c r="I6" i="5"/>
  <c r="G6" i="5"/>
  <c r="F6" i="5"/>
  <c r="AD5" i="5"/>
  <c r="U5" i="5"/>
  <c r="M5" i="5"/>
  <c r="L5" i="5"/>
  <c r="BC5" i="5" s="1"/>
  <c r="I5" i="5"/>
  <c r="G5" i="5"/>
  <c r="F5" i="5"/>
  <c r="AD4" i="5"/>
  <c r="U4" i="5"/>
  <c r="V4" i="5" s="1"/>
  <c r="M4" i="5"/>
  <c r="L4" i="5"/>
  <c r="BC4" i="5" s="1"/>
  <c r="I4" i="5"/>
  <c r="G4" i="5"/>
  <c r="F4" i="5"/>
  <c r="AD3" i="5"/>
  <c r="U3" i="5"/>
  <c r="V3" i="5" s="1"/>
  <c r="M3" i="5"/>
  <c r="L3" i="5"/>
  <c r="BC3" i="5" s="1"/>
  <c r="I3" i="5"/>
  <c r="G3" i="5"/>
  <c r="F3" i="5"/>
  <c r="Z30" i="3"/>
  <c r="W30" i="3"/>
  <c r="Z29" i="3"/>
  <c r="W29" i="3"/>
  <c r="Z28" i="3"/>
  <c r="W28" i="3"/>
  <c r="Z27" i="3"/>
  <c r="W27" i="3"/>
  <c r="Z26" i="3"/>
  <c r="W26" i="3"/>
  <c r="Z25" i="3"/>
  <c r="W25" i="3"/>
  <c r="Z24" i="3"/>
  <c r="W24" i="3"/>
  <c r="Z23" i="3"/>
  <c r="W23" i="3"/>
  <c r="Z22" i="3"/>
  <c r="W22" i="3"/>
  <c r="Z21" i="3"/>
  <c r="W21" i="3"/>
  <c r="Z20" i="3"/>
  <c r="W20" i="3"/>
  <c r="Z19" i="3"/>
  <c r="W19" i="3"/>
  <c r="AH18" i="3"/>
  <c r="W18" i="3" s="1"/>
  <c r="Z17" i="3"/>
  <c r="W17" i="3"/>
  <c r="Z16" i="3"/>
  <c r="W16" i="3"/>
  <c r="Z15" i="3"/>
  <c r="W15" i="3"/>
  <c r="Z14" i="3"/>
  <c r="W14" i="3"/>
  <c r="Z13" i="3"/>
  <c r="W13" i="3"/>
  <c r="Z12" i="3"/>
  <c r="W12" i="3"/>
  <c r="Z11" i="3"/>
  <c r="W11" i="3"/>
  <c r="Z10" i="3"/>
  <c r="W10" i="3"/>
  <c r="Z9" i="3"/>
  <c r="W9" i="3"/>
  <c r="Z8" i="3"/>
  <c r="W8" i="3"/>
  <c r="Z7" i="3"/>
  <c r="W7" i="3"/>
  <c r="Z6" i="3"/>
  <c r="V36" i="3" s="1"/>
  <c r="W6" i="3"/>
  <c r="V41" i="2"/>
  <c r="BR41" i="2"/>
  <c r="BC41" i="2"/>
  <c r="BB41" i="2" s="1"/>
  <c r="AV41" i="2"/>
  <c r="AS41" i="2"/>
  <c r="AO41" i="2"/>
  <c r="AN41" i="2"/>
  <c r="AJ41" i="2" s="1"/>
  <c r="M41" i="2"/>
  <c r="I41" i="2"/>
  <c r="G41" i="2"/>
  <c r="F41" i="2"/>
  <c r="BC40" i="2"/>
  <c r="AZ40" i="2"/>
  <c r="BD40" i="2" s="1"/>
  <c r="BE40" i="2" s="1"/>
  <c r="AU40" i="2"/>
  <c r="AX40" i="2" s="1"/>
  <c r="AY40" i="2" s="1"/>
  <c r="AS40" i="2"/>
  <c r="AO40" i="2"/>
  <c r="AK40" i="2"/>
  <c r="AD40" i="2"/>
  <c r="X40" i="2"/>
  <c r="L40" i="2"/>
  <c r="BC39" i="2"/>
  <c r="BB39" i="2" s="1"/>
  <c r="AZ39" i="2"/>
  <c r="BD39" i="2" s="1"/>
  <c r="BE39" i="2" s="1"/>
  <c r="AU39" i="2"/>
  <c r="AX39" i="2" s="1"/>
  <c r="AY39" i="2" s="1"/>
  <c r="AS39" i="2"/>
  <c r="AR39" i="2"/>
  <c r="AM39" i="2" s="1"/>
  <c r="AO39" i="2"/>
  <c r="AK39" i="2"/>
  <c r="AD39" i="2"/>
  <c r="X39" i="2"/>
  <c r="L39" i="2"/>
  <c r="BC38" i="2"/>
  <c r="BB38" i="2" s="1"/>
  <c r="AZ38" i="2"/>
  <c r="BD38" i="2" s="1"/>
  <c r="BE38" i="2" s="1"/>
  <c r="AU38" i="2"/>
  <c r="AX38" i="2" s="1"/>
  <c r="AY38" i="2" s="1"/>
  <c r="AS38" i="2"/>
  <c r="AO38" i="2"/>
  <c r="AK38" i="2"/>
  <c r="AD38" i="2"/>
  <c r="X38" i="2"/>
  <c r="L38" i="2"/>
  <c r="BC37" i="2"/>
  <c r="BB37" i="2" s="1"/>
  <c r="AZ37" i="2"/>
  <c r="BD37" i="2" s="1"/>
  <c r="BE37" i="2" s="1"/>
  <c r="AV37" i="2"/>
  <c r="AS37" i="2"/>
  <c r="AO37" i="2"/>
  <c r="AK37" i="2"/>
  <c r="AD37" i="2"/>
  <c r="M37" i="2"/>
  <c r="L37" i="2"/>
  <c r="BR37" i="2" s="1"/>
  <c r="I37" i="2"/>
  <c r="G37" i="2"/>
  <c r="F37" i="2"/>
  <c r="BC36" i="2"/>
  <c r="BB36" i="2" s="1"/>
  <c r="AZ36" i="2"/>
  <c r="BD36" i="2" s="1"/>
  <c r="BE36" i="2" s="1"/>
  <c r="AV36" i="2"/>
  <c r="AU36" i="2" s="1"/>
  <c r="AX36" i="2" s="1"/>
  <c r="AY36" i="2" s="1"/>
  <c r="AS36" i="2"/>
  <c r="AO36" i="2"/>
  <c r="AK36" i="2"/>
  <c r="AD36" i="2"/>
  <c r="M36" i="2"/>
  <c r="L36" i="2"/>
  <c r="BR36" i="2" s="1"/>
  <c r="I36" i="2"/>
  <c r="G36" i="2"/>
  <c r="F36" i="2"/>
  <c r="BC35" i="2"/>
  <c r="BB35" i="2" s="1"/>
  <c r="AZ35" i="2"/>
  <c r="BD35" i="2" s="1"/>
  <c r="BE35" i="2" s="1"/>
  <c r="AV35" i="2"/>
  <c r="AS35" i="2"/>
  <c r="AO35" i="2"/>
  <c r="AK35" i="2"/>
  <c r="AD35" i="2"/>
  <c r="M35" i="2"/>
  <c r="L35" i="2"/>
  <c r="BR35" i="2" s="1"/>
  <c r="I35" i="2"/>
  <c r="G35" i="2"/>
  <c r="F35" i="2"/>
  <c r="BC34" i="2"/>
  <c r="BB34" i="2" s="1"/>
  <c r="AZ34" i="2"/>
  <c r="BD34" i="2" s="1"/>
  <c r="BE34" i="2" s="1"/>
  <c r="AV34" i="2"/>
  <c r="AS34" i="2"/>
  <c r="AO34" i="2"/>
  <c r="AK34" i="2"/>
  <c r="AD34" i="2"/>
  <c r="M34" i="2"/>
  <c r="L34" i="2"/>
  <c r="BR34" i="2" s="1"/>
  <c r="I34" i="2"/>
  <c r="G34" i="2"/>
  <c r="F34" i="2"/>
  <c r="BC33" i="2"/>
  <c r="BB33" i="2" s="1"/>
  <c r="AZ33" i="2"/>
  <c r="BD33" i="2" s="1"/>
  <c r="BE33" i="2" s="1"/>
  <c r="AV33" i="2"/>
  <c r="AU33" i="2" s="1"/>
  <c r="AX33" i="2" s="1"/>
  <c r="AY33" i="2" s="1"/>
  <c r="AS33" i="2"/>
  <c r="AO33" i="2"/>
  <c r="AK33" i="2"/>
  <c r="AD33" i="2"/>
  <c r="M33" i="2"/>
  <c r="I33" i="2"/>
  <c r="G33" i="2"/>
  <c r="F33" i="2"/>
  <c r="BC32" i="2"/>
  <c r="BB32" i="2" s="1"/>
  <c r="AZ32" i="2"/>
  <c r="BD32" i="2" s="1"/>
  <c r="BE32" i="2" s="1"/>
  <c r="AV32" i="2"/>
  <c r="AS32" i="2"/>
  <c r="AO32" i="2"/>
  <c r="AK32" i="2"/>
  <c r="AD32" i="2"/>
  <c r="M32" i="2"/>
  <c r="I32" i="2"/>
  <c r="G32" i="2"/>
  <c r="F32" i="2"/>
  <c r="BC31" i="2"/>
  <c r="BB31" i="2" s="1"/>
  <c r="AZ31" i="2"/>
  <c r="BD31" i="2" s="1"/>
  <c r="BE31" i="2" s="1"/>
  <c r="AV31" i="2"/>
  <c r="AU31" i="2" s="1"/>
  <c r="AX31" i="2" s="1"/>
  <c r="AY31" i="2" s="1"/>
  <c r="AS31" i="2"/>
  <c r="AO31" i="2"/>
  <c r="AK31" i="2"/>
  <c r="AD31" i="2"/>
  <c r="M31" i="2"/>
  <c r="I31" i="2"/>
  <c r="G31" i="2"/>
  <c r="F31" i="2"/>
  <c r="BC30" i="2"/>
  <c r="BB30" i="2" s="1"/>
  <c r="AZ30" i="2"/>
  <c r="BD30" i="2" s="1"/>
  <c r="BE30" i="2" s="1"/>
  <c r="AV30" i="2"/>
  <c r="AU30" i="2" s="1"/>
  <c r="AX30" i="2" s="1"/>
  <c r="AY30" i="2" s="1"/>
  <c r="AS30" i="2"/>
  <c r="AO30" i="2"/>
  <c r="AK30" i="2"/>
  <c r="AD30" i="2"/>
  <c r="M30" i="2"/>
  <c r="L30" i="2"/>
  <c r="BR30" i="2" s="1"/>
  <c r="I30" i="2"/>
  <c r="G30" i="2"/>
  <c r="F30" i="2"/>
  <c r="BC29" i="2"/>
  <c r="BB29" i="2" s="1"/>
  <c r="AZ29" i="2"/>
  <c r="BD29" i="2" s="1"/>
  <c r="BE29" i="2" s="1"/>
  <c r="AV29" i="2"/>
  <c r="AU29" i="2" s="1"/>
  <c r="AX29" i="2" s="1"/>
  <c r="AY29" i="2" s="1"/>
  <c r="AS29" i="2"/>
  <c r="AO29" i="2"/>
  <c r="AK29" i="2"/>
  <c r="AD29" i="2"/>
  <c r="M29" i="2"/>
  <c r="L29" i="2"/>
  <c r="BR29" i="2" s="1"/>
  <c r="I29" i="2"/>
  <c r="G29" i="2"/>
  <c r="F29" i="2"/>
  <c r="BC28" i="2"/>
  <c r="BB28" i="2" s="1"/>
  <c r="AZ28" i="2"/>
  <c r="BD28" i="2" s="1"/>
  <c r="BE28" i="2" s="1"/>
  <c r="AV28" i="2"/>
  <c r="AS28" i="2"/>
  <c r="AO28" i="2"/>
  <c r="AK28" i="2"/>
  <c r="AD28" i="2"/>
  <c r="M28" i="2"/>
  <c r="L28" i="2"/>
  <c r="BR28" i="2" s="1"/>
  <c r="I28" i="2"/>
  <c r="G28" i="2"/>
  <c r="F28" i="2"/>
  <c r="BC27" i="2"/>
  <c r="BB27" i="2" s="1"/>
  <c r="AZ27" i="2"/>
  <c r="BD27" i="2" s="1"/>
  <c r="BE27" i="2" s="1"/>
  <c r="AV27" i="2"/>
  <c r="AU27" i="2" s="1"/>
  <c r="AX27" i="2" s="1"/>
  <c r="AY27" i="2" s="1"/>
  <c r="AS27" i="2"/>
  <c r="AO27" i="2"/>
  <c r="AK27" i="2"/>
  <c r="AD27" i="2"/>
  <c r="M27" i="2"/>
  <c r="I27" i="2"/>
  <c r="G27" i="2"/>
  <c r="F27" i="2"/>
  <c r="BC26" i="2"/>
  <c r="BB26" i="2" s="1"/>
  <c r="AZ26" i="2"/>
  <c r="BD26" i="2" s="1"/>
  <c r="BE26" i="2" s="1"/>
  <c r="AV26" i="2"/>
  <c r="AS26" i="2"/>
  <c r="AO26" i="2"/>
  <c r="AK26" i="2"/>
  <c r="AD26" i="2"/>
  <c r="M26" i="2"/>
  <c r="L26" i="2"/>
  <c r="BR26" i="2" s="1"/>
  <c r="I26" i="2"/>
  <c r="G26" i="2"/>
  <c r="F26" i="2"/>
  <c r="BC25" i="2"/>
  <c r="BB25" i="2" s="1"/>
  <c r="AZ25" i="2"/>
  <c r="BD25" i="2" s="1"/>
  <c r="BE25" i="2" s="1"/>
  <c r="AV25" i="2"/>
  <c r="AS25" i="2"/>
  <c r="AO25" i="2"/>
  <c r="AK25" i="2"/>
  <c r="AD25" i="2"/>
  <c r="M25" i="2"/>
  <c r="L25" i="2"/>
  <c r="BR25" i="2" s="1"/>
  <c r="I25" i="2"/>
  <c r="G25" i="2"/>
  <c r="F25" i="2"/>
  <c r="BC24" i="2"/>
  <c r="BB24" i="2" s="1"/>
  <c r="AZ24" i="2"/>
  <c r="BD24" i="2" s="1"/>
  <c r="BE24" i="2" s="1"/>
  <c r="AV24" i="2"/>
  <c r="AS24" i="2"/>
  <c r="AO24" i="2"/>
  <c r="AK24" i="2"/>
  <c r="AD24" i="2"/>
  <c r="M24" i="2"/>
  <c r="L24" i="2"/>
  <c r="BR24" i="2" s="1"/>
  <c r="I24" i="2"/>
  <c r="G24" i="2"/>
  <c r="F24" i="2"/>
  <c r="BC23" i="2"/>
  <c r="BB23" i="2" s="1"/>
  <c r="AZ23" i="2"/>
  <c r="BD23" i="2" s="1"/>
  <c r="BE23" i="2" s="1"/>
  <c r="AV23" i="2"/>
  <c r="AS23" i="2"/>
  <c r="AO23" i="2"/>
  <c r="AK23" i="2"/>
  <c r="AD23" i="2"/>
  <c r="M23" i="2"/>
  <c r="L23" i="2"/>
  <c r="BR23" i="2" s="1"/>
  <c r="I23" i="2"/>
  <c r="G23" i="2"/>
  <c r="F23" i="2"/>
  <c r="AZ22" i="2"/>
  <c r="AV22" i="2"/>
  <c r="T22" i="2"/>
  <c r="V22" i="2" s="1"/>
  <c r="O22" i="2"/>
  <c r="BC22" i="2" s="1"/>
  <c r="M22" i="2"/>
  <c r="L22" i="2"/>
  <c r="BR22" i="2" s="1"/>
  <c r="I22" i="2"/>
  <c r="G22" i="2"/>
  <c r="F22" i="2"/>
  <c r="AZ21" i="2"/>
  <c r="AV21" i="2"/>
  <c r="T21" i="2"/>
  <c r="V21" i="2" s="1"/>
  <c r="O21" i="2"/>
  <c r="BC21" i="2" s="1"/>
  <c r="M21" i="2"/>
  <c r="L21" i="2"/>
  <c r="BR21" i="2" s="1"/>
  <c r="I21" i="2"/>
  <c r="G21" i="2"/>
  <c r="F21" i="2"/>
  <c r="AZ20" i="2"/>
  <c r="AV20" i="2"/>
  <c r="T20" i="2"/>
  <c r="V20" i="2" s="1"/>
  <c r="O20" i="2"/>
  <c r="BC20" i="2" s="1"/>
  <c r="M20" i="2"/>
  <c r="I20" i="2"/>
  <c r="G20" i="2"/>
  <c r="F20" i="2"/>
  <c r="AZ19" i="2"/>
  <c r="AV19" i="2"/>
  <c r="W19" i="2"/>
  <c r="O19" i="2" s="1"/>
  <c r="BC19" i="2" s="1"/>
  <c r="T19" i="2"/>
  <c r="V19" i="2" s="1"/>
  <c r="M19" i="2"/>
  <c r="I19" i="2"/>
  <c r="G19" i="2"/>
  <c r="F19" i="2"/>
  <c r="BC18" i="2"/>
  <c r="AZ18" i="2"/>
  <c r="BD18" i="2" s="1"/>
  <c r="BE18" i="2" s="1"/>
  <c r="AV18" i="2"/>
  <c r="AU18" i="2" s="1"/>
  <c r="AX18" i="2" s="1"/>
  <c r="AY18" i="2" s="1"/>
  <c r="AS18" i="2"/>
  <c r="AO18" i="2"/>
  <c r="AK18" i="2"/>
  <c r="AD18" i="2"/>
  <c r="W18" i="2"/>
  <c r="T18" i="2"/>
  <c r="V18" i="2" s="1"/>
  <c r="M18" i="2"/>
  <c r="I18" i="2"/>
  <c r="G18" i="2"/>
  <c r="F18" i="2"/>
  <c r="BC17" i="2"/>
  <c r="AZ17" i="2"/>
  <c r="BD17" i="2" s="1"/>
  <c r="BE17" i="2" s="1"/>
  <c r="AV17" i="2"/>
  <c r="AS17" i="2"/>
  <c r="AO17" i="2"/>
  <c r="AK17" i="2"/>
  <c r="AD17" i="2"/>
  <c r="W17" i="2"/>
  <c r="T17" i="2"/>
  <c r="V17" i="2" s="1"/>
  <c r="M17" i="2"/>
  <c r="I17" i="2"/>
  <c r="G17" i="2"/>
  <c r="F17" i="2"/>
  <c r="AZ16" i="2"/>
  <c r="BD16" i="2" s="1"/>
  <c r="BE16" i="2" s="1"/>
  <c r="AV16" i="2"/>
  <c r="AS16" i="2"/>
  <c r="AO16" i="2"/>
  <c r="AK16" i="2"/>
  <c r="AD16" i="2"/>
  <c r="W16" i="2"/>
  <c r="O16" i="2" s="1"/>
  <c r="BC16" i="2" s="1"/>
  <c r="T16" i="2"/>
  <c r="V16" i="2" s="1"/>
  <c r="M16" i="2"/>
  <c r="L16" i="2"/>
  <c r="I16" i="2"/>
  <c r="G16" i="2"/>
  <c r="F16" i="2"/>
  <c r="AZ15" i="2"/>
  <c r="AV15" i="2"/>
  <c r="W15" i="2"/>
  <c r="O15" i="2" s="1"/>
  <c r="BC15" i="2" s="1"/>
  <c r="T15" i="2"/>
  <c r="V15" i="2" s="1"/>
  <c r="M15" i="2"/>
  <c r="I15" i="2"/>
  <c r="G15" i="2"/>
  <c r="F15" i="2"/>
  <c r="AZ14" i="2"/>
  <c r="BD14" i="2" s="1"/>
  <c r="BE14" i="2" s="1"/>
  <c r="AV14" i="2"/>
  <c r="AS14" i="2"/>
  <c r="AO14" i="2"/>
  <c r="AK14" i="2"/>
  <c r="AD14" i="2"/>
  <c r="W14" i="2"/>
  <c r="O14" i="2" s="1"/>
  <c r="BC14" i="2" s="1"/>
  <c r="T14" i="2"/>
  <c r="V14" i="2" s="1"/>
  <c r="M14" i="2"/>
  <c r="L14" i="2"/>
  <c r="I14" i="2"/>
  <c r="G14" i="2"/>
  <c r="F14" i="2"/>
  <c r="AZ13" i="2"/>
  <c r="BD13" i="2" s="1"/>
  <c r="BE13" i="2" s="1"/>
  <c r="AV13" i="2"/>
  <c r="AU13" i="2" s="1"/>
  <c r="AX13" i="2" s="1"/>
  <c r="AY13" i="2" s="1"/>
  <c r="AS13" i="2"/>
  <c r="AO13" i="2"/>
  <c r="AK13" i="2"/>
  <c r="AD13" i="2"/>
  <c r="W13" i="2"/>
  <c r="O13" i="2" s="1"/>
  <c r="BC13" i="2" s="1"/>
  <c r="T13" i="2"/>
  <c r="V13" i="2" s="1"/>
  <c r="M13" i="2"/>
  <c r="L13" i="2"/>
  <c r="I13" i="2"/>
  <c r="G13" i="2"/>
  <c r="F13" i="2"/>
  <c r="AZ12" i="2"/>
  <c r="BD12" i="2" s="1"/>
  <c r="BE12" i="2" s="1"/>
  <c r="AV12" i="2"/>
  <c r="AS12" i="2"/>
  <c r="AO12" i="2"/>
  <c r="AK12" i="2"/>
  <c r="AD12" i="2"/>
  <c r="W12" i="2"/>
  <c r="O12" i="2" s="1"/>
  <c r="BC12" i="2" s="1"/>
  <c r="T12" i="2"/>
  <c r="V12" i="2" s="1"/>
  <c r="M12" i="2"/>
  <c r="L12" i="2"/>
  <c r="I12" i="2"/>
  <c r="G12" i="2"/>
  <c r="F12" i="2"/>
  <c r="AZ11" i="2"/>
  <c r="BD11" i="2" s="1"/>
  <c r="BE11" i="2" s="1"/>
  <c r="AV11" i="2"/>
  <c r="AS11" i="2"/>
  <c r="AO11" i="2"/>
  <c r="AK11" i="2"/>
  <c r="AD11" i="2"/>
  <c r="W11" i="2"/>
  <c r="O11" i="2" s="1"/>
  <c r="BC11" i="2" s="1"/>
  <c r="T11" i="2"/>
  <c r="V11" i="2" s="1"/>
  <c r="M11" i="2"/>
  <c r="L11" i="2"/>
  <c r="I11" i="2"/>
  <c r="G11" i="2"/>
  <c r="F11" i="2"/>
  <c r="BC10" i="2"/>
  <c r="AZ10" i="2"/>
  <c r="BD10" i="2" s="1"/>
  <c r="BE10" i="2" s="1"/>
  <c r="AV10" i="2"/>
  <c r="AS10" i="2"/>
  <c r="AO10" i="2"/>
  <c r="AK10" i="2"/>
  <c r="AD10" i="2"/>
  <c r="T10" i="2"/>
  <c r="V10" i="2" s="1"/>
  <c r="M10" i="2"/>
  <c r="L10" i="2"/>
  <c r="I10" i="2"/>
  <c r="G10" i="2"/>
  <c r="F10" i="2"/>
  <c r="BC9" i="2"/>
  <c r="AZ9" i="2"/>
  <c r="BD9" i="2" s="1"/>
  <c r="BE9" i="2" s="1"/>
  <c r="AV9" i="2"/>
  <c r="AU9" i="2" s="1"/>
  <c r="AX9" i="2" s="1"/>
  <c r="AY9" i="2" s="1"/>
  <c r="AS9" i="2"/>
  <c r="AO9" i="2"/>
  <c r="AK9" i="2"/>
  <c r="AD9" i="2"/>
  <c r="T9" i="2"/>
  <c r="V9" i="2" s="1"/>
  <c r="M9" i="2"/>
  <c r="L9" i="2"/>
  <c r="BR9" i="2" s="1"/>
  <c r="I9" i="2"/>
  <c r="G9" i="2"/>
  <c r="F9" i="2"/>
  <c r="BC8" i="2"/>
  <c r="AZ8" i="2"/>
  <c r="BD8" i="2" s="1"/>
  <c r="BE8" i="2" s="1"/>
  <c r="AV8" i="2"/>
  <c r="AS8" i="2"/>
  <c r="AO8" i="2"/>
  <c r="AK8" i="2"/>
  <c r="AD8" i="2"/>
  <c r="T8" i="2"/>
  <c r="V8" i="2" s="1"/>
  <c r="M8" i="2"/>
  <c r="L8" i="2"/>
  <c r="BR8" i="2" s="1"/>
  <c r="I8" i="2"/>
  <c r="G8" i="2"/>
  <c r="F8" i="2"/>
  <c r="AZ7" i="2"/>
  <c r="BD7" i="2" s="1"/>
  <c r="BE7" i="2" s="1"/>
  <c r="AV7" i="2"/>
  <c r="AU7" i="2" s="1"/>
  <c r="AX7" i="2" s="1"/>
  <c r="AY7" i="2" s="1"/>
  <c r="AS7" i="2"/>
  <c r="AO7" i="2"/>
  <c r="AK7" i="2"/>
  <c r="AD7" i="2"/>
  <c r="T7" i="2"/>
  <c r="V7" i="2" s="1"/>
  <c r="O7" i="2"/>
  <c r="BC7" i="2" s="1"/>
  <c r="M7" i="2"/>
  <c r="L7" i="2"/>
  <c r="BR7" i="2" s="1"/>
  <c r="I7" i="2"/>
  <c r="G7" i="2"/>
  <c r="F7" i="2"/>
  <c r="BC6" i="2"/>
  <c r="AZ6" i="2"/>
  <c r="AV6" i="2"/>
  <c r="T6" i="2"/>
  <c r="M6" i="2"/>
  <c r="L6" i="2"/>
  <c r="BR6" i="2" s="1"/>
  <c r="I6" i="2"/>
  <c r="G6" i="2"/>
  <c r="F6" i="2"/>
  <c r="BC5" i="2"/>
  <c r="AZ5" i="2"/>
  <c r="AV5" i="2"/>
  <c r="W5" i="2"/>
  <c r="Z5" i="2" s="1"/>
  <c r="T5" i="2"/>
  <c r="V5" i="2" s="1"/>
  <c r="M5" i="2"/>
  <c r="L5" i="2"/>
  <c r="I5" i="2"/>
  <c r="G5" i="2"/>
  <c r="F5" i="2"/>
  <c r="BC4" i="2"/>
  <c r="AZ4" i="2"/>
  <c r="BD4" i="2" s="1"/>
  <c r="BE4" i="2" s="1"/>
  <c r="AV4" i="2"/>
  <c r="AU4" i="2" s="1"/>
  <c r="AX4" i="2" s="1"/>
  <c r="AY4" i="2" s="1"/>
  <c r="AS4" i="2"/>
  <c r="AO4" i="2"/>
  <c r="AK4" i="2"/>
  <c r="AD4" i="2"/>
  <c r="T4" i="2"/>
  <c r="V4" i="2" s="1"/>
  <c r="M4" i="2"/>
  <c r="L4" i="2"/>
  <c r="BR4" i="2" s="1"/>
  <c r="I4" i="2"/>
  <c r="G4" i="2"/>
  <c r="F4" i="2"/>
  <c r="BC3" i="2"/>
  <c r="AZ3" i="2"/>
  <c r="BD3" i="2" s="1"/>
  <c r="BE3" i="2" s="1"/>
  <c r="AV3" i="2"/>
  <c r="AS3" i="2"/>
  <c r="AO3" i="2"/>
  <c r="AK3" i="2"/>
  <c r="AD3" i="2"/>
  <c r="T3" i="2"/>
  <c r="V3" i="2" s="1"/>
  <c r="M3" i="2"/>
  <c r="L3" i="2"/>
  <c r="BR3" i="2" s="1"/>
  <c r="I3" i="2"/>
  <c r="G3" i="2"/>
  <c r="F3" i="2"/>
  <c r="BC2" i="2"/>
  <c r="AZ2" i="2"/>
  <c r="BD2" i="2" s="1"/>
  <c r="BE2" i="2" s="1"/>
  <c r="AV2" i="2"/>
  <c r="AU2" i="2" s="1"/>
  <c r="AX2" i="2" s="1"/>
  <c r="AY2" i="2" s="1"/>
  <c r="AS2" i="2"/>
  <c r="AO2" i="2"/>
  <c r="AK2" i="2"/>
  <c r="AD2" i="2"/>
  <c r="T2" i="2"/>
  <c r="V2" i="2" s="1"/>
  <c r="M2" i="2"/>
  <c r="I2" i="2"/>
  <c r="G2" i="2"/>
  <c r="F2" i="2"/>
  <c r="Z7" i="1"/>
  <c r="Z8" i="1"/>
  <c r="Z9" i="1"/>
  <c r="Z10" i="1"/>
  <c r="Z11" i="1"/>
  <c r="Z12" i="1"/>
  <c r="Z13" i="1"/>
  <c r="Z14" i="1"/>
  <c r="Z15" i="1"/>
  <c r="Z16" i="1"/>
  <c r="Z17" i="1"/>
  <c r="Z19" i="1"/>
  <c r="Z20" i="1"/>
  <c r="Z21" i="1"/>
  <c r="Z22" i="1"/>
  <c r="Z23" i="1"/>
  <c r="Z24" i="1"/>
  <c r="Z25" i="1"/>
  <c r="Z26" i="1"/>
  <c r="Z27" i="1"/>
  <c r="Z28" i="1"/>
  <c r="Z29" i="1"/>
  <c r="Z30" i="1"/>
  <c r="Z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6" i="1"/>
  <c r="AH18" i="1"/>
  <c r="W18" i="1" s="1"/>
  <c r="J34" i="2" l="1"/>
  <c r="AL6" i="2"/>
  <c r="BB4" i="2"/>
  <c r="BB13" i="2"/>
  <c r="BB19" i="2"/>
  <c r="BB7" i="2"/>
  <c r="BB8" i="2"/>
  <c r="BB14" i="2"/>
  <c r="BB17" i="2"/>
  <c r="BB2" i="2"/>
  <c r="BB5" i="2"/>
  <c r="BB9" i="2"/>
  <c r="BB11" i="2"/>
  <c r="BB16" i="2"/>
  <c r="BB18" i="2"/>
  <c r="BB21" i="2"/>
  <c r="BB15" i="2"/>
  <c r="BB22" i="2"/>
  <c r="BB3" i="2"/>
  <c r="BB6" i="2"/>
  <c r="BB10" i="2"/>
  <c r="BB12" i="2"/>
  <c r="BB20" i="2"/>
  <c r="BF40" i="2"/>
  <c r="BG40" i="2" s="1"/>
  <c r="BB40" i="2"/>
  <c r="AH6" i="2"/>
  <c r="AR8" i="2"/>
  <c r="AM8" i="2" s="1"/>
  <c r="AI4" i="2"/>
  <c r="BR16" i="2"/>
  <c r="J17" i="2"/>
  <c r="AT17" i="2"/>
  <c r="AI8" i="2"/>
  <c r="AH9" i="2"/>
  <c r="AH37" i="2"/>
  <c r="AT18" i="2"/>
  <c r="BF22" i="2"/>
  <c r="BG22" i="2" s="1"/>
  <c r="AR30" i="2"/>
  <c r="AM30" i="2" s="1"/>
  <c r="V6" i="2"/>
  <c r="AF41" i="2"/>
  <c r="AG41" i="2" s="1"/>
  <c r="J14" i="5"/>
  <c r="U36" i="3"/>
  <c r="Z18" i="3"/>
  <c r="BR15" i="2"/>
  <c r="AT30" i="2"/>
  <c r="AU41" i="2"/>
  <c r="AX41" i="2" s="1"/>
  <c r="AY41" i="2" s="1"/>
  <c r="AF2" i="2"/>
  <c r="AG2" i="2" s="1"/>
  <c r="AH2" i="2"/>
  <c r="AT13" i="2"/>
  <c r="AR28" i="2"/>
  <c r="AM28" i="2" s="1"/>
  <c r="V37" i="3"/>
  <c r="BF24" i="2"/>
  <c r="BG24" i="2" s="1"/>
  <c r="BF26" i="2"/>
  <c r="BG26" i="2" s="1"/>
  <c r="AE8" i="5"/>
  <c r="H14" i="5"/>
  <c r="AE10" i="5"/>
  <c r="AE4" i="5"/>
  <c r="AS11" i="5"/>
  <c r="AE9" i="5"/>
  <c r="AF20" i="5"/>
  <c r="AS20" i="5" s="1"/>
  <c r="P22" i="5"/>
  <c r="AE7" i="5"/>
  <c r="AF7" i="5"/>
  <c r="AE6" i="5"/>
  <c r="AE5" i="5"/>
  <c r="BC14" i="5"/>
  <c r="P14" i="5"/>
  <c r="AE14" i="5"/>
  <c r="AF14" i="5"/>
  <c r="AF16" i="5"/>
  <c r="AS16" i="5" s="1"/>
  <c r="AF4" i="5"/>
  <c r="AE19" i="5"/>
  <c r="AS19" i="5" s="1"/>
  <c r="AF12" i="5"/>
  <c r="AS12" i="5" s="1"/>
  <c r="AF3" i="5"/>
  <c r="AF8" i="5"/>
  <c r="AF23" i="5"/>
  <c r="AF22" i="5"/>
  <c r="AS22" i="5" s="1"/>
  <c r="AF18" i="5"/>
  <c r="AS18" i="5" s="1"/>
  <c r="AF10" i="5"/>
  <c r="AF6" i="5"/>
  <c r="J9" i="5"/>
  <c r="H17" i="5"/>
  <c r="J21" i="5"/>
  <c r="J28" i="5"/>
  <c r="AE23" i="5"/>
  <c r="AE3" i="5"/>
  <c r="AS3" i="5" s="1"/>
  <c r="AF21" i="5"/>
  <c r="AS21" i="5" s="1"/>
  <c r="AF17" i="5"/>
  <c r="AS17" i="5" s="1"/>
  <c r="AF13" i="5"/>
  <c r="AS13" i="5" s="1"/>
  <c r="AF9" i="5"/>
  <c r="AF5" i="5"/>
  <c r="P21" i="5"/>
  <c r="P17" i="5"/>
  <c r="P13" i="5"/>
  <c r="P20" i="5"/>
  <c r="P16" i="5"/>
  <c r="P12" i="5"/>
  <c r="P8" i="5"/>
  <c r="J27" i="5"/>
  <c r="BC39" i="5"/>
  <c r="J19" i="5"/>
  <c r="J32" i="5"/>
  <c r="BC17" i="5"/>
  <c r="H5" i="5"/>
  <c r="J8" i="5"/>
  <c r="J26" i="5"/>
  <c r="J4" i="5"/>
  <c r="H12" i="5"/>
  <c r="J13" i="5"/>
  <c r="H16" i="5"/>
  <c r="BC40" i="5"/>
  <c r="BC12" i="5"/>
  <c r="J37" i="5"/>
  <c r="H25" i="5"/>
  <c r="BC13" i="5"/>
  <c r="BC16" i="5"/>
  <c r="J3" i="5"/>
  <c r="J20" i="5"/>
  <c r="J24" i="5"/>
  <c r="H27" i="5"/>
  <c r="H34" i="5"/>
  <c r="H10" i="5"/>
  <c r="BC6" i="5"/>
  <c r="U35" i="5"/>
  <c r="V35" i="5" s="1"/>
  <c r="H9" i="5"/>
  <c r="U33" i="5"/>
  <c r="V33" i="5" s="1"/>
  <c r="U32" i="5"/>
  <c r="V32" i="5" s="1"/>
  <c r="H23" i="5"/>
  <c r="H33" i="5"/>
  <c r="J36" i="5"/>
  <c r="J6" i="5"/>
  <c r="H7" i="5"/>
  <c r="H18" i="5"/>
  <c r="H31" i="5"/>
  <c r="H35" i="5"/>
  <c r="H37" i="5"/>
  <c r="J38" i="5"/>
  <c r="H3" i="5"/>
  <c r="H13" i="5"/>
  <c r="J10" i="5"/>
  <c r="J11" i="5"/>
  <c r="J12" i="5"/>
  <c r="H20" i="5"/>
  <c r="H21" i="5"/>
  <c r="J31" i="5"/>
  <c r="H32" i="5"/>
  <c r="J42" i="5"/>
  <c r="H6" i="5"/>
  <c r="J7" i="5"/>
  <c r="U24" i="5"/>
  <c r="V24" i="5" s="1"/>
  <c r="H22" i="5"/>
  <c r="J23" i="5"/>
  <c r="H38" i="5"/>
  <c r="U38" i="5"/>
  <c r="V38" i="5" s="1"/>
  <c r="BC41" i="5"/>
  <c r="V5" i="5"/>
  <c r="V8" i="5"/>
  <c r="H29" i="5"/>
  <c r="J29" i="5"/>
  <c r="U31" i="5"/>
  <c r="U28" i="5"/>
  <c r="U25" i="5"/>
  <c r="V25" i="5" s="1"/>
  <c r="U36" i="5"/>
  <c r="U30" i="5"/>
  <c r="V30" i="5" s="1"/>
  <c r="U26" i="5"/>
  <c r="U29" i="5"/>
  <c r="V29" i="5" s="1"/>
  <c r="H4" i="5"/>
  <c r="V6" i="5"/>
  <c r="H8" i="5"/>
  <c r="V9" i="5"/>
  <c r="H11" i="5"/>
  <c r="J17" i="5"/>
  <c r="J18" i="5"/>
  <c r="J22" i="5"/>
  <c r="J34" i="5"/>
  <c r="U37" i="5"/>
  <c r="U40" i="5"/>
  <c r="J5" i="5"/>
  <c r="J16" i="5"/>
  <c r="U41" i="5"/>
  <c r="U34" i="5"/>
  <c r="U39" i="5"/>
  <c r="H19" i="5"/>
  <c r="U27" i="5"/>
  <c r="V27" i="5" s="1"/>
  <c r="H30" i="5"/>
  <c r="J30" i="5"/>
  <c r="H26" i="5"/>
  <c r="H28" i="5"/>
  <c r="J35" i="5"/>
  <c r="H24" i="5"/>
  <c r="J25" i="5"/>
  <c r="J33" i="5"/>
  <c r="H36" i="5"/>
  <c r="H42" i="5"/>
  <c r="U37" i="3"/>
  <c r="J9" i="2"/>
  <c r="AT10" i="2"/>
  <c r="AT12" i="2"/>
  <c r="BR14" i="2"/>
  <c r="H19" i="2"/>
  <c r="H20" i="2"/>
  <c r="J21" i="2"/>
  <c r="H29" i="2"/>
  <c r="H32" i="2"/>
  <c r="AT38" i="2"/>
  <c r="AR40" i="2"/>
  <c r="AM40" i="2" s="1"/>
  <c r="BF41" i="2"/>
  <c r="AL12" i="2"/>
  <c r="AL15" i="2"/>
  <c r="J2" i="2"/>
  <c r="AL2" i="2"/>
  <c r="AL5" i="2"/>
  <c r="BF5" i="2"/>
  <c r="AI9" i="2"/>
  <c r="J12" i="2"/>
  <c r="J15" i="2"/>
  <c r="BF20" i="2"/>
  <c r="AT23" i="2"/>
  <c r="J28" i="2"/>
  <c r="AT29" i="2"/>
  <c r="AR31" i="2"/>
  <c r="AM31" i="2" s="1"/>
  <c r="AT36" i="2"/>
  <c r="AR36" i="2"/>
  <c r="AM36" i="2" s="1"/>
  <c r="AT37" i="2"/>
  <c r="AZ41" i="2"/>
  <c r="BD41" i="2" s="1"/>
  <c r="BE41" i="2" s="1"/>
  <c r="AI3" i="2"/>
  <c r="AR5" i="2"/>
  <c r="AM5" i="2" s="1"/>
  <c r="H7" i="2"/>
  <c r="BF7" i="2"/>
  <c r="AL7" i="2"/>
  <c r="AH8" i="2"/>
  <c r="AT8" i="2"/>
  <c r="BR13" i="2"/>
  <c r="AF18" i="2"/>
  <c r="AG18" i="2" s="1"/>
  <c r="H22" i="2"/>
  <c r="AF22" i="2"/>
  <c r="AT32" i="2"/>
  <c r="H36" i="2"/>
  <c r="AK41" i="2"/>
  <c r="AR41" i="2"/>
  <c r="AM41" i="2" s="1"/>
  <c r="AT3" i="2"/>
  <c r="H4" i="2"/>
  <c r="AH5" i="2"/>
  <c r="J6" i="2"/>
  <c r="J8" i="2"/>
  <c r="AL9" i="2"/>
  <c r="AR10" i="2"/>
  <c r="AM10" i="2" s="1"/>
  <c r="AT11" i="2"/>
  <c r="H13" i="2"/>
  <c r="AR14" i="2"/>
  <c r="AM14" i="2" s="1"/>
  <c r="AT14" i="2"/>
  <c r="BF17" i="2"/>
  <c r="AR18" i="2"/>
  <c r="AM18" i="2" s="1"/>
  <c r="AL19" i="2"/>
  <c r="AF20" i="2"/>
  <c r="H21" i="2"/>
  <c r="AI24" i="2"/>
  <c r="AH25" i="2"/>
  <c r="BF31" i="2"/>
  <c r="BG31" i="2" s="1"/>
  <c r="H34" i="2"/>
  <c r="AH35" i="2"/>
  <c r="BF36" i="2"/>
  <c r="BG36" i="2" s="1"/>
  <c r="AL41" i="2"/>
  <c r="T27" i="2"/>
  <c r="AF15" i="2"/>
  <c r="AG15" i="2" s="1"/>
  <c r="AF19" i="2"/>
  <c r="J20" i="2"/>
  <c r="AR22" i="2"/>
  <c r="AM22" i="2" s="1"/>
  <c r="H23" i="2"/>
  <c r="J24" i="2"/>
  <c r="J26" i="2"/>
  <c r="H30" i="2"/>
  <c r="J35" i="2"/>
  <c r="AU37" i="2"/>
  <c r="AX37" i="2" s="1"/>
  <c r="AY37" i="2" s="1"/>
  <c r="BR38" i="2"/>
  <c r="BR40" i="2"/>
  <c r="H3" i="2"/>
  <c r="AF4" i="2"/>
  <c r="AG4" i="2" s="1"/>
  <c r="AR4" i="2"/>
  <c r="AM4" i="2" s="1"/>
  <c r="BF4" i="2"/>
  <c r="AR6" i="2"/>
  <c r="AM6" i="2" s="1"/>
  <c r="BF6" i="2"/>
  <c r="BF9" i="2"/>
  <c r="BR12" i="2"/>
  <c r="AH17" i="2"/>
  <c r="AR17" i="2"/>
  <c r="AM17" i="2" s="1"/>
  <c r="AR26" i="2"/>
  <c r="AM26" i="2" s="1"/>
  <c r="BF28" i="2"/>
  <c r="BG28" i="2" s="1"/>
  <c r="BF30" i="2"/>
  <c r="BG30" i="2" s="1"/>
  <c r="H33" i="2"/>
  <c r="H35" i="2"/>
  <c r="AT35" i="2"/>
  <c r="BR39" i="2"/>
  <c r="H2" i="2"/>
  <c r="AI2" i="2"/>
  <c r="AR2" i="2"/>
  <c r="AM2" i="2" s="1"/>
  <c r="BF2" i="2"/>
  <c r="AL4" i="2"/>
  <c r="BR5" i="2"/>
  <c r="H6" i="2"/>
  <c r="AT7" i="2"/>
  <c r="H9" i="2"/>
  <c r="AR9" i="2"/>
  <c r="AM9" i="2" s="1"/>
  <c r="BR11" i="2"/>
  <c r="J14" i="2"/>
  <c r="AL14" i="2"/>
  <c r="AL16" i="2"/>
  <c r="H17" i="2"/>
  <c r="H18" i="2"/>
  <c r="BF18" i="2"/>
  <c r="H24" i="2"/>
  <c r="AR24" i="2"/>
  <c r="AM24" i="2" s="1"/>
  <c r="H25" i="2"/>
  <c r="AT25" i="2"/>
  <c r="H26" i="2"/>
  <c r="AT26" i="2"/>
  <c r="AH36" i="2"/>
  <c r="AT40" i="2"/>
  <c r="AT41" i="2"/>
  <c r="AH4" i="2"/>
  <c r="H8" i="2"/>
  <c r="H10" i="2"/>
  <c r="H11" i="2"/>
  <c r="H12" i="2"/>
  <c r="AL13" i="2"/>
  <c r="H15" i="2"/>
  <c r="AT16" i="2"/>
  <c r="AU17" i="2"/>
  <c r="AX17" i="2" s="1"/>
  <c r="AY17" i="2" s="1"/>
  <c r="AF17" i="2"/>
  <c r="AG17" i="2" s="1"/>
  <c r="J19" i="2"/>
  <c r="AR20" i="2"/>
  <c r="AM20" i="2" s="1"/>
  <c r="J22" i="2"/>
  <c r="AL22" i="2"/>
  <c r="AU26" i="2"/>
  <c r="AX26" i="2" s="1"/>
  <c r="AY26" i="2" s="1"/>
  <c r="H27" i="2"/>
  <c r="H28" i="2"/>
  <c r="J29" i="2"/>
  <c r="AR29" i="2"/>
  <c r="AM29" i="2" s="1"/>
  <c r="J31" i="2"/>
  <c r="AT31" i="2"/>
  <c r="J36" i="2"/>
  <c r="AI36" i="2"/>
  <c r="AR37" i="2"/>
  <c r="AM37" i="2" s="1"/>
  <c r="Z18" i="1"/>
  <c r="V37" i="1" s="1"/>
  <c r="AR12" i="2"/>
  <c r="AF12" i="2"/>
  <c r="AG12" i="2" s="1"/>
  <c r="AR11" i="2"/>
  <c r="AM11" i="2" s="1"/>
  <c r="AF11" i="2"/>
  <c r="AG11" i="2" s="1"/>
  <c r="AR13" i="2"/>
  <c r="AM13" i="2" s="1"/>
  <c r="BF13" i="2"/>
  <c r="AF13" i="2"/>
  <c r="AG13" i="2" s="1"/>
  <c r="J4" i="2"/>
  <c r="T37" i="2"/>
  <c r="AL37" i="2" s="1"/>
  <c r="T36" i="2"/>
  <c r="V36" i="2" s="1"/>
  <c r="T32" i="2"/>
  <c r="BF11" i="2"/>
  <c r="AL11" i="2"/>
  <c r="AU11" i="2"/>
  <c r="AX11" i="2" s="1"/>
  <c r="AY11" i="2" s="1"/>
  <c r="H16" i="2"/>
  <c r="J16" i="2"/>
  <c r="T23" i="2"/>
  <c r="V23" i="2" s="1"/>
  <c r="T40" i="2"/>
  <c r="T39" i="2"/>
  <c r="T38" i="2"/>
  <c r="T33" i="2"/>
  <c r="AF33" i="2" s="1"/>
  <c r="AG33" i="2" s="1"/>
  <c r="AI7" i="2"/>
  <c r="BF12" i="2"/>
  <c r="AU12" i="2"/>
  <c r="AX12" i="2" s="1"/>
  <c r="AY12" i="2" s="1"/>
  <c r="AM12" i="2"/>
  <c r="BF3" i="2"/>
  <c r="AU3" i="2"/>
  <c r="AX3" i="2" s="1"/>
  <c r="AY3" i="2" s="1"/>
  <c r="AL3" i="2"/>
  <c r="BF10" i="2"/>
  <c r="AU10" i="2"/>
  <c r="AX10" i="2" s="1"/>
  <c r="AY10" i="2" s="1"/>
  <c r="AL10" i="2"/>
  <c r="AI14" i="2"/>
  <c r="AH14" i="2"/>
  <c r="AF14" i="2"/>
  <c r="AG14" i="2" s="1"/>
  <c r="BF14" i="2"/>
  <c r="AU14" i="2"/>
  <c r="AX14" i="2" s="1"/>
  <c r="AY14" i="2" s="1"/>
  <c r="AI16" i="2"/>
  <c r="AH16" i="2"/>
  <c r="AR16" i="2"/>
  <c r="AM16" i="2" s="1"/>
  <c r="AF16" i="2"/>
  <c r="AG16" i="2" s="1"/>
  <c r="BF21" i="2"/>
  <c r="AH7" i="2"/>
  <c r="AR7" i="2"/>
  <c r="AM7" i="2" s="1"/>
  <c r="AF7" i="2"/>
  <c r="AG7" i="2" s="1"/>
  <c r="AF21" i="2"/>
  <c r="AR21" i="2"/>
  <c r="AM21" i="2" s="1"/>
  <c r="AT2" i="2"/>
  <c r="AF3" i="2"/>
  <c r="AG3" i="2" s="1"/>
  <c r="AT4" i="2"/>
  <c r="J3" i="2"/>
  <c r="AH3" i="2"/>
  <c r="AR3" i="2"/>
  <c r="AM3" i="2" s="1"/>
  <c r="H5" i="2"/>
  <c r="J7" i="2"/>
  <c r="AF8" i="2"/>
  <c r="AG8" i="2" s="1"/>
  <c r="BF8" i="2"/>
  <c r="AU8" i="2"/>
  <c r="AX8" i="2" s="1"/>
  <c r="AY8" i="2" s="1"/>
  <c r="AL8" i="2"/>
  <c r="AT9" i="2"/>
  <c r="AF10" i="2"/>
  <c r="AG10" i="2" s="1"/>
  <c r="AI15" i="2"/>
  <c r="BF15" i="2"/>
  <c r="AR15" i="2"/>
  <c r="AM15" i="2" s="1"/>
  <c r="AH15" i="2"/>
  <c r="AU23" i="2"/>
  <c r="AX23" i="2" s="1"/>
  <c r="AY23" i="2" s="1"/>
  <c r="AU32" i="2"/>
  <c r="AX32" i="2" s="1"/>
  <c r="AY32" i="2" s="1"/>
  <c r="BF32" i="2"/>
  <c r="BG32" i="2" s="1"/>
  <c r="H37" i="2"/>
  <c r="J37" i="2"/>
  <c r="BF38" i="2"/>
  <c r="BG38" i="2" s="1"/>
  <c r="AR38" i="2"/>
  <c r="AM38" i="2" s="1"/>
  <c r="H41" i="2"/>
  <c r="J41" i="2"/>
  <c r="J5" i="2"/>
  <c r="T31" i="2"/>
  <c r="V31" i="2" s="1"/>
  <c r="J10" i="2"/>
  <c r="J11" i="2"/>
  <c r="J13" i="2"/>
  <c r="H14" i="2"/>
  <c r="J18" i="2"/>
  <c r="AR19" i="2"/>
  <c r="AM19" i="2" s="1"/>
  <c r="AR23" i="2"/>
  <c r="AM23" i="2" s="1"/>
  <c r="BF23" i="2"/>
  <c r="J25" i="2"/>
  <c r="AR27" i="2"/>
  <c r="AM27" i="2" s="1"/>
  <c r="J30" i="2"/>
  <c r="J32" i="2"/>
  <c r="AR32" i="2"/>
  <c r="AM32" i="2" s="1"/>
  <c r="AR33" i="2"/>
  <c r="AM33" i="2" s="1"/>
  <c r="AU34" i="2"/>
  <c r="AX34" i="2" s="1"/>
  <c r="AY34" i="2" s="1"/>
  <c r="BF34" i="2"/>
  <c r="AR34" i="2"/>
  <c r="AM34" i="2" s="1"/>
  <c r="AL18" i="2"/>
  <c r="BF19" i="2"/>
  <c r="AL20" i="2"/>
  <c r="T30" i="2"/>
  <c r="V30" i="2" s="1"/>
  <c r="T24" i="2"/>
  <c r="AL24" i="2" s="1"/>
  <c r="T28" i="2"/>
  <c r="T35" i="2"/>
  <c r="V35" i="2" s="1"/>
  <c r="T29" i="2"/>
  <c r="T26" i="2"/>
  <c r="AF26" i="2" s="1"/>
  <c r="AG26" i="2" s="1"/>
  <c r="T25" i="2"/>
  <c r="V25" i="2" s="1"/>
  <c r="AF5" i="2"/>
  <c r="AG5" i="2" s="1"/>
  <c r="AF6" i="2"/>
  <c r="AG6" i="2" s="1"/>
  <c r="T34" i="2"/>
  <c r="AF34" i="2" s="1"/>
  <c r="AG34" i="2" s="1"/>
  <c r="AF9" i="2"/>
  <c r="AG9" i="2" s="1"/>
  <c r="BF16" i="2"/>
  <c r="AU16" i="2"/>
  <c r="AX16" i="2" s="1"/>
  <c r="AY16" i="2" s="1"/>
  <c r="AL17" i="2"/>
  <c r="AL21" i="2"/>
  <c r="AU24" i="2"/>
  <c r="AX24" i="2" s="1"/>
  <c r="AY24" i="2" s="1"/>
  <c r="BF27" i="2"/>
  <c r="BG27" i="2" s="1"/>
  <c r="AU28" i="2"/>
  <c r="AX28" i="2" s="1"/>
  <c r="AY28" i="2" s="1"/>
  <c r="AT24" i="2"/>
  <c r="BF25" i="2"/>
  <c r="BG25" i="2" s="1"/>
  <c r="AU25" i="2"/>
  <c r="AX25" i="2" s="1"/>
  <c r="AY25" i="2" s="1"/>
  <c r="AI25" i="2"/>
  <c r="AT28" i="2"/>
  <c r="BF29" i="2"/>
  <c r="BG29" i="2" s="1"/>
  <c r="BF33" i="2"/>
  <c r="AT34" i="2"/>
  <c r="BF35" i="2"/>
  <c r="BG35" i="2" s="1"/>
  <c r="AU35" i="2"/>
  <c r="AX35" i="2" s="1"/>
  <c r="AY35" i="2" s="1"/>
  <c r="AI35" i="2"/>
  <c r="AI37" i="2"/>
  <c r="AT39" i="2"/>
  <c r="J23" i="2"/>
  <c r="AH24" i="2"/>
  <c r="AR25" i="2"/>
  <c r="AM25" i="2" s="1"/>
  <c r="J27" i="2"/>
  <c r="AT27" i="2"/>
  <c r="H31" i="2"/>
  <c r="J33" i="2"/>
  <c r="AT33" i="2"/>
  <c r="AR35" i="2"/>
  <c r="AM35" i="2" s="1"/>
  <c r="BF37" i="2"/>
  <c r="BF39" i="2"/>
  <c r="BG39" i="2" s="1"/>
  <c r="U37" i="1"/>
  <c r="U36" i="1"/>
  <c r="V36" i="1"/>
  <c r="AF24" i="2" l="1"/>
  <c r="AG24" i="2" s="1"/>
  <c r="BH22" i="2"/>
  <c r="AF23" i="2"/>
  <c r="AG23" i="2" s="1"/>
  <c r="AL38" i="2"/>
  <c r="V38" i="2"/>
  <c r="AL27" i="2"/>
  <c r="V27" i="2"/>
  <c r="AL28" i="2"/>
  <c r="V28" i="2"/>
  <c r="AL23" i="2"/>
  <c r="BH40" i="2"/>
  <c r="V40" i="2"/>
  <c r="AF29" i="2"/>
  <c r="AG29" i="2" s="1"/>
  <c r="V29" i="2"/>
  <c r="AL39" i="2"/>
  <c r="V39" i="2"/>
  <c r="AF32" i="2"/>
  <c r="AG32" i="2" s="1"/>
  <c r="V32" i="2"/>
  <c r="AL34" i="2"/>
  <c r="V34" i="2"/>
  <c r="AL26" i="2"/>
  <c r="V26" i="2"/>
  <c r="BH24" i="2"/>
  <c r="V24" i="2"/>
  <c r="AL33" i="2"/>
  <c r="V33" i="2"/>
  <c r="AF37" i="2"/>
  <c r="AG37" i="2" s="1"/>
  <c r="V37" i="2"/>
  <c r="AT17" i="5"/>
  <c r="AU17" i="5"/>
  <c r="AV17" i="5"/>
  <c r="AT16" i="5"/>
  <c r="AU16" i="5"/>
  <c r="AV16" i="5"/>
  <c r="AU3" i="5"/>
  <c r="AV3" i="5"/>
  <c r="AT3" i="5"/>
  <c r="AS5" i="5"/>
  <c r="AS9" i="5"/>
  <c r="AS8" i="5"/>
  <c r="AS10" i="5"/>
  <c r="AS7" i="5"/>
  <c r="AS4" i="5"/>
  <c r="AS6" i="5"/>
  <c r="AS23" i="5"/>
  <c r="AM52" i="5"/>
  <c r="AS14" i="5"/>
  <c r="V39" i="5"/>
  <c r="V31" i="5"/>
  <c r="V34" i="5"/>
  <c r="V40" i="5"/>
  <c r="V36" i="5"/>
  <c r="V41" i="5"/>
  <c r="V37" i="5"/>
  <c r="V26" i="5"/>
  <c r="V28" i="5"/>
  <c r="BH33" i="2"/>
  <c r="BG33" i="2"/>
  <c r="BH34" i="2"/>
  <c r="BG34" i="2"/>
  <c r="BH18" i="2"/>
  <c r="BG18" i="2"/>
  <c r="BH6" i="2"/>
  <c r="BG6" i="2"/>
  <c r="BH19" i="2"/>
  <c r="BG19" i="2"/>
  <c r="BH2" i="2"/>
  <c r="BG2" i="2"/>
  <c r="BH20" i="2"/>
  <c r="BG20" i="2"/>
  <c r="BH5" i="2"/>
  <c r="BG5" i="2"/>
  <c r="BH37" i="2"/>
  <c r="BG37" i="2"/>
  <c r="BH8" i="2"/>
  <c r="BG8" i="2"/>
  <c r="BH21" i="2"/>
  <c r="BG21" i="2"/>
  <c r="BH3" i="2"/>
  <c r="BG3" i="2"/>
  <c r="BH36" i="2"/>
  <c r="BH13" i="2"/>
  <c r="BG13" i="2"/>
  <c r="BH4" i="2"/>
  <c r="BG4" i="2"/>
  <c r="BH17" i="2"/>
  <c r="BG17" i="2"/>
  <c r="BH16" i="2"/>
  <c r="BG16" i="2"/>
  <c r="BH15" i="2"/>
  <c r="BG15" i="2"/>
  <c r="BH11" i="2"/>
  <c r="BG11" i="2"/>
  <c r="BH23" i="2"/>
  <c r="BG23" i="2"/>
  <c r="BH14" i="2"/>
  <c r="BG14" i="2"/>
  <c r="BH12" i="2"/>
  <c r="BG12" i="2"/>
  <c r="BH7" i="2"/>
  <c r="BG7" i="2"/>
  <c r="BH10" i="2"/>
  <c r="BG10" i="2"/>
  <c r="BH9" i="2"/>
  <c r="BG9" i="2"/>
  <c r="BH41" i="2"/>
  <c r="BG41" i="2"/>
  <c r="BH29" i="2"/>
  <c r="AL32" i="2"/>
  <c r="BH30" i="2"/>
  <c r="AF27" i="2"/>
  <c r="AG27" i="2" s="1"/>
  <c r="BH38" i="2"/>
  <c r="BH27" i="2"/>
  <c r="BH31" i="2"/>
  <c r="AF38" i="2"/>
  <c r="AG38" i="2" s="1"/>
  <c r="BH32" i="2"/>
  <c r="AF39" i="2"/>
  <c r="AG39" i="2" s="1"/>
  <c r="BH28" i="2"/>
  <c r="BH39" i="2"/>
  <c r="AF28" i="2"/>
  <c r="AG28" i="2" s="1"/>
  <c r="BH35" i="2"/>
  <c r="BH25" i="2"/>
  <c r="BH26" i="2"/>
  <c r="AL29" i="2"/>
  <c r="AL35" i="2"/>
  <c r="AF35" i="2"/>
  <c r="AG35" i="2" s="1"/>
  <c r="AL30" i="2"/>
  <c r="AF30" i="2"/>
  <c r="AG30" i="2" s="1"/>
  <c r="AL25" i="2"/>
  <c r="AF25" i="2"/>
  <c r="AG25" i="2" s="1"/>
  <c r="AF36" i="2"/>
  <c r="AG36" i="2" s="1"/>
  <c r="AL36" i="2"/>
  <c r="AF31" i="2"/>
  <c r="AG31" i="2" s="1"/>
  <c r="AL31" i="2"/>
  <c r="AF40" i="2"/>
  <c r="AG40" i="2" s="1"/>
  <c r="AL40" i="2"/>
  <c r="AX3" i="5" l="1"/>
  <c r="AY15" i="5"/>
  <c r="AZ15" i="5"/>
  <c r="AX15" i="5"/>
  <c r="AT9" i="5"/>
  <c r="AU9" i="5"/>
  <c r="AV9" i="5"/>
  <c r="AV6" i="5"/>
  <c r="AU6" i="5"/>
  <c r="AT6" i="5"/>
  <c r="AT5" i="5"/>
  <c r="AV5" i="5"/>
  <c r="AU5" i="5"/>
  <c r="AU8" i="5"/>
  <c r="AV8" i="5"/>
  <c r="AT8" i="5"/>
  <c r="AU4" i="5"/>
  <c r="AT4" i="5"/>
  <c r="AV4" i="5"/>
  <c r="AV7" i="5"/>
  <c r="AT7" i="5"/>
  <c r="AU7" i="5"/>
  <c r="AU10" i="5"/>
  <c r="AT10" i="5"/>
  <c r="AV10" i="5"/>
  <c r="AX14" i="5"/>
  <c r="AZ4" i="5"/>
  <c r="AZ8" i="5"/>
  <c r="AZ12" i="5"/>
  <c r="AZ17" i="5"/>
  <c r="AZ21" i="5"/>
  <c r="AY4" i="5"/>
  <c r="AY8" i="5"/>
  <c r="AY12" i="5"/>
  <c r="AY17" i="5"/>
  <c r="AY21" i="5"/>
  <c r="AX7" i="5"/>
  <c r="AX11" i="5"/>
  <c r="AX16" i="5"/>
  <c r="AX20" i="5"/>
  <c r="AZ14" i="5"/>
  <c r="AX5" i="5"/>
  <c r="AZ11" i="5"/>
  <c r="AZ20" i="5"/>
  <c r="AY7" i="5"/>
  <c r="AY16" i="5"/>
  <c r="AX6" i="5"/>
  <c r="AX10" i="5"/>
  <c r="AX23" i="5"/>
  <c r="AY14" i="5"/>
  <c r="AZ5" i="5"/>
  <c r="AZ9" i="5"/>
  <c r="AZ13" i="5"/>
  <c r="AZ18" i="5"/>
  <c r="AZ22" i="5"/>
  <c r="AY5" i="5"/>
  <c r="AY9" i="5"/>
  <c r="AY13" i="5"/>
  <c r="AY18" i="5"/>
  <c r="AY22" i="5"/>
  <c r="AX4" i="5"/>
  <c r="AX8" i="5"/>
  <c r="AX12" i="5"/>
  <c r="AX17" i="5"/>
  <c r="AX21" i="5"/>
  <c r="AZ10" i="5"/>
  <c r="AY19" i="5"/>
  <c r="AX9" i="5"/>
  <c r="AX22" i="5"/>
  <c r="AZ3" i="5"/>
  <c r="AY20" i="5"/>
  <c r="AZ6" i="5"/>
  <c r="AZ19" i="5"/>
  <c r="AZ23" i="5"/>
  <c r="AY6" i="5"/>
  <c r="AY10" i="5"/>
  <c r="AY23" i="5"/>
  <c r="AX13" i="5"/>
  <c r="AX18" i="5"/>
  <c r="AZ7" i="5"/>
  <c r="AZ16" i="5"/>
  <c r="AY11" i="5"/>
  <c r="AY3" i="5"/>
  <c r="AX19" i="5"/>
  <c r="AG44" i="2"/>
  <c r="AG43" i="2"/>
  <c r="AG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X6" authorId="0" shapeId="0" xr:uid="{C6A3413F-CE80-4E44-9EC2-9C72F5BC8DA9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7" authorId="0" shapeId="0" xr:uid="{166A0EED-1A34-4811-989E-4312A92D8DB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8" authorId="0" shapeId="0" xr:uid="{3CD4881F-7AF5-42B6-90C4-10A0144072FA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9" authorId="0" shapeId="0" xr:uid="{AC2C69A8-F8EF-4EC4-B29D-58D047851F8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7" authorId="0" shapeId="0" xr:uid="{081682EC-71B2-419D-8557-271C28B189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7" authorId="0" shapeId="0" xr:uid="{49FF87D0-421C-4346-A7ED-40C3A94A4D06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7" authorId="0" shapeId="0" xr:uid="{1082F3A8-E093-4104-9F7C-F57A227BFA6B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P17" authorId="0" shapeId="0" xr:uid="{BCF6BBE8-38D2-43C0-B2BB-27B2A28CEDB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R17" authorId="0" shapeId="0" xr:uid="{1E7677E8-D25A-4F0C-AF10-3915CD51FCA3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S17" authorId="0" shapeId="0" xr:uid="{49B3BEA6-70B3-46D7-ADD2-6F7659CC399C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X17" authorId="0" shapeId="0" xr:uid="{306CE74B-03E7-4CAC-9C5A-C103C39F4191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17" authorId="0" shapeId="0" xr:uid="{C6EDB9F8-8A96-4340-B571-A20ACE09B37B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  <comment ref="BA17" authorId="0" shapeId="0" xr:uid="{9C9ED112-EBB8-4F45-89FC-9A8007A37119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X7" authorId="0" shapeId="0" xr:uid="{C8DD31C9-D4FB-45E6-95ED-CC8F9FE9C276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8" authorId="0" shapeId="0" xr:uid="{39B3C777-D1B5-4F4D-A8E8-BC19D73B9A3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9" authorId="0" shapeId="0" xr:uid="{B1A73168-881C-4588-AA97-FD9D833B0147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X10" authorId="0" shapeId="0" xr:uid="{2CC41497-D13D-41F8-B472-F0EC525A054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M18" authorId="0" shapeId="0" xr:uid="{D96DAA1B-CBDC-4A2F-9A2A-F6B5198D55DA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N18" authorId="0" shapeId="0" xr:uid="{63C3FF5A-E63F-44BA-8973-2DDD5A7BBCF8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O18" authorId="0" shapeId="0" xr:uid="{43967E9F-5BAC-4019-AAEC-EB5FB238C19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Q18" authorId="0" shapeId="0" xr:uid="{90CBBCEA-DE6B-48C5-9856-EBB523152885}">
      <text>
        <r>
          <rPr>
            <sz val="11"/>
            <color theme="1"/>
            <rFont val="Aptos Narrow"/>
            <family val="2"/>
            <scheme val="minor"/>
          </rPr>
          <t>Jacob Numbers:
Gheribi, 2014</t>
        </r>
      </text>
    </comment>
    <comment ref="S18" authorId="0" shapeId="0" xr:uid="{0D81C8E0-9F8B-4FC2-842C-8CEBAA2F13F2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T18" authorId="0" shapeId="0" xr:uid="{CB1DB09C-F6FE-4CCB-80B3-E3E61E6C67F0}">
      <text>
        <r>
          <rPr>
            <sz val="11"/>
            <color theme="1"/>
            <rFont val="Aptos Narrow"/>
            <family val="2"/>
            <scheme val="minor"/>
          </rPr>
          <t>Jacob Numbers:
Gheribi 2014</t>
        </r>
      </text>
    </comment>
    <comment ref="X18" authorId="0" shapeId="0" xr:uid="{212DD2F7-3F9C-45B3-A634-EF1C8E9EA32F}">
      <text>
        <r>
          <rPr>
            <sz val="11"/>
            <color theme="1"/>
            <rFont val="Aptos Narrow"/>
            <family val="2"/>
            <scheme val="minor"/>
          </rPr>
          <t>Jacob Numbers:
Higgs, 1960
https://pubs.aip.org/asa/jasa/article/32/9/1108/717969/Ultrasonic-Absorption-and-Velocity-in-Molten-Salts</t>
        </r>
      </text>
    </comment>
    <comment ref="Z18" authorId="0" shapeId="0" xr:uid="{E3C3E09A-8F4E-47FE-9527-55FB163136EF}">
      <text>
        <r>
          <rPr>
            <sz val="11"/>
            <color theme="1"/>
            <rFont val="Aptos Narrow"/>
            <family val="2"/>
            <scheme val="minor"/>
          </rPr>
          <t xml:space="preserve">Jacob Numbers:
Janz, 1979
</t>
        </r>
      </text>
    </comment>
  </commentList>
</comments>
</file>

<file path=xl/sharedStrings.xml><?xml version="1.0" encoding="utf-8"?>
<sst xmlns="http://schemas.openxmlformats.org/spreadsheetml/2006/main" count="642" uniqueCount="297">
  <si>
    <t>Salt Composition</t>
  </si>
  <si>
    <t>Melting Temp (K)</t>
  </si>
  <si>
    <t>Min Measured Temp (K)</t>
  </si>
  <si>
    <t>Gheribi-KTCPÎ» at Melt Temp (W/m-K)</t>
  </si>
  <si>
    <t>Gheribi-KTCPÎ», Mix Data at Melt Temp (W/m-K)</t>
  </si>
  <si>
    <t>Gheribi-KT-Emp at Melt Temp (W/m-K)</t>
  </si>
  <si>
    <t>Gheribi-KT-Emp-Mix at Melt Temp (W/m-K)</t>
  </si>
  <si>
    <t>Gheribi-KT24 at Melt Temp (W/m-K)</t>
  </si>
  <si>
    <t>Gheribi-KT24, Mix Data at Melt Temp (W/m-K)</t>
  </si>
  <si>
    <t>Zhao-PGM at Melt Temp (W/m-K)</t>
  </si>
  <si>
    <t>Zhao-PGM, Mix Data at Melt Temp (W/m-K)</t>
  </si>
  <si>
    <t>Present Model at Melt Temp (W/m-K)</t>
  </si>
  <si>
    <t>Present Model, Mix Data at Melt Temp (W/m-K)</t>
  </si>
  <si>
    <t>Present Model-VelCorr at Melt Temp (W/m-K)</t>
  </si>
  <si>
    <t>Bridgman at Melt Temp (W/m-K)</t>
  </si>
  <si>
    <t>Chapman-Enskog at Melt Temp (W/m-K)</t>
  </si>
  <si>
    <t>Ideal at Melt Temp (W/m-K)</t>
  </si>
  <si>
    <t>TC Experimental (W/m-K)</t>
  </si>
  <si>
    <t>Exp. Reference</t>
  </si>
  <si>
    <t>TC MSTDB (W/m-K)</t>
  </si>
  <si>
    <t>MSTDB Reference</t>
  </si>
  <si>
    <t>0.73LiF-0.27BeF2</t>
  </si>
  <si>
    <t>0.73LiF-0.27BeF2 (Bobrova, 2023)</t>
  </si>
  <si>
    <t>0.725LiF-0.265BeF2-0.01UF4</t>
  </si>
  <si>
    <t>0.725LiF-0.265BeF2-0.01UF4 (Bobrova, 2023)</t>
  </si>
  <si>
    <t>0.72LiF-0.26BeF2-0.02UF4</t>
  </si>
  <si>
    <t>0.72LiF-0.26BeF2-0.02UF4 (Bobrova, 2023)</t>
  </si>
  <si>
    <t>0.63NaCl-0.37UCl3</t>
  </si>
  <si>
    <t>63NaCl-37UCl3 (Termini, 2024)</t>
  </si>
  <si>
    <t>0.658NaCl-0.342UCl3</t>
  </si>
  <si>
    <t>65.8NaCl-34.2UCl3 (Rose, 2023)</t>
  </si>
  <si>
    <t>0.712LiF-0.23BeF2-0.05ZrF4-0.008UF4 (Rosenthal, 1969)</t>
  </si>
  <si>
    <t>0.675LiF-0.2BeF2-0.12ThF4-0.005UF4</t>
  </si>
  <si>
    <t>0.675LiF-0.20BeF2-0.12ThF4-0.005UF4 (Rosenthal, 1969)</t>
  </si>
  <si>
    <t>0.28NaF-0.42KF-0.3UF4</t>
  </si>
  <si>
    <t>0.42KF-0.28NaF-0.30UF4 (Rudenko, 2024)</t>
  </si>
  <si>
    <t>0.24NaF-0.36KF-0.4UF4</t>
  </si>
  <si>
    <t>0.36KF-0.24NaF-0.40UF4 (Rudenko, 2024)</t>
  </si>
  <si>
    <t>0.2NaF-0.3KF-0.5UF4</t>
  </si>
  <si>
    <t>0.30KF-0.20NaF-0.50UF4 (Rudenko, 2024)</t>
  </si>
  <si>
    <t>0.4NaF-0.6KF</t>
  </si>
  <si>
    <t>Rudenko 2024 [178]</t>
  </si>
  <si>
    <t>0.465LiF-0.115NaF-0.42KF</t>
  </si>
  <si>
    <t>0.465LiF-0.115NaF-0.42KF (Merritt, 2022),0.465LiF-0.115NaF-0.42KF (Gallagher, 2022),0.465LiF-0.115NaF-0.42KF (Rudenko, 2022)</t>
  </si>
  <si>
    <t>0.2046NaCl-0.4131KCl-0.3823MgCl2</t>
  </si>
  <si>
    <t>0.2046NaCl-0.4131KCl-0.3823MgCl2 (Wang, 2021)</t>
  </si>
  <si>
    <t>0.345NaF-0.59KF-0.065MgF2 (Rudenko, 2024)</t>
  </si>
  <si>
    <t>1.0LiCl</t>
  </si>
  <si>
    <t>LiCl (Nagasaka, 1992)</t>
  </si>
  <si>
    <t>1.0NaCl</t>
  </si>
  <si>
    <t>NaCl (Nagasaka 1992)</t>
  </si>
  <si>
    <t>1.0KCl</t>
  </si>
  <si>
    <t>KCl (Harada, 1992),KCl (Nagasaka, 1992)</t>
  </si>
  <si>
    <t>1.0LiF</t>
  </si>
  <si>
    <t>LiF (Golyshev, 1982),LiF (Golyshev, 1983),LiF (Golyshev, 1992),LiF (Smirnov, 1987),LiF (Khlebnikov, 1981)</t>
  </si>
  <si>
    <t>1.0NaF</t>
  </si>
  <si>
    <t>1.0KF</t>
  </si>
  <si>
    <t>KF (Smirnov, 1987)</t>
  </si>
  <si>
    <t>1.0MgCl2</t>
  </si>
  <si>
    <t>1.0MgF2</t>
  </si>
  <si>
    <t>MgF2 (Khlebnikov, 1981),MgF2 (Golyshev, 1992)</t>
  </si>
  <si>
    <t>1.0CaF2</t>
  </si>
  <si>
    <t>CaF2 (Golyshev, 1992),CaF2 (Khlebnikov, 1981)</t>
  </si>
  <si>
    <t>0.712LiF-0.23BeF2-0.05ZrF4-0.008UF4</t>
  </si>
  <si>
    <t>0.345NaF-0.59KF-0.065MgF2</t>
  </si>
  <si>
    <t>At min measured temp</t>
  </si>
  <si>
    <t>Gheribi-KT-k_min (W/m-K)</t>
  </si>
  <si>
    <t>Gheribi-KT-Emp (W/m-K)</t>
  </si>
  <si>
    <t>Gheribi-KT-Emp-Mix (W/m-K)</t>
  </si>
  <si>
    <t>Gheribi-KT24, Mix Data (W/m-K)</t>
  </si>
  <si>
    <t>Zhao-PGM, Mix Data (W/m-K)</t>
  </si>
  <si>
    <t>Present Model (W/m-K)</t>
  </si>
  <si>
    <t>Present Model, Mix Data (W/m-K)</t>
  </si>
  <si>
    <t>Present Model-VelCorr (W/m-K)</t>
  </si>
  <si>
    <t>Bridgman (W/m-K)</t>
  </si>
  <si>
    <t>Chapman-Enskog (W/m-K)</t>
  </si>
  <si>
    <t>Ideal (W/m-K)</t>
  </si>
  <si>
    <t>Gheribi-KT24</t>
  </si>
  <si>
    <t>Zhao-PGM</t>
  </si>
  <si>
    <t>Gheribi-KT-k_min, Mix Data (W/m-K)</t>
  </si>
  <si>
    <t>0.66LiF-0.34BeF2</t>
  </si>
  <si>
    <t>Rosenthal 1969 [122]</t>
  </si>
  <si>
    <t>Gheribi</t>
  </si>
  <si>
    <t>Actinide</t>
  </si>
  <si>
    <t>Non-actinide</t>
  </si>
  <si>
    <t>Avg Error</t>
  </si>
  <si>
    <t>Zhao</t>
  </si>
  <si>
    <t>% Dev</t>
  </si>
  <si>
    <t>Deviation</t>
  </si>
  <si>
    <t>Labels</t>
  </si>
  <si>
    <t>Gheribi; 11.8% MAE</t>
  </si>
  <si>
    <t>Zhao; 33.1% MAE</t>
  </si>
  <si>
    <t>Gheribi; 55.7% MAE</t>
  </si>
  <si>
    <t>Zhao; 28.7% MAE</t>
  </si>
  <si>
    <r>
      <t>MgCl2 (</t>
    </r>
    <r>
      <rPr>
        <sz val="11"/>
        <color rgb="FFFF0000"/>
        <rFont val="Aptos Narrow"/>
        <scheme val="minor"/>
      </rPr>
      <t>Filatov</t>
    </r>
    <r>
      <rPr>
        <sz val="11"/>
        <color theme="1"/>
        <rFont val="Aptos Narrow"/>
        <family val="2"/>
        <scheme val="minor"/>
      </rPr>
      <t>, 2005)</t>
    </r>
  </si>
  <si>
    <r>
      <t>NaF (Smirnov, 1987),NaF (</t>
    </r>
    <r>
      <rPr>
        <sz val="11"/>
        <color rgb="FFFF0000"/>
        <rFont val="Aptos Narrow"/>
        <scheme val="minor"/>
      </rPr>
      <t>Polyakov</t>
    </r>
    <r>
      <rPr>
        <sz val="11"/>
        <color theme="1"/>
        <rFont val="Aptos Narrow"/>
        <family val="2"/>
        <scheme val="minor"/>
      </rPr>
      <t>, 1975)</t>
    </r>
  </si>
  <si>
    <t>Compound</t>
  </si>
  <si>
    <t>S/cm</t>
  </si>
  <si>
    <t>order</t>
  </si>
  <si>
    <t>protons</t>
  </si>
  <si>
    <t>electrons</t>
  </si>
  <si>
    <t>Mp/molecule</t>
  </si>
  <si>
    <t>Me/molecule</t>
  </si>
  <si>
    <t>ratio of Mpe*#</t>
  </si>
  <si>
    <t>ratio</t>
  </si>
  <si>
    <t>Dif mass</t>
  </si>
  <si>
    <t>M_i (g/mol)</t>
  </si>
  <si>
    <t>Visc (N*s/m^2)</t>
  </si>
  <si>
    <t>T_i_m (K) inverse</t>
  </si>
  <si>
    <t>T_i_m (K)</t>
  </si>
  <si>
    <t>V_i_m (m^3/mol)</t>
  </si>
  <si>
    <t>alpha_i_m (K^-1)</t>
  </si>
  <si>
    <t>r_c (m)</t>
  </si>
  <si>
    <t>r_a (m)</t>
  </si>
  <si>
    <t>sum_radii</t>
  </si>
  <si>
    <t>rho_m (g/m^3)</t>
  </si>
  <si>
    <t>SoS(T)_A (A+B*T)</t>
  </si>
  <si>
    <t>SoS(T)_B</t>
  </si>
  <si>
    <t>A (Density (g/cm3):   A - BT(K))</t>
  </si>
  <si>
    <t>B (Density (g/cm3):   A - BT(K))</t>
  </si>
  <si>
    <t>#_cations</t>
  </si>
  <si>
    <t>#_anions</t>
  </si>
  <si>
    <t>sum_ions</t>
  </si>
  <si>
    <t>λ_meas</t>
  </si>
  <si>
    <t>1/3*Cp*vs*r_sumCorrect</t>
  </si>
  <si>
    <t>Error</t>
  </si>
  <si>
    <t>1/3*Cp*vs*1stPk</t>
  </si>
  <si>
    <t>1/3*Cp*vs*AvgPk</t>
  </si>
  <si>
    <t>1/3*Cp*vs*r_sum</t>
  </si>
  <si>
    <t>dev_λ</t>
  </si>
  <si>
    <t>c_BC,rsum</t>
  </si>
  <si>
    <t>c_BC_λBC</t>
  </si>
  <si>
    <t>1/3*Cp*vs</t>
  </si>
  <si>
    <t>r_sum</t>
  </si>
  <si>
    <t>1stPeak</t>
  </si>
  <si>
    <t>AvgMFP</t>
  </si>
  <si>
    <t>λBC</t>
  </si>
  <si>
    <t>MFP_calc</t>
  </si>
  <si>
    <t>MFP_dev</t>
  </si>
  <si>
    <t>1/3*Cp*r_sum</t>
  </si>
  <si>
    <t>SoS_Tm</t>
  </si>
  <si>
    <t>SoS_metal</t>
  </si>
  <si>
    <t>vs_calc</t>
  </si>
  <si>
    <t>vs_dev</t>
  </si>
  <si>
    <t>1/3*vs*r_sum</t>
  </si>
  <si>
    <t>C_i_p (J/mol/K)</t>
  </si>
  <si>
    <t>Cp(J/m3-K)</t>
  </si>
  <si>
    <t>Cp_calc</t>
  </si>
  <si>
    <t>Cp_dev</t>
  </si>
  <si>
    <t>vs*cp</t>
  </si>
  <si>
    <t>1/3*vs*cp*rsum</t>
  </si>
  <si>
    <t>Visc/(Dens*C0)</t>
  </si>
  <si>
    <t>LiF</t>
  </si>
  <si>
    <t>NaF</t>
  </si>
  <si>
    <t>KF</t>
  </si>
  <si>
    <t>RbF</t>
  </si>
  <si>
    <t>CsF</t>
  </si>
  <si>
    <t>LiCl</t>
  </si>
  <si>
    <t>NaCl</t>
  </si>
  <si>
    <t>KCl</t>
  </si>
  <si>
    <t>BeF2</t>
  </si>
  <si>
    <t>MgF2</t>
  </si>
  <si>
    <t>CaF2</t>
  </si>
  <si>
    <t>SrF2</t>
  </si>
  <si>
    <t>MgCl2</t>
  </si>
  <si>
    <t>CaCl2</t>
  </si>
  <si>
    <t>SrCl2</t>
  </si>
  <si>
    <t>NaNO3</t>
  </si>
  <si>
    <t>KNO3</t>
  </si>
  <si>
    <t>ZrF4</t>
  </si>
  <si>
    <t>ThF4</t>
  </si>
  <si>
    <t>UF4</t>
  </si>
  <si>
    <t>UCl3</t>
  </si>
  <si>
    <t>0.68KCl-0.32MgCl2</t>
  </si>
  <si>
    <t>0.675LiF-0.2BeF2-0.005ThF4-0.12UF4</t>
  </si>
  <si>
    <t>0.32KCl-0.68MgCl2</t>
  </si>
  <si>
    <t>0.4598NaCl-0.3891KCl-0.1511MgCl2</t>
  </si>
  <si>
    <t>0.582LiCl-0.418KCl</t>
  </si>
  <si>
    <t>0.6LiF-0.4NaF</t>
  </si>
  <si>
    <t>0.63NaCl-0.37UCl3 (ORNL)</t>
  </si>
  <si>
    <t>0.658NaCl-0.342UCl3 (ANL)</t>
  </si>
  <si>
    <r>
      <t>(NaF-KF)-.3UF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</si>
  <si>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(NaF-KF)-.4UF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</si>
  <si>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(NaF-KF)-.5UF</t>
    </r>
    <r>
      <rPr>
        <vertAlign val="subscript"/>
        <sz val="11"/>
        <color theme="1"/>
        <rFont val="Aptos Narrow"/>
        <family val="2"/>
        <scheme val="minor"/>
      </rPr>
      <t>4</t>
    </r>
  </si>
  <si>
    <t>H2O</t>
  </si>
  <si>
    <t>Unary Flourides</t>
  </si>
  <si>
    <t>Unary Chlorides</t>
  </si>
  <si>
    <t>Unary Alkaline Earth Flourides</t>
  </si>
  <si>
    <t>Unary Alkaline Earth Chlorides</t>
  </si>
  <si>
    <t>Unary Nitrates</t>
  </si>
  <si>
    <t>Fluoride Mixtures</t>
  </si>
  <si>
    <t>Chloride Mixtures</t>
  </si>
  <si>
    <t>Fluoride Actinide Mixtures</t>
  </si>
  <si>
    <t>Chloride Actinide Mixtures</t>
  </si>
  <si>
    <t>Water</t>
  </si>
  <si>
    <t>Actinides</t>
  </si>
  <si>
    <t>Non-Actinides</t>
  </si>
  <si>
    <t>--&gt; Scaled</t>
  </si>
  <si>
    <t>Salt</t>
  </si>
  <si>
    <t>Same trend</t>
  </si>
  <si>
    <t>Same</t>
  </si>
  <si>
    <t>Same extrapolation</t>
  </si>
  <si>
    <t>Measured molten NaCl at ~1074 K</t>
  </si>
  <si>
    <t>Chen &amp; Sato (1983)</t>
  </si>
  <si>
    <t>https://journal.buct.edu.cn/EN/10.13543/j.bhxbzr.2023.03.007</t>
  </si>
  <si>
    <t>Measured molten KCl at ~1043 K (by analogy to NaCl)</t>
  </si>
  <si>
    <t>Measured molten NaNO3 at ~573 K</t>
  </si>
  <si>
    <t>(see nitrate dielectric literature)</t>
  </si>
  <si>
    <t>Measured molten KNO3 at ~627 K</t>
  </si>
  <si>
    <t>(typical values in thermophysical reviews)</t>
  </si>
  <si>
    <t>Estimated analogous to molten NaCl</t>
  </si>
  <si>
    <t>Estimated from alkali-halide trend (NaCl)</t>
  </si>
  <si>
    <t>Estimated from KCl analogy</t>
  </si>
  <si>
    <t>Same series assumption based on KCl</t>
  </si>
  <si>
    <t>Same trend as above</t>
  </si>
  <si>
    <t>Analogous to NaCl molten behavior</t>
  </si>
  <si>
    <t>Estimated via similarity to LiF/NaCl family</t>
  </si>
  <si>
    <t>Estimated trend from LiF/NaCl</t>
  </si>
  <si>
    <t>Same chloride melt analogy</t>
  </si>
  <si>
    <t>Estimated from fluoride trend (FLiBe/FLiNaK modeling)</t>
  </si>
  <si>
    <t>Porter et al. (2022)</t>
  </si>
  <si>
    <t>https://www.nature.com/articles/s42004-022-00684-6</t>
  </si>
  <si>
    <t>Estimated via chloride melts analogy</t>
  </si>
  <si>
    <t>ε_0  (F/m)</t>
  </si>
  <si>
    <t>ε_r</t>
  </si>
  <si>
    <t>ε_r Ref</t>
  </si>
  <si>
    <t>ε_r Ref source</t>
  </si>
  <si>
    <r>
      <rPr>
        <sz val="11"/>
        <color theme="1"/>
        <rFont val="Aptos Narrow"/>
        <family val="2"/>
      </rPr>
      <t>λ</t>
    </r>
    <r>
      <rPr>
        <sz val="6.6"/>
        <color theme="1"/>
        <rFont val="Aptos Narrow"/>
        <family val="2"/>
      </rPr>
      <t>D</t>
    </r>
  </si>
  <si>
    <t>k_B (J/K)</t>
  </si>
  <si>
    <t>e (C )</t>
  </si>
  <si>
    <t>n (ions/m^3)</t>
  </si>
  <si>
    <t>n_c (ions/m^3)</t>
  </si>
  <si>
    <t>z_c</t>
  </si>
  <si>
    <t>z_a</t>
  </si>
  <si>
    <t>n_a (ions/m^3)</t>
  </si>
  <si>
    <t>V_ca(r )</t>
  </si>
  <si>
    <t>V_cc(r )</t>
  </si>
  <si>
    <t>V_aa(r )</t>
  </si>
  <si>
    <t>r_nominal (m)</t>
  </si>
  <si>
    <t>Temperature (K)</t>
  </si>
  <si>
    <t>rIJ (pm)</t>
  </si>
  <si>
    <t>NIJ</t>
  </si>
  <si>
    <t>rII (pm)</t>
  </si>
  <si>
    <t>NII</t>
  </si>
  <si>
    <t>rJJ (pm)</t>
  </si>
  <si>
    <t>NJJ</t>
  </si>
  <si>
    <t>LiBr</t>
  </si>
  <si>
    <t>LiI</t>
  </si>
  <si>
    <t>NaBr</t>
  </si>
  <si>
    <t>NaI</t>
  </si>
  <si>
    <t>KBr</t>
  </si>
  <si>
    <t>KI</t>
  </si>
  <si>
    <t>RbCl</t>
  </si>
  <si>
    <t>RbBr</t>
  </si>
  <si>
    <t>RbI</t>
  </si>
  <si>
    <t>CsCl</t>
  </si>
  <si>
    <t>CsBr</t>
  </si>
  <si>
    <t>CsI</t>
  </si>
  <si>
    <t>Avg cc-ca dif</t>
  </si>
  <si>
    <t>cc-ca dif</t>
  </si>
  <si>
    <t>Calculated at r_nominal</t>
  </si>
  <si>
    <t>Calculated at PDF peak</t>
  </si>
  <si>
    <t>r_cc</t>
  </si>
  <si>
    <t>r_ca</t>
  </si>
  <si>
    <t>Sep dist. 100 above Tm</t>
  </si>
  <si>
    <t>100C above melting temp</t>
  </si>
  <si>
    <t>At melting temp</t>
  </si>
  <si>
    <t>r_aa</t>
  </si>
  <si>
    <t>From Walz, 2019</t>
  </si>
  <si>
    <t>https://journal.buct.edu.cn/EN/10.13543/j.bhxbzr.2023.03.006</t>
  </si>
  <si>
    <t>ca-cc dif</t>
  </si>
  <si>
    <t>McGreevy, 1987</t>
  </si>
  <si>
    <t>Walz, 2019</t>
  </si>
  <si>
    <t>Walz, 2020</t>
  </si>
  <si>
    <t>Walz, 2021</t>
  </si>
  <si>
    <t>Walz, 2022</t>
  </si>
  <si>
    <t>Walz, 2023</t>
  </si>
  <si>
    <t>Walz, 2024</t>
  </si>
  <si>
    <t>Walz, 2025</t>
  </si>
  <si>
    <t>Walz, 2026</t>
  </si>
  <si>
    <t>McGreevy, 1988</t>
  </si>
  <si>
    <t>McGreevy, 1989</t>
  </si>
  <si>
    <t>NaF (Smirnov, 1987),NaF (Polyakov, 1975)</t>
  </si>
  <si>
    <t>MgCl2 (Filatov, 2005)</t>
  </si>
  <si>
    <t>mu</t>
  </si>
  <si>
    <t>Cp(MJ/m3-K)</t>
  </si>
  <si>
    <t>V/mu</t>
  </si>
  <si>
    <t>Fig 1 --&gt;</t>
  </si>
  <si>
    <t>Fig 2 --&gt;</t>
  </si>
  <si>
    <t>Fig 3 --&gt;</t>
  </si>
  <si>
    <t>Figures below</t>
  </si>
  <si>
    <t>R(pm)</t>
  </si>
  <si>
    <t>R(pm)/mu</t>
  </si>
  <si>
    <t>R</t>
  </si>
  <si>
    <t>delta</t>
  </si>
  <si>
    <t>x_ca,peak</t>
  </si>
  <si>
    <t>1/sqrt(mu)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</si>
</sst>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00"/>
    <numFmt numFmtId="165" formatCode="#,##0.000"/>
    <numFmt numFmtId="166" formatCode="#,##0.00000000000000000"/>
    <numFmt numFmtId="167" formatCode="0.0000000"/>
    <numFmt numFmtId="168" formatCode="0.00000"/>
    <numFmt numFmtId="169" formatCode="0.000E+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59595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6.6"/>
      <color theme="1"/>
      <name val="Aptos Narrow"/>
      <family val="2"/>
    </font>
    <font>
      <sz val="1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90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3" fontId="19" fillId="0" borderId="10" xfId="0" applyNumberFormat="1" applyFont="1" applyBorder="1" applyAlignment="1">
      <alignment horizontal="left"/>
    </xf>
    <xf numFmtId="0" fontId="0" fillId="0" borderId="10" xfId="0" applyBorder="1"/>
    <xf numFmtId="3" fontId="20" fillId="0" borderId="10" xfId="0" applyNumberFormat="1" applyFont="1" applyBorder="1"/>
    <xf numFmtId="4" fontId="19" fillId="0" borderId="10" xfId="0" applyNumberFormat="1" applyFont="1" applyBorder="1" applyAlignment="1">
      <alignment horizontal="right"/>
    </xf>
    <xf numFmtId="164" fontId="19" fillId="0" borderId="10" xfId="0" applyNumberFormat="1" applyFont="1" applyBorder="1" applyAlignment="1">
      <alignment horizontal="left"/>
    </xf>
    <xf numFmtId="164" fontId="19" fillId="0" borderId="11" xfId="0" applyNumberFormat="1" applyFont="1" applyBorder="1" applyAlignment="1">
      <alignment horizontal="left"/>
    </xf>
    <xf numFmtId="11" fontId="19" fillId="0" borderId="10" xfId="0" applyNumberFormat="1" applyFont="1" applyBorder="1" applyAlignment="1">
      <alignment horizontal="left"/>
    </xf>
    <xf numFmtId="0" fontId="20" fillId="0" borderId="10" xfId="0" applyFont="1" applyBorder="1"/>
    <xf numFmtId="0" fontId="20" fillId="34" borderId="12" xfId="0" applyFont="1" applyFill="1" applyBorder="1"/>
    <xf numFmtId="0" fontId="20" fillId="35" borderId="12" xfId="0" applyFont="1" applyFill="1" applyBorder="1"/>
    <xf numFmtId="0" fontId="20" fillId="36" borderId="12" xfId="0" applyFont="1" applyFill="1" applyBorder="1"/>
    <xf numFmtId="0" fontId="21" fillId="0" borderId="0" xfId="0" applyFont="1" applyAlignment="1">
      <alignment horizontal="center" vertical="center" readingOrder="1"/>
    </xf>
    <xf numFmtId="0" fontId="20" fillId="37" borderId="12" xfId="0" applyFont="1" applyFill="1" applyBorder="1"/>
    <xf numFmtId="11" fontId="19" fillId="38" borderId="12" xfId="0" applyNumberFormat="1" applyFont="1" applyFill="1" applyBorder="1" applyAlignment="1">
      <alignment horizontal="left"/>
    </xf>
    <xf numFmtId="0" fontId="20" fillId="38" borderId="12" xfId="0" applyFont="1" applyFill="1" applyBorder="1"/>
    <xf numFmtId="0" fontId="20" fillId="39" borderId="12" xfId="0" applyFont="1" applyFill="1" applyBorder="1"/>
    <xf numFmtId="4" fontId="19" fillId="40" borderId="12" xfId="0" applyNumberFormat="1" applyFont="1" applyFill="1" applyBorder="1" applyAlignment="1">
      <alignment horizontal="left"/>
    </xf>
    <xf numFmtId="0" fontId="20" fillId="40" borderId="12" xfId="0" applyFont="1" applyFill="1" applyBorder="1"/>
    <xf numFmtId="0" fontId="0" fillId="40" borderId="12" xfId="0" applyFill="1" applyBorder="1"/>
    <xf numFmtId="3" fontId="19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11" fontId="20" fillId="0" borderId="0" xfId="0" applyNumberFormat="1" applyFont="1"/>
    <xf numFmtId="165" fontId="19" fillId="0" borderId="0" xfId="0" applyNumberFormat="1" applyFont="1" applyAlignment="1">
      <alignment horizontal="left"/>
    </xf>
    <xf numFmtId="11" fontId="19" fillId="0" borderId="0" xfId="0" applyNumberFormat="1" applyFont="1" applyAlignment="1">
      <alignment horizontal="left"/>
    </xf>
    <xf numFmtId="4" fontId="19" fillId="0" borderId="0" xfId="0" applyNumberFormat="1" applyFont="1" applyAlignment="1">
      <alignment horizontal="right"/>
    </xf>
    <xf numFmtId="0" fontId="20" fillId="0" borderId="0" xfId="0" applyFont="1"/>
    <xf numFmtId="166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1" fontId="19" fillId="0" borderId="0" xfId="0" applyNumberFormat="1" applyFont="1" applyAlignment="1">
      <alignment horizontal="right"/>
    </xf>
    <xf numFmtId="4" fontId="20" fillId="0" borderId="0" xfId="0" applyNumberFormat="1" applyFont="1"/>
    <xf numFmtId="0" fontId="20" fillId="34" borderId="13" xfId="0" applyFont="1" applyFill="1" applyBorder="1"/>
    <xf numFmtId="4" fontId="20" fillId="34" borderId="13" xfId="0" applyNumberFormat="1" applyFont="1" applyFill="1" applyBorder="1"/>
    <xf numFmtId="0" fontId="20" fillId="35" borderId="13" xfId="0" applyFont="1" applyFill="1" applyBorder="1"/>
    <xf numFmtId="0" fontId="20" fillId="36" borderId="13" xfId="0" applyFont="1" applyFill="1" applyBorder="1"/>
    <xf numFmtId="11" fontId="20" fillId="36" borderId="13" xfId="0" applyNumberFormat="1" applyFont="1" applyFill="1" applyBorder="1"/>
    <xf numFmtId="11" fontId="20" fillId="37" borderId="13" xfId="0" applyNumberFormat="1" applyFont="1" applyFill="1" applyBorder="1"/>
    <xf numFmtId="11" fontId="19" fillId="38" borderId="13" xfId="0" applyNumberFormat="1" applyFont="1" applyFill="1" applyBorder="1" applyAlignment="1">
      <alignment horizontal="right"/>
    </xf>
    <xf numFmtId="11" fontId="20" fillId="38" borderId="13" xfId="0" applyNumberFormat="1" applyFont="1" applyFill="1" applyBorder="1"/>
    <xf numFmtId="0" fontId="20" fillId="39" borderId="13" xfId="0" applyFont="1" applyFill="1" applyBorder="1"/>
    <xf numFmtId="4" fontId="19" fillId="40" borderId="13" xfId="0" applyNumberFormat="1" applyFont="1" applyFill="1" applyBorder="1" applyAlignment="1">
      <alignment horizontal="right"/>
    </xf>
    <xf numFmtId="0" fontId="20" fillId="40" borderId="13" xfId="0" applyFont="1" applyFill="1" applyBorder="1"/>
    <xf numFmtId="11" fontId="20" fillId="40" borderId="13" xfId="0" applyNumberFormat="1" applyFont="1" applyFill="1" applyBorder="1"/>
    <xf numFmtId="11" fontId="0" fillId="0" borderId="0" xfId="0" applyNumberFormat="1"/>
    <xf numFmtId="0" fontId="20" fillId="34" borderId="14" xfId="0" applyFont="1" applyFill="1" applyBorder="1"/>
    <xf numFmtId="4" fontId="20" fillId="34" borderId="14" xfId="0" applyNumberFormat="1" applyFont="1" applyFill="1" applyBorder="1"/>
    <xf numFmtId="0" fontId="20" fillId="35" borderId="14" xfId="0" applyFont="1" applyFill="1" applyBorder="1"/>
    <xf numFmtId="0" fontId="20" fillId="36" borderId="14" xfId="0" applyFont="1" applyFill="1" applyBorder="1"/>
    <xf numFmtId="11" fontId="20" fillId="37" borderId="14" xfId="0" applyNumberFormat="1" applyFont="1" applyFill="1" applyBorder="1"/>
    <xf numFmtId="11" fontId="19" fillId="38" borderId="14" xfId="0" applyNumberFormat="1" applyFont="1" applyFill="1" applyBorder="1" applyAlignment="1">
      <alignment horizontal="right"/>
    </xf>
    <xf numFmtId="11" fontId="20" fillId="38" borderId="14" xfId="0" applyNumberFormat="1" applyFont="1" applyFill="1" applyBorder="1"/>
    <xf numFmtId="0" fontId="20" fillId="39" borderId="14" xfId="0" applyFont="1" applyFill="1" applyBorder="1"/>
    <xf numFmtId="4" fontId="19" fillId="40" borderId="14" xfId="0" applyNumberFormat="1" applyFont="1" applyFill="1" applyBorder="1" applyAlignment="1">
      <alignment horizontal="right"/>
    </xf>
    <xf numFmtId="0" fontId="20" fillId="40" borderId="14" xfId="0" applyFont="1" applyFill="1" applyBorder="1"/>
    <xf numFmtId="11" fontId="20" fillId="40" borderId="14" xfId="0" applyNumberFormat="1" applyFont="1" applyFill="1" applyBorder="1"/>
    <xf numFmtId="2" fontId="19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11" fontId="20" fillId="34" borderId="13" xfId="0" applyNumberFormat="1" applyFont="1" applyFill="1" applyBorder="1"/>
    <xf numFmtId="11" fontId="19" fillId="0" borderId="15" xfId="0" applyNumberFormat="1" applyFont="1" applyBorder="1" applyAlignment="1">
      <alignment horizontal="right"/>
    </xf>
    <xf numFmtId="164" fontId="20" fillId="0" borderId="0" xfId="42" applyNumberFormat="1" applyFont="1"/>
    <xf numFmtId="164" fontId="20" fillId="0" borderId="0" xfId="0" applyNumberFormat="1" applyFont="1"/>
    <xf numFmtId="3" fontId="19" fillId="0" borderId="0" xfId="0" applyNumberFormat="1" applyFont="1" applyAlignment="1">
      <alignment horizontal="right"/>
    </xf>
    <xf numFmtId="164" fontId="19" fillId="40" borderId="14" xfId="0" applyNumberFormat="1" applyFont="1" applyFill="1" applyBorder="1" applyAlignment="1">
      <alignment horizontal="right"/>
    </xf>
    <xf numFmtId="3" fontId="19" fillId="40" borderId="14" xfId="0" applyNumberFormat="1" applyFont="1" applyFill="1" applyBorder="1" applyAlignment="1">
      <alignment horizontal="right"/>
    </xf>
    <xf numFmtId="2" fontId="20" fillId="0" borderId="0" xfId="0" applyNumberFormat="1" applyFont="1" applyAlignment="1">
      <alignment horizontal="right"/>
    </xf>
    <xf numFmtId="2" fontId="20" fillId="0" borderId="0" xfId="0" applyNumberFormat="1" applyFont="1"/>
    <xf numFmtId="164" fontId="0" fillId="0" borderId="0" xfId="0" applyNumberFormat="1"/>
    <xf numFmtId="0" fontId="0" fillId="34" borderId="14" xfId="0" applyFill="1" applyBorder="1"/>
    <xf numFmtId="0" fontId="0" fillId="35" borderId="14" xfId="0" applyFill="1" applyBorder="1"/>
    <xf numFmtId="0" fontId="0" fillId="38" borderId="14" xfId="0" applyFill="1" applyBorder="1"/>
    <xf numFmtId="0" fontId="0" fillId="40" borderId="14" xfId="0" applyFill="1" applyBorder="1"/>
    <xf numFmtId="3" fontId="20" fillId="0" borderId="0" xfId="0" applyNumberFormat="1" applyFont="1"/>
    <xf numFmtId="167" fontId="20" fillId="0" borderId="0" xfId="0" applyNumberFormat="1" applyFont="1" applyAlignment="1">
      <alignment horizontal="right"/>
    </xf>
    <xf numFmtId="168" fontId="20" fillId="34" borderId="14" xfId="0" applyNumberFormat="1" applyFont="1" applyFill="1" applyBorder="1"/>
    <xf numFmtId="169" fontId="20" fillId="36" borderId="14" xfId="0" applyNumberFormat="1" applyFont="1" applyFill="1" applyBorder="1"/>
    <xf numFmtId="4" fontId="20" fillId="40" borderId="14" xfId="0" applyNumberFormat="1" applyFont="1" applyFill="1" applyBorder="1"/>
    <xf numFmtId="0" fontId="20" fillId="0" borderId="14" xfId="0" applyFont="1" applyBorder="1"/>
    <xf numFmtId="11" fontId="20" fillId="0" borderId="14" xfId="0" applyNumberFormat="1" applyFont="1" applyBorder="1"/>
    <xf numFmtId="4" fontId="20" fillId="0" borderId="14" xfId="0" applyNumberFormat="1" applyFont="1" applyBorder="1"/>
    <xf numFmtId="0" fontId="0" fillId="0" borderId="14" xfId="0" applyBorder="1"/>
    <xf numFmtId="0" fontId="0" fillId="0" borderId="10" xfId="0" quotePrefix="1" applyBorder="1"/>
    <xf numFmtId="164" fontId="19" fillId="0" borderId="10" xfId="0" quotePrefix="1" applyNumberFormat="1" applyFont="1" applyBorder="1" applyAlignment="1">
      <alignment horizontal="left"/>
    </xf>
    <xf numFmtId="0" fontId="24" fillId="0" borderId="10" xfId="0" applyFont="1" applyBorder="1"/>
    <xf numFmtId="11" fontId="26" fillId="0" borderId="0" xfId="0" applyNumberFormat="1" applyFont="1"/>
    <xf numFmtId="0" fontId="0" fillId="0" borderId="0" xfId="0" quotePrefix="1"/>
    <xf numFmtId="0" fontId="20" fillId="0" borderId="0" xfId="0" applyFont="1" applyAlignment="1">
      <alignment horizontal="center"/>
    </xf>
    <xf numFmtId="169" fontId="20" fillId="0" borderId="0" xfId="0" applyNumberFormat="1" applyFont="1"/>
    <xf numFmtId="0" fontId="20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AB-437C-8E6E-63461B78B32C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AB-437C-8E6E-63461B78B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'MFP-rsum'!$BF$2:$BF$41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91D-80DF-75BC4D183C63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('MFP-rsum'!$BF$26:$BF$27,'MFP-rsum'!$BF$29:$BF$30,'MFP-rsum'!$BF$36:$BF$40)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A8-491D-80DF-75BC4D18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D-41EA-B8A0-659E59A257DD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D-41EA-B8A0-659E59A2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1-4AB8-92BA-233F0FC6BE98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1-4AB8-92BA-233F0FC6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'MFP-rsum'!$BF$2:$BF$41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474-BA35-075991BE6DA5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('MFP-rsum'!$BF$26:$BF$27,'MFP-rsum'!$BF$29:$BF$30,'MFP-rsum'!$BF$36:$BF$40)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474-BA35-075991BE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A-4654-A131-698FC0C19D24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A-4654-A131-698FC0C1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'MFP-rsum'!$V$2:$V$41</c:f>
              <c:numCache>
                <c:formatCode>0.00E+00</c:formatCode>
                <c:ptCount val="40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1">
                  <c:v>2.9788000000000001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1">
                  <c:v>2.5428999999999999</c:v>
                </c:pt>
                <c:pt idx="32">
                  <c:v>2.8291599999999995</c:v>
                </c:pt>
                <c:pt idx="33">
                  <c:v>2.194</c:v>
                </c:pt>
                <c:pt idx="34">
                  <c:v>2.8818000000000001</c:v>
                </c:pt>
                <c:pt idx="35">
                  <c:v>2.8778800000000002</c:v>
                </c:pt>
                <c:pt idx="36">
                  <c:v>3.0851800000000003</c:v>
                </c:pt>
                <c:pt idx="37">
                  <c:v>3.2822400000000003</c:v>
                </c:pt>
                <c:pt idx="38">
                  <c:v>3.4792999999999994</c:v>
                </c:pt>
                <c:pt idx="39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1-4CB5-B362-EEBC138E8B00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('MFP-rsum'!$V$26:$V$27,'MFP-rsum'!$V$29:$V$30,'MFP-rsum'!$V$36:$V$40)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F1-4CB5-B362-EEBC138E8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'MFP-rsum'!$BG$2:$BG$41</c:f>
              <c:numCache>
                <c:formatCode>0.00E+00</c:formatCode>
                <c:ptCount val="40"/>
                <c:pt idx="0">
                  <c:v>1.1518926760563384</c:v>
                </c:pt>
                <c:pt idx="1">
                  <c:v>0.67778749999999999</c:v>
                </c:pt>
                <c:pt idx="2">
                  <c:v>0.39972750000000007</c:v>
                </c:pt>
                <c:pt idx="3">
                  <c:v>0.34271092436974793</c:v>
                </c:pt>
                <c:pt idx="4">
                  <c:v>0.301421612691466</c:v>
                </c:pt>
                <c:pt idx="5">
                  <c:v>0.46955282968415579</c:v>
                </c:pt>
                <c:pt idx="6">
                  <c:v>0.32243028313413014</c:v>
                </c:pt>
                <c:pt idx="7">
                  <c:v>0.24068948075348068</c:v>
                </c:pt>
                <c:pt idx="8">
                  <c:v>0.93313175000000004</c:v>
                </c:pt>
                <c:pt idx="9">
                  <c:v>0.80730208087671307</c:v>
                </c:pt>
                <c:pt idx="10">
                  <c:v>0.55121026994994238</c:v>
                </c:pt>
                <c:pt idx="11">
                  <c:v>0.38234418891071892</c:v>
                </c:pt>
                <c:pt idx="12">
                  <c:v>0.34222598186733888</c:v>
                </c:pt>
                <c:pt idx="13">
                  <c:v>0.39833903873250681</c:v>
                </c:pt>
                <c:pt idx="14">
                  <c:v>0.33711780852199386</c:v>
                </c:pt>
                <c:pt idx="15">
                  <c:v>0.63290221625251841</c:v>
                </c:pt>
                <c:pt idx="16">
                  <c:v>0.4607564927857935</c:v>
                </c:pt>
                <c:pt idx="17">
                  <c:v>0.48708757669995822</c:v>
                </c:pt>
                <c:pt idx="18">
                  <c:v>0.45461357386269008</c:v>
                </c:pt>
                <c:pt idx="19">
                  <c:v>0.38073015787085324</c:v>
                </c:pt>
                <c:pt idx="20">
                  <c:v>0.2489564819205321</c:v>
                </c:pt>
                <c:pt idx="21">
                  <c:v>0.33612940298277016</c:v>
                </c:pt>
                <c:pt idx="22">
                  <c:v>1.1014048595585626</c:v>
                </c:pt>
                <c:pt idx="23">
                  <c:v>0.68470603255856344</c:v>
                </c:pt>
                <c:pt idx="24">
                  <c:v>0.7665996750513322</c:v>
                </c:pt>
                <c:pt idx="25">
                  <c:v>1.0070070932608983</c:v>
                </c:pt>
                <c:pt idx="26">
                  <c:v>1.1282080942364856</c:v>
                </c:pt>
                <c:pt idx="27">
                  <c:v>1.0786052187787996</c:v>
                </c:pt>
                <c:pt idx="28">
                  <c:v>1.0349189533056169</c:v>
                </c:pt>
                <c:pt idx="29">
                  <c:v>0.34851316317353825</c:v>
                </c:pt>
                <c:pt idx="30">
                  <c:v>0.37827811192374966</c:v>
                </c:pt>
                <c:pt idx="31">
                  <c:v>0.52269864642849884</c:v>
                </c:pt>
                <c:pt idx="32">
                  <c:v>0.43409309762372345</c:v>
                </c:pt>
                <c:pt idx="33">
                  <c:v>0.96352777458242056</c:v>
                </c:pt>
                <c:pt idx="34">
                  <c:v>0.31304602622672262</c:v>
                </c:pt>
                <c:pt idx="35">
                  <c:v>0.31611417205960979</c:v>
                </c:pt>
                <c:pt idx="36">
                  <c:v>0.44777593555136702</c:v>
                </c:pt>
                <c:pt idx="37">
                  <c:v>0.43226765885674451</c:v>
                </c:pt>
                <c:pt idx="38">
                  <c:v>0.42224348610504159</c:v>
                </c:pt>
                <c:pt idx="39">
                  <c:v>0.58689311875693662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0-4B8D-AD0F-8E3C9EC90649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('MFP-rsum'!$BG$26:$BG$27,'MFP-rsum'!$BG$29:$BG$30,'MFP-rsum'!$BG$36:$BG$40)</c:f>
              <c:numCache>
                <c:formatCode>0.00E+00</c:formatCode>
                <c:ptCount val="9"/>
                <c:pt idx="0">
                  <c:v>0.7665996750513322</c:v>
                </c:pt>
                <c:pt idx="1">
                  <c:v>1.0070070932608983</c:v>
                </c:pt>
                <c:pt idx="2">
                  <c:v>1.0786052187787996</c:v>
                </c:pt>
                <c:pt idx="3">
                  <c:v>1.0349189533056169</c:v>
                </c:pt>
                <c:pt idx="4">
                  <c:v>0.31304602622672262</c:v>
                </c:pt>
                <c:pt idx="5">
                  <c:v>0.31611417205960979</c:v>
                </c:pt>
                <c:pt idx="6">
                  <c:v>0.44777593555136702</c:v>
                </c:pt>
                <c:pt idx="7">
                  <c:v>0.43226765885674451</c:v>
                </c:pt>
                <c:pt idx="8">
                  <c:v>0.42224348610504159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0-4B8D-AD0F-8E3C9EC9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Figs!$Z$36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1-45DB-9ABB-69DFA17129A3}"/>
            </c:ext>
          </c:extLst>
        </c:ser>
        <c:ser>
          <c:idx val="3"/>
          <c:order val="1"/>
          <c:tx>
            <c:strRef>
              <c:f>Figs!$Z$37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1-45DB-9ABB-69DFA1712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'MFP-rsum'!$BL$1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'MFP-rsum'!$BB$2:$BB$40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'MFP-rsum'!$BL$2:$BL$40</c:f>
              <c:numCache>
                <c:formatCode>General</c:formatCode>
                <c:ptCount val="39"/>
                <c:pt idx="0">
                  <c:v>0.18359155823693674</c:v>
                </c:pt>
                <c:pt idx="1">
                  <c:v>9.0302439960087036E-2</c:v>
                </c:pt>
                <c:pt idx="2">
                  <c:v>7.3380350272217579E-2</c:v>
                </c:pt>
                <c:pt idx="5">
                  <c:v>0.16239624441768419</c:v>
                </c:pt>
                <c:pt idx="6">
                  <c:v>6.7683997594717285E-2</c:v>
                </c:pt>
                <c:pt idx="7">
                  <c:v>5.0769063095053003E-2</c:v>
                </c:pt>
                <c:pt idx="12">
                  <c:v>6.72602696650733E-2</c:v>
                </c:pt>
                <c:pt idx="13">
                  <c:v>5.2997584236910769E-2</c:v>
                </c:pt>
                <c:pt idx="14">
                  <c:v>3.7758314836526127E-2</c:v>
                </c:pt>
                <c:pt idx="22">
                  <c:v>0.1785199095266308</c:v>
                </c:pt>
                <c:pt idx="23">
                  <c:v>0.10508821540807349</c:v>
                </c:pt>
                <c:pt idx="24">
                  <c:v>0.141540289353702</c:v>
                </c:pt>
                <c:pt idx="25">
                  <c:v>0.16295727071338706</c:v>
                </c:pt>
                <c:pt idx="26">
                  <c:v>0.18091803666061451</c:v>
                </c:pt>
                <c:pt idx="27">
                  <c:v>0.1769586974786227</c:v>
                </c:pt>
                <c:pt idx="28">
                  <c:v>0.17316894493952442</c:v>
                </c:pt>
                <c:pt idx="31">
                  <c:v>7.8763200412624287E-2</c:v>
                </c:pt>
                <c:pt idx="33">
                  <c:v>0.1278062721294666</c:v>
                </c:pt>
                <c:pt idx="34">
                  <c:v>4.5645438184397667E-2</c:v>
                </c:pt>
                <c:pt idx="35">
                  <c:v>4.674084688967485E-2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F-476B-B8BE-D1F2BB86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E9-4339-AE50-184E729A6080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0E9-4339-AE50-184E729A6080}"/>
            </c:ext>
          </c:extLst>
        </c:ser>
        <c:ser>
          <c:idx val="1"/>
          <c:order val="1"/>
          <c:tx>
            <c:strRef>
              <c:f>Figs!$X$36</c:f>
              <c:strCache>
                <c:ptCount val="1"/>
                <c:pt idx="0">
                  <c:v>Gheribi; 11.8%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Figs!$AH$16:$AH$30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Figs!$V$16:$V$30</c:f>
              <c:numCache>
                <c:formatCode>General</c:formatCode>
                <c:ptCount val="15"/>
                <c:pt idx="0">
                  <c:v>0.99333380791119696</c:v>
                </c:pt>
                <c:pt idx="1">
                  <c:v>0.98447068021154305</c:v>
                </c:pt>
                <c:pt idx="2">
                  <c:v>0.64214260840362103</c:v>
                </c:pt>
                <c:pt idx="3">
                  <c:v>0.69317885535811896</c:v>
                </c:pt>
                <c:pt idx="4">
                  <c:v>0.39011154382422603</c:v>
                </c:pt>
                <c:pt idx="5">
                  <c:v>0.56448951322319196</c:v>
                </c:pt>
                <c:pt idx="6">
                  <c:v>0.66793180176935196</c:v>
                </c:pt>
                <c:pt idx="7">
                  <c:v>0.466842165145266</c:v>
                </c:pt>
                <c:pt idx="8">
                  <c:v>0.37249183936476299</c:v>
                </c:pt>
                <c:pt idx="9">
                  <c:v>1.3498414938304</c:v>
                </c:pt>
                <c:pt idx="10">
                  <c:v>0.83980660523057205</c:v>
                </c:pt>
                <c:pt idx="11">
                  <c:v>0.58268227937308503</c:v>
                </c:pt>
                <c:pt idx="12">
                  <c:v>0.43829220310135403</c:v>
                </c:pt>
                <c:pt idx="13">
                  <c:v>0.76680974617502995</c:v>
                </c:pt>
                <c:pt idx="14">
                  <c:v>0.53209375499864198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E9-4339-AE50-184E729A6080}"/>
            </c:ext>
          </c:extLst>
        </c:ser>
        <c:ser>
          <c:idx val="4"/>
          <c:order val="2"/>
          <c:tx>
            <c:strRef>
              <c:f>Figs!$X$37</c:f>
              <c:strCache>
                <c:ptCount val="1"/>
                <c:pt idx="0">
                  <c:v>Zhao; 33.1%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Figs!$Y$16:$Y$30</c:f>
              <c:numCache>
                <c:formatCode>General</c:formatCode>
                <c:ptCount val="15"/>
                <c:pt idx="0">
                  <c:v>0.77570441935694301</c:v>
                </c:pt>
                <c:pt idx="1">
                  <c:v>0.74095938136264805</c:v>
                </c:pt>
                <c:pt idx="2">
                  <c:v>0.46849389713973499</c:v>
                </c:pt>
                <c:pt idx="3">
                  <c:v>0.64594060152309996</c:v>
                </c:pt>
                <c:pt idx="4">
                  <c:v>0.33784078052696798</c:v>
                </c:pt>
                <c:pt idx="5">
                  <c:v>0.47418605647421902</c:v>
                </c:pt>
                <c:pt idx="6">
                  <c:v>0.38684120382342102</c:v>
                </c:pt>
                <c:pt idx="7">
                  <c:v>0.28504924771650703</c:v>
                </c:pt>
                <c:pt idx="8">
                  <c:v>0.25964866776244899</c:v>
                </c:pt>
                <c:pt idx="9">
                  <c:v>0.80194503019063301</c:v>
                </c:pt>
                <c:pt idx="10">
                  <c:v>0.52656452655946195</c:v>
                </c:pt>
                <c:pt idx="11">
                  <c:v>0.36409719101091298</c:v>
                </c:pt>
                <c:pt idx="12">
                  <c:v>0.28861057804145501</c:v>
                </c:pt>
                <c:pt idx="13">
                  <c:v>0.54942631142670295</c:v>
                </c:pt>
                <c:pt idx="14">
                  <c:v>0.427744101475241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E9-4339-AE50-184E729A6080}"/>
            </c:ext>
          </c:extLst>
        </c:ser>
        <c:ser>
          <c:idx val="7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0E9-4339-AE50-184E729A6080}"/>
            </c:ext>
          </c:extLst>
        </c:ser>
        <c:ser>
          <c:idx val="2"/>
          <c:order val="4"/>
          <c:tx>
            <c:strRef>
              <c:f>Figs!$X$38</c:f>
              <c:strCache>
                <c:ptCount val="1"/>
                <c:pt idx="0">
                  <c:v>Gheribi; 55.7%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Figs!$AH$6:$AH$15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Figs!$V$6:$V$15</c:f>
              <c:numCache>
                <c:formatCode>General</c:formatCode>
                <c:ptCount val="10"/>
                <c:pt idx="0">
                  <c:v>0.67741220740497099</c:v>
                </c:pt>
                <c:pt idx="1">
                  <c:v>0.55550594201447301</c:v>
                </c:pt>
                <c:pt idx="2">
                  <c:v>0.112148952119888</c:v>
                </c:pt>
                <c:pt idx="3">
                  <c:v>0.105408277874666</c:v>
                </c:pt>
                <c:pt idx="4">
                  <c:v>0.46141777072929802</c:v>
                </c:pt>
                <c:pt idx="5">
                  <c:v>0.10753765071044399</c:v>
                </c:pt>
                <c:pt idx="6">
                  <c:v>0.14300503155139799</c:v>
                </c:pt>
                <c:pt idx="7">
                  <c:v>0.151181269098529</c:v>
                </c:pt>
                <c:pt idx="8">
                  <c:v>0.16870277158194399</c:v>
                </c:pt>
                <c:pt idx="9">
                  <c:v>0.46141777072929802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E9-4339-AE50-184E729A6080}"/>
            </c:ext>
          </c:extLst>
        </c:ser>
        <c:ser>
          <c:idx val="3"/>
          <c:order val="5"/>
          <c:tx>
            <c:strRef>
              <c:f>Figs!$X$39</c:f>
              <c:strCache>
                <c:ptCount val="1"/>
                <c:pt idx="0">
                  <c:v>Zhao; 28.7%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Figs!$AH$6:$AH$15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Figs!$Y$6:$Y$15</c:f>
              <c:numCache>
                <c:formatCode>General</c:formatCode>
                <c:ptCount val="10"/>
                <c:pt idx="0">
                  <c:v>0.74096562545436895</c:v>
                </c:pt>
                <c:pt idx="1">
                  <c:v>0.72228652104409496</c:v>
                </c:pt>
                <c:pt idx="2">
                  <c:v>0.29987597191156701</c:v>
                </c:pt>
                <c:pt idx="3">
                  <c:v>0.29112922787240902</c:v>
                </c:pt>
                <c:pt idx="4">
                  <c:v>0.71241195168460603</c:v>
                </c:pt>
                <c:pt idx="5">
                  <c:v>0.58317546813700505</c:v>
                </c:pt>
                <c:pt idx="6">
                  <c:v>0.35966985442212901</c:v>
                </c:pt>
                <c:pt idx="7">
                  <c:v>0.33864101447663503</c:v>
                </c:pt>
                <c:pt idx="8">
                  <c:v>0.328531464474764</c:v>
                </c:pt>
                <c:pt idx="9">
                  <c:v>0.71241195168460603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E9-4339-AE50-184E729A6080}"/>
            </c:ext>
          </c:extLst>
        </c:ser>
        <c:ser>
          <c:idx val="5"/>
          <c:order val="6"/>
          <c:tx>
            <c:v>Positive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1.1499999999999999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0E9-4339-AE50-184E729A6080}"/>
            </c:ext>
          </c:extLst>
        </c:ser>
        <c:ser>
          <c:idx val="6"/>
          <c:order val="7"/>
          <c:tx>
            <c:v>Negative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0E9-4339-AE50-184E729A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4406014149742116"/>
          <c:y val="0.10110590315835105"/>
          <c:w val="0.32810498687664041"/>
          <c:h val="0.244564146339455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0"/>
          <c:order val="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1-4320-9E68-4C05B6A2DA57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CE1-4320-9E68-4C05B6A2DA57}"/>
            </c:ext>
          </c:extLst>
        </c:ser>
        <c:ser>
          <c:idx val="1"/>
          <c:order val="1"/>
          <c:tx>
            <c:strRef>
              <c:f>'Fig1_Fig2 (2)'!$X$36</c:f>
              <c:strCache>
                <c:ptCount val="1"/>
                <c:pt idx="0">
                  <c:v>Gheribi; 11.8%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(2)'!$V$16:$V$30</c:f>
              <c:numCache>
                <c:formatCode>General</c:formatCode>
                <c:ptCount val="15"/>
                <c:pt idx="0">
                  <c:v>0.99333380791119696</c:v>
                </c:pt>
                <c:pt idx="1">
                  <c:v>0.98447068021154305</c:v>
                </c:pt>
                <c:pt idx="2">
                  <c:v>0.64214260840362103</c:v>
                </c:pt>
                <c:pt idx="3">
                  <c:v>0.69317885535811896</c:v>
                </c:pt>
                <c:pt idx="4">
                  <c:v>0.39011154382422603</c:v>
                </c:pt>
                <c:pt idx="5">
                  <c:v>0.56448951322319196</c:v>
                </c:pt>
                <c:pt idx="6">
                  <c:v>0.66793180176935196</c:v>
                </c:pt>
                <c:pt idx="7">
                  <c:v>0.466842165145266</c:v>
                </c:pt>
                <c:pt idx="8">
                  <c:v>0.37249183936476299</c:v>
                </c:pt>
                <c:pt idx="9">
                  <c:v>1.3498414938304</c:v>
                </c:pt>
                <c:pt idx="10">
                  <c:v>0.83980660523057205</c:v>
                </c:pt>
                <c:pt idx="11">
                  <c:v>0.58268227937308503</c:v>
                </c:pt>
                <c:pt idx="12">
                  <c:v>0.43829220310135403</c:v>
                </c:pt>
                <c:pt idx="13">
                  <c:v>0.76680974617502995</c:v>
                </c:pt>
                <c:pt idx="14">
                  <c:v>0.53209375499864198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E1-4320-9E68-4C05B6A2DA57}"/>
            </c:ext>
          </c:extLst>
        </c:ser>
        <c:ser>
          <c:idx val="4"/>
          <c:order val="2"/>
          <c:tx>
            <c:strRef>
              <c:f>'Fig1_Fig2 (2)'!$X$37</c:f>
              <c:strCache>
                <c:ptCount val="1"/>
                <c:pt idx="0">
                  <c:v>Zhao; 33.1%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(2)'!$AH$16:$AH$30</c:f>
              <c:numCache>
                <c:formatCode>General</c:formatCode>
                <c:ptCount val="15"/>
                <c:pt idx="0">
                  <c:v>0.90656933088322</c:v>
                </c:pt>
                <c:pt idx="1">
                  <c:v>0.91150467825412496</c:v>
                </c:pt>
                <c:pt idx="2">
                  <c:v>0.7</c:v>
                </c:pt>
                <c:pt idx="3">
                  <c:v>0.79004699038973603</c:v>
                </c:pt>
                <c:pt idx="4">
                  <c:v>0.47124631205523398</c:v>
                </c:pt>
                <c:pt idx="5">
                  <c:v>0.76602038472580902</c:v>
                </c:pt>
                <c:pt idx="6">
                  <c:v>0.65551426087602205</c:v>
                </c:pt>
                <c:pt idx="7">
                  <c:v>0.52636070227842102</c:v>
                </c:pt>
                <c:pt idx="8">
                  <c:v>0.36749821512915098</c:v>
                </c:pt>
                <c:pt idx="9">
                  <c:v>1.2596773073498</c:v>
                </c:pt>
                <c:pt idx="10">
                  <c:v>1.17915204552163</c:v>
                </c:pt>
                <c:pt idx="11">
                  <c:v>0.62277172330456099</c:v>
                </c:pt>
                <c:pt idx="12">
                  <c:v>0.54390685781354797</c:v>
                </c:pt>
                <c:pt idx="13">
                  <c:v>0.70228664735933899</c:v>
                </c:pt>
                <c:pt idx="14">
                  <c:v>0.59290478268263602</c:v>
                </c:pt>
              </c:numCache>
            </c:numRef>
          </c:xVal>
          <c:yVal>
            <c:numRef>
              <c:f>'Fig1_Fig2 (2)'!$Y$16:$Y$30</c:f>
              <c:numCache>
                <c:formatCode>General</c:formatCode>
                <c:ptCount val="15"/>
                <c:pt idx="0">
                  <c:v>0.77570441935694301</c:v>
                </c:pt>
                <c:pt idx="1">
                  <c:v>0.74095938136264805</c:v>
                </c:pt>
                <c:pt idx="2">
                  <c:v>0.46849389713973499</c:v>
                </c:pt>
                <c:pt idx="3">
                  <c:v>0.64594060152309996</c:v>
                </c:pt>
                <c:pt idx="4">
                  <c:v>0.33784078052696798</c:v>
                </c:pt>
                <c:pt idx="5">
                  <c:v>0.47418605647421902</c:v>
                </c:pt>
                <c:pt idx="6">
                  <c:v>0.38684120382342102</c:v>
                </c:pt>
                <c:pt idx="7">
                  <c:v>0.28504924771650703</c:v>
                </c:pt>
                <c:pt idx="8">
                  <c:v>0.25964866776244899</c:v>
                </c:pt>
                <c:pt idx="9">
                  <c:v>0.80194503019063301</c:v>
                </c:pt>
                <c:pt idx="10">
                  <c:v>0.52656452655946195</c:v>
                </c:pt>
                <c:pt idx="11">
                  <c:v>0.36409719101091298</c:v>
                </c:pt>
                <c:pt idx="12">
                  <c:v>0.28861057804145501</c:v>
                </c:pt>
                <c:pt idx="13">
                  <c:v>0.54942631142670295</c:v>
                </c:pt>
                <c:pt idx="14">
                  <c:v>0.427744101475241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E1-4320-9E68-4C05B6A2DA57}"/>
            </c:ext>
          </c:extLst>
        </c:ser>
        <c:ser>
          <c:idx val="7"/>
          <c:order val="3"/>
          <c:tx>
            <c:v> 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CE1-4320-9E68-4C05B6A2DA57}"/>
            </c:ext>
          </c:extLst>
        </c:ser>
        <c:ser>
          <c:idx val="2"/>
          <c:order val="4"/>
          <c:tx>
            <c:strRef>
              <c:f>'Fig1_Fig2 (2)'!$X$38</c:f>
              <c:strCache>
                <c:ptCount val="1"/>
                <c:pt idx="0">
                  <c:v>Gheribi; 55.7%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(2)'!$V$6:$V$15</c:f>
              <c:numCache>
                <c:formatCode>General</c:formatCode>
                <c:ptCount val="10"/>
                <c:pt idx="0">
                  <c:v>0.67741220740497099</c:v>
                </c:pt>
                <c:pt idx="1">
                  <c:v>0.55550594201447301</c:v>
                </c:pt>
                <c:pt idx="2">
                  <c:v>0.112148952119888</c:v>
                </c:pt>
                <c:pt idx="3">
                  <c:v>0.105408277874666</c:v>
                </c:pt>
                <c:pt idx="4">
                  <c:v>0.46141777072929802</c:v>
                </c:pt>
                <c:pt idx="5">
                  <c:v>0.10753765071044399</c:v>
                </c:pt>
                <c:pt idx="6">
                  <c:v>0.14300503155139799</c:v>
                </c:pt>
                <c:pt idx="7">
                  <c:v>0.151181269098529</c:v>
                </c:pt>
                <c:pt idx="8">
                  <c:v>0.16870277158194399</c:v>
                </c:pt>
                <c:pt idx="9">
                  <c:v>0.46141777072929802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E1-4320-9E68-4C05B6A2DA57}"/>
            </c:ext>
          </c:extLst>
        </c:ser>
        <c:ser>
          <c:idx val="3"/>
          <c:order val="5"/>
          <c:tx>
            <c:strRef>
              <c:f>'Fig1_Fig2 (2)'!$X$39</c:f>
              <c:strCache>
                <c:ptCount val="1"/>
                <c:pt idx="0">
                  <c:v>Zhao; 28.7% MAE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'Fig1_Fig2 (2)'!$AH$6:$AH$15</c:f>
              <c:numCache>
                <c:formatCode>General</c:formatCode>
                <c:ptCount val="10"/>
                <c:pt idx="0">
                  <c:v>0.76966314939120895</c:v>
                </c:pt>
                <c:pt idx="1">
                  <c:v>0.71518307597979902</c:v>
                </c:pt>
                <c:pt idx="2">
                  <c:v>0.25012654659262501</c:v>
                </c:pt>
                <c:pt idx="3">
                  <c:v>0.206944273557648</c:v>
                </c:pt>
                <c:pt idx="4">
                  <c:v>1.2506480602355801</c:v>
                </c:pt>
                <c:pt idx="5">
                  <c:v>1.26490788750189</c:v>
                </c:pt>
                <c:pt idx="6">
                  <c:v>0.519012345679012</c:v>
                </c:pt>
                <c:pt idx="7">
                  <c:v>0.50823423423423297</c:v>
                </c:pt>
                <c:pt idx="8">
                  <c:v>0.40028571428571402</c:v>
                </c:pt>
                <c:pt idx="9">
                  <c:v>1.2506480602355801</c:v>
                </c:pt>
              </c:numCache>
            </c:numRef>
          </c:xVal>
          <c:yVal>
            <c:numRef>
              <c:f>'Fig1_Fig2 (2)'!$Y$6:$Y$15</c:f>
              <c:numCache>
                <c:formatCode>General</c:formatCode>
                <c:ptCount val="10"/>
                <c:pt idx="0">
                  <c:v>0.74096562545436895</c:v>
                </c:pt>
                <c:pt idx="1">
                  <c:v>0.72228652104409496</c:v>
                </c:pt>
                <c:pt idx="2">
                  <c:v>0.29987597191156701</c:v>
                </c:pt>
                <c:pt idx="3">
                  <c:v>0.29112922787240902</c:v>
                </c:pt>
                <c:pt idx="4">
                  <c:v>0.71241195168460603</c:v>
                </c:pt>
                <c:pt idx="5">
                  <c:v>0.58317546813700505</c:v>
                </c:pt>
                <c:pt idx="6">
                  <c:v>0.35966985442212901</c:v>
                </c:pt>
                <c:pt idx="7">
                  <c:v>0.33864101447663503</c:v>
                </c:pt>
                <c:pt idx="8">
                  <c:v>0.328531464474764</c:v>
                </c:pt>
                <c:pt idx="9">
                  <c:v>0.71241195168460603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E1-4320-9E68-4C05B6A2DA57}"/>
            </c:ext>
          </c:extLst>
        </c:ser>
        <c:ser>
          <c:idx val="5"/>
          <c:order val="6"/>
          <c:tx>
            <c:v>Positive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1.1499999999999999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CE1-4320-9E68-4C05B6A2DA57}"/>
            </c:ext>
          </c:extLst>
        </c:ser>
        <c:ser>
          <c:idx val="6"/>
          <c:order val="7"/>
          <c:tx>
            <c:v>Negative Deviation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CE1-4320-9E68-4C05B6A2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Predicted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70312045124E-2"/>
              <c:y val="0.27736416464973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4406014149742116"/>
          <c:y val="0.10110590315835105"/>
          <c:w val="0.32810498687664041"/>
          <c:h val="0.2445641463394550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3-465D-B539-257DCB6516AC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43-465D-B539-257DCB65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496771480666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'MFP-rsum'!$BF$2:$BF$41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63-42CE-9489-8107EB19CBE7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('MFP-rsum'!$BF$26:$BF$27,'MFP-rsum'!$BF$29:$BF$30,'MFP-rsum'!$BF$36:$BF$40)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3-42CE-9489-8107EB19C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 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 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4-454E-83A6-19657BE2A91E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4-454E-83A6-19657BE2A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0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κ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PGM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8433586921347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9889763779527558E-2"/>
                  <c:y val="5.87034705519237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'MFP-rsum'!$T$2:$T$41</c:f>
              <c:numCache>
                <c:formatCode>0.00E+00</c:formatCode>
                <c:ptCount val="40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  <c:pt idx="21">
                  <c:v>2.9788000000000001E-10</c:v>
                </c:pt>
                <c:pt idx="22">
                  <c:v>1.9472000000000003E-10</c:v>
                </c:pt>
                <c:pt idx="23">
                  <c:v>2.3803E-10</c:v>
                </c:pt>
                <c:pt idx="24">
                  <c:v>2.0225E-10</c:v>
                </c:pt>
                <c:pt idx="25">
                  <c:v>1.9924399999999998E-10</c:v>
                </c:pt>
                <c:pt idx="26">
                  <c:v>1.9765999999999999E-10</c:v>
                </c:pt>
                <c:pt idx="27">
                  <c:v>1.9799999999999999E-10</c:v>
                </c:pt>
                <c:pt idx="28">
                  <c:v>1.9834000000000001E-10</c:v>
                </c:pt>
                <c:pt idx="29">
                  <c:v>2.7411999999999998E-10</c:v>
                </c:pt>
                <c:pt idx="30">
                  <c:v>2.9247459999999999E-10</c:v>
                </c:pt>
                <c:pt idx="31">
                  <c:v>2.5429000000000001E-10</c:v>
                </c:pt>
                <c:pt idx="32">
                  <c:v>2.8291599999999996E-10</c:v>
                </c:pt>
                <c:pt idx="33">
                  <c:v>2.1940000000000001E-10</c:v>
                </c:pt>
                <c:pt idx="34">
                  <c:v>2.8818000000000003E-10</c:v>
                </c:pt>
                <c:pt idx="35">
                  <c:v>2.8778800000000003E-10</c:v>
                </c:pt>
                <c:pt idx="36">
                  <c:v>3.0851800000000002E-10</c:v>
                </c:pt>
                <c:pt idx="37">
                  <c:v>3.2822400000000001E-10</c:v>
                </c:pt>
                <c:pt idx="38">
                  <c:v>3.4792999999999996E-10</c:v>
                </c:pt>
                <c:pt idx="39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1-45E2-9F21-7EAE5C046FD3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('MFP-rsum'!$T$26:$T$27,'MFP-rsum'!$T$29:$T$30,'MFP-rsum'!$T$36:$T$40)</c:f>
              <c:numCache>
                <c:formatCode>0.00E+00</c:formatCode>
                <c:ptCount val="9"/>
                <c:pt idx="0">
                  <c:v>2.0225E-10</c:v>
                </c:pt>
                <c:pt idx="1">
                  <c:v>1.9924399999999998E-10</c:v>
                </c:pt>
                <c:pt idx="2">
                  <c:v>1.9799999999999999E-10</c:v>
                </c:pt>
                <c:pt idx="3">
                  <c:v>1.9834000000000001E-10</c:v>
                </c:pt>
                <c:pt idx="4">
                  <c:v>2.8818000000000003E-10</c:v>
                </c:pt>
                <c:pt idx="5">
                  <c:v>2.8778800000000003E-10</c:v>
                </c:pt>
                <c:pt idx="6">
                  <c:v>3.0851800000000002E-10</c:v>
                </c:pt>
                <c:pt idx="7">
                  <c:v>3.2822400000000001E-10</c:v>
                </c:pt>
                <c:pt idx="8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1-45E2-9F21-7EAE5C04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d</a:t>
                </a:r>
                <a:r>
                  <a:rPr lang="en-US" sz="1200" b="1" baseline="-25000"/>
                  <a:t>avg</a:t>
                </a:r>
                <a:r>
                  <a:rPr lang="en-US" sz="1200" b="1"/>
                  <a:t> [m]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496786729661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.0000000000000024E-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'MFP-rsum'!$BF$2:$BF$41</c:f>
              <c:numCache>
                <c:formatCode>0.00E+00</c:formatCode>
                <c:ptCount val="40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  <c:pt idx="21">
                  <c:v>3361294029.8277016</c:v>
                </c:pt>
                <c:pt idx="22">
                  <c:v>11014048595.585625</c:v>
                </c:pt>
                <c:pt idx="23">
                  <c:v>6847060325.5856342</c:v>
                </c:pt>
                <c:pt idx="24">
                  <c:v>7665996750.5133219</c:v>
                </c:pt>
                <c:pt idx="25">
                  <c:v>10070070932.608982</c:v>
                </c:pt>
                <c:pt idx="26">
                  <c:v>11282080942.364857</c:v>
                </c:pt>
                <c:pt idx="27">
                  <c:v>10786052187.787994</c:v>
                </c:pt>
                <c:pt idx="28">
                  <c:v>10349189533.056168</c:v>
                </c:pt>
                <c:pt idx="29">
                  <c:v>3485131631.7353826</c:v>
                </c:pt>
                <c:pt idx="30">
                  <c:v>3782781119.2374964</c:v>
                </c:pt>
                <c:pt idx="31">
                  <c:v>5226986464.2849884</c:v>
                </c:pt>
                <c:pt idx="32">
                  <c:v>4340930976.2372341</c:v>
                </c:pt>
                <c:pt idx="33">
                  <c:v>9635277745.8242054</c:v>
                </c:pt>
                <c:pt idx="34">
                  <c:v>3130460262.2672262</c:v>
                </c:pt>
                <c:pt idx="35">
                  <c:v>3161141720.5960979</c:v>
                </c:pt>
                <c:pt idx="36">
                  <c:v>4477759355.51367</c:v>
                </c:pt>
                <c:pt idx="37">
                  <c:v>4322676588.5674448</c:v>
                </c:pt>
                <c:pt idx="38">
                  <c:v>4222434861.0504155</c:v>
                </c:pt>
                <c:pt idx="39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5-4A55-BECC-B97C8D13B3D8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('MFP-rsum'!$BF$26:$BF$27,'MFP-rsum'!$BF$29:$BF$30,'MFP-rsum'!$BF$36:$BF$40)</c:f>
              <c:numCache>
                <c:formatCode>0.00E+00</c:formatCode>
                <c:ptCount val="9"/>
                <c:pt idx="0">
                  <c:v>7665996750.5133219</c:v>
                </c:pt>
                <c:pt idx="1">
                  <c:v>10070070932.608982</c:v>
                </c:pt>
                <c:pt idx="2">
                  <c:v>10786052187.787994</c:v>
                </c:pt>
                <c:pt idx="3">
                  <c:v>10349189533.056168</c:v>
                </c:pt>
                <c:pt idx="4">
                  <c:v>3130460262.2672262</c:v>
                </c:pt>
                <c:pt idx="5">
                  <c:v>3161141720.5960979</c:v>
                </c:pt>
                <c:pt idx="6">
                  <c:v>4477759355.51367</c:v>
                </c:pt>
                <c:pt idx="7">
                  <c:v>4322676588.5674448</c:v>
                </c:pt>
                <c:pt idx="8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05-4A55-BECC-B97C8D13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</a:t>
                </a:r>
                <a:r>
                  <a:rPr lang="en-US" sz="1200" b="1" baseline="-25000"/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/>
                  <a:t> [J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5008747302654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40000000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1500437445319334E-2"/>
                  <c:y val="-2.7701450685928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5-420B-B26F-453D36C2440B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A5-420B-B26F-453D36C2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200" b="1"/>
                  <a:t>κ</a:t>
                </a:r>
                <a:r>
                  <a:rPr lang="en-US" sz="1200" b="1" baseline="-25000"/>
                  <a:t>Exp.</a:t>
                </a:r>
                <a:r>
                  <a:rPr lang="en-US" sz="1200" b="1"/>
                  <a:t> [W∙m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K</a:t>
                </a:r>
                <a:r>
                  <a:rPr lang="en-US" sz="1200" b="1" baseline="30000"/>
                  <a:t>-1</a:t>
                </a:r>
                <a:r>
                  <a:rPr lang="en-US" sz="1200" b="1"/>
                  <a:t>]</a:t>
                </a:r>
              </a:p>
            </c:rich>
          </c:tx>
          <c:layout>
            <c:manualLayout>
              <c:xMode val="edge"/>
              <c:yMode val="edge"/>
              <c:x val="0.40831264398789241"/>
              <c:y val="0.93023254110542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20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9.51675777539348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850459317585301"/>
          <c:y val="4.5332391333048429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59880694347715"/>
                  <c:y val="-5.8806024475662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'MFP-rsum'!$V$2:$V$41</c:f>
              <c:numCache>
                <c:formatCode>0.00E+00</c:formatCode>
                <c:ptCount val="40"/>
                <c:pt idx="0">
                  <c:v>2.09</c:v>
                </c:pt>
                <c:pt idx="1">
                  <c:v>2.35</c:v>
                </c:pt>
                <c:pt idx="2">
                  <c:v>2.71</c:v>
                </c:pt>
                <c:pt idx="3">
                  <c:v>2.85</c:v>
                </c:pt>
                <c:pt idx="4">
                  <c:v>3</c:v>
                </c:pt>
                <c:pt idx="5">
                  <c:v>2.57</c:v>
                </c:pt>
                <c:pt idx="6">
                  <c:v>2.83</c:v>
                </c:pt>
                <c:pt idx="7">
                  <c:v>3.19</c:v>
                </c:pt>
                <c:pt idx="8">
                  <c:v>1.67</c:v>
                </c:pt>
                <c:pt idx="9">
                  <c:v>2.0500000000000003</c:v>
                </c:pt>
                <c:pt idx="10">
                  <c:v>2.33</c:v>
                </c:pt>
                <c:pt idx="11">
                  <c:v>2.5100000000000002</c:v>
                </c:pt>
                <c:pt idx="12">
                  <c:v>2.5300000000000002</c:v>
                </c:pt>
                <c:pt idx="13">
                  <c:v>2.81</c:v>
                </c:pt>
                <c:pt idx="14">
                  <c:v>2.99</c:v>
                </c:pt>
                <c:pt idx="15">
                  <c:v>3.33</c:v>
                </c:pt>
                <c:pt idx="16">
                  <c:v>3.6899999999999995</c:v>
                </c:pt>
                <c:pt idx="17">
                  <c:v>2.0500000000000003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2.97</c:v>
                </c:pt>
                <c:pt idx="21">
                  <c:v>2.9788000000000001</c:v>
                </c:pt>
                <c:pt idx="22">
                  <c:v>1.9472000000000003</c:v>
                </c:pt>
                <c:pt idx="23">
                  <c:v>2.3803000000000001</c:v>
                </c:pt>
                <c:pt idx="24">
                  <c:v>2.0225</c:v>
                </c:pt>
                <c:pt idx="25">
                  <c:v>1.9924399999999998</c:v>
                </c:pt>
                <c:pt idx="26">
                  <c:v>1.9765999999999999</c:v>
                </c:pt>
                <c:pt idx="27">
                  <c:v>1.98</c:v>
                </c:pt>
                <c:pt idx="28">
                  <c:v>1.9834000000000001</c:v>
                </c:pt>
                <c:pt idx="29">
                  <c:v>2.7411999999999996</c:v>
                </c:pt>
                <c:pt idx="30">
                  <c:v>2.9247459999999998</c:v>
                </c:pt>
                <c:pt idx="31">
                  <c:v>2.5428999999999999</c:v>
                </c:pt>
                <c:pt idx="32">
                  <c:v>2.8291599999999995</c:v>
                </c:pt>
                <c:pt idx="33">
                  <c:v>2.194</c:v>
                </c:pt>
                <c:pt idx="34">
                  <c:v>2.8818000000000001</c:v>
                </c:pt>
                <c:pt idx="35">
                  <c:v>2.8778800000000002</c:v>
                </c:pt>
                <c:pt idx="36">
                  <c:v>3.0851800000000003</c:v>
                </c:pt>
                <c:pt idx="37">
                  <c:v>3.2822400000000003</c:v>
                </c:pt>
                <c:pt idx="38">
                  <c:v>3.4792999999999994</c:v>
                </c:pt>
                <c:pt idx="39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C-4323-BB65-66032AF0D355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('MFP-rsum'!$AE$26:$AE$27,'MFP-rsum'!$AE$29:$AE$30,'MFP-rsum'!$AE$36:$AE$37,'MFP-rsum'!$AE$38:$AE$40)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('MFP-rsum'!$V$26:$V$27,'MFP-rsum'!$V$29:$V$30,'MFP-rsum'!$V$36:$V$40)</c:f>
              <c:numCache>
                <c:formatCode>0.00E+00</c:formatCode>
                <c:ptCount val="9"/>
                <c:pt idx="0">
                  <c:v>2.0225</c:v>
                </c:pt>
                <c:pt idx="1">
                  <c:v>1.9924399999999998</c:v>
                </c:pt>
                <c:pt idx="2">
                  <c:v>1.98</c:v>
                </c:pt>
                <c:pt idx="3">
                  <c:v>1.9834000000000001</c:v>
                </c:pt>
                <c:pt idx="4">
                  <c:v>2.8818000000000001</c:v>
                </c:pt>
                <c:pt idx="5">
                  <c:v>2.8778800000000002</c:v>
                </c:pt>
                <c:pt idx="6">
                  <c:v>3.0851800000000003</c:v>
                </c:pt>
                <c:pt idx="7">
                  <c:v>3.2822400000000003</c:v>
                </c:pt>
                <c:pt idx="8">
                  <c:v>3.4792999999999994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C-4323-BB65-66032AF0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d</a:t>
                </a:r>
                <a:r>
                  <a:rPr lang="en-US" sz="1050" b="1" baseline="-25000"/>
                  <a:t>avg</a:t>
                </a:r>
                <a:r>
                  <a:rPr lang="en-US" sz="1050" b="1"/>
                  <a:t> [</a:t>
                </a:r>
                <a:r>
                  <a:rPr lang="en-US" sz="1050" b="1" i="0" u="none" strike="noStrike" baseline="0">
                    <a:effectLst/>
                  </a:rPr>
                  <a:t>Å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881723144329438E-2"/>
              <c:y val="0.32174011125473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024551525852449"/>
          <c:y val="7.7651120298589463E-2"/>
          <c:w val="0.40866054243219591"/>
          <c:h val="8.07295891017813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64032167160797"/>
          <c:y val="3.64263318251343E-2"/>
          <c:w val="0.82043556890333158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60959166460194"/>
                  <c:y val="0.39436951560225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'MFP-rsum'!$BG$2:$BG$41</c:f>
              <c:numCache>
                <c:formatCode>0.00E+00</c:formatCode>
                <c:ptCount val="40"/>
                <c:pt idx="0">
                  <c:v>1.1518926760563384</c:v>
                </c:pt>
                <c:pt idx="1">
                  <c:v>0.67778749999999999</c:v>
                </c:pt>
                <c:pt idx="2">
                  <c:v>0.39972750000000007</c:v>
                </c:pt>
                <c:pt idx="3">
                  <c:v>0.34271092436974793</c:v>
                </c:pt>
                <c:pt idx="4">
                  <c:v>0.301421612691466</c:v>
                </c:pt>
                <c:pt idx="5">
                  <c:v>0.46955282968415579</c:v>
                </c:pt>
                <c:pt idx="6">
                  <c:v>0.32243028313413014</c:v>
                </c:pt>
                <c:pt idx="7">
                  <c:v>0.24068948075348068</c:v>
                </c:pt>
                <c:pt idx="8">
                  <c:v>0.93313175000000004</c:v>
                </c:pt>
                <c:pt idx="9">
                  <c:v>0.80730208087671307</c:v>
                </c:pt>
                <c:pt idx="10">
                  <c:v>0.55121026994994238</c:v>
                </c:pt>
                <c:pt idx="11">
                  <c:v>0.38234418891071892</c:v>
                </c:pt>
                <c:pt idx="12">
                  <c:v>0.34222598186733888</c:v>
                </c:pt>
                <c:pt idx="13">
                  <c:v>0.39833903873250681</c:v>
                </c:pt>
                <c:pt idx="14">
                  <c:v>0.33711780852199386</c:v>
                </c:pt>
                <c:pt idx="15">
                  <c:v>0.63290221625251841</c:v>
                </c:pt>
                <c:pt idx="16">
                  <c:v>0.4607564927857935</c:v>
                </c:pt>
                <c:pt idx="17">
                  <c:v>0.48708757669995822</c:v>
                </c:pt>
                <c:pt idx="18">
                  <c:v>0.45461357386269008</c:v>
                </c:pt>
                <c:pt idx="19">
                  <c:v>0.38073015787085324</c:v>
                </c:pt>
                <c:pt idx="20">
                  <c:v>0.2489564819205321</c:v>
                </c:pt>
                <c:pt idx="21">
                  <c:v>0.33612940298277016</c:v>
                </c:pt>
                <c:pt idx="22">
                  <c:v>1.1014048595585626</c:v>
                </c:pt>
                <c:pt idx="23">
                  <c:v>0.68470603255856344</c:v>
                </c:pt>
                <c:pt idx="24">
                  <c:v>0.7665996750513322</c:v>
                </c:pt>
                <c:pt idx="25">
                  <c:v>1.0070070932608983</c:v>
                </c:pt>
                <c:pt idx="26">
                  <c:v>1.1282080942364856</c:v>
                </c:pt>
                <c:pt idx="27">
                  <c:v>1.0786052187787996</c:v>
                </c:pt>
                <c:pt idx="28">
                  <c:v>1.0349189533056169</c:v>
                </c:pt>
                <c:pt idx="29">
                  <c:v>0.34851316317353825</c:v>
                </c:pt>
                <c:pt idx="30">
                  <c:v>0.37827811192374966</c:v>
                </c:pt>
                <c:pt idx="31">
                  <c:v>0.52269864642849884</c:v>
                </c:pt>
                <c:pt idx="32">
                  <c:v>0.43409309762372345</c:v>
                </c:pt>
                <c:pt idx="33">
                  <c:v>0.96352777458242056</c:v>
                </c:pt>
                <c:pt idx="34">
                  <c:v>0.31304602622672262</c:v>
                </c:pt>
                <c:pt idx="35">
                  <c:v>0.31611417205960979</c:v>
                </c:pt>
                <c:pt idx="36">
                  <c:v>0.44777593555136702</c:v>
                </c:pt>
                <c:pt idx="37">
                  <c:v>0.43226765885674451</c:v>
                </c:pt>
                <c:pt idx="38">
                  <c:v>0.42224348610504159</c:v>
                </c:pt>
                <c:pt idx="39">
                  <c:v>0.58689311875693662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A-4847-947C-4D9BD67EA5EF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('MFP-rsum'!$BG$26:$BG$27,'MFP-rsum'!$BG$29:$BG$30,'MFP-rsum'!$BG$36:$BG$40)</c:f>
              <c:numCache>
                <c:formatCode>0.00E+00</c:formatCode>
                <c:ptCount val="9"/>
                <c:pt idx="0">
                  <c:v>0.7665996750513322</c:v>
                </c:pt>
                <c:pt idx="1">
                  <c:v>1.0070070932608983</c:v>
                </c:pt>
                <c:pt idx="2">
                  <c:v>1.0786052187787996</c:v>
                </c:pt>
                <c:pt idx="3">
                  <c:v>1.0349189533056169</c:v>
                </c:pt>
                <c:pt idx="4">
                  <c:v>0.31304602622672262</c:v>
                </c:pt>
                <c:pt idx="5">
                  <c:v>0.31611417205960979</c:v>
                </c:pt>
                <c:pt idx="6">
                  <c:v>0.44777593555136702</c:v>
                </c:pt>
                <c:pt idx="7">
                  <c:v>0.43226765885674451</c:v>
                </c:pt>
                <c:pt idx="8">
                  <c:v>0.42224348610504159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DA-4847-947C-4D9BD67E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/>
                  <a:t>c</a:t>
                </a:r>
                <a:r>
                  <a:rPr lang="en-US" sz="1050" b="1" baseline="-25000"/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/>
                  <a:t> [</a:t>
                </a:r>
                <a:r>
                  <a:rPr lang="en-US" sz="1050" b="0" i="0" u="none" strike="noStrike" baseline="0">
                    <a:effectLst/>
                  </a:rPr>
                  <a:t>×</a:t>
                </a:r>
                <a:r>
                  <a:rPr lang="en-US" sz="1050" b="1"/>
                  <a:t>10</a:t>
                </a:r>
                <a:r>
                  <a:rPr lang="en-US" sz="1050" b="1" baseline="30000"/>
                  <a:t>10</a:t>
                </a:r>
                <a:r>
                  <a:rPr lang="en-US" sz="1050" b="1" baseline="0"/>
                  <a:t> </a:t>
                </a:r>
                <a:r>
                  <a:rPr lang="en-US" sz="1050" b="1"/>
                  <a:t>J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∙s∙kg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-2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1.3988258107691193E-2"/>
              <c:y val="6.50833769007976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1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2482730979327"/>
          <c:y val="3.64263318251343E-2"/>
          <c:w val="0.82165811377763076"/>
          <c:h val="0.82681507279502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'Fig1_Fig2 (2)'!$Z$36</c:f>
              <c:strCache>
                <c:ptCount val="1"/>
                <c:pt idx="0">
                  <c:v>Non-Actinides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970629115147338"/>
                  <c:y val="0.274407783417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'MFP-rsum'!$AE$2:$AE$41</c:f>
              <c:numCache>
                <c:formatCode>General</c:formatCode>
                <c:ptCount val="40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  <c:pt idx="22">
                  <c:v>1.1000000000000001</c:v>
                </c:pt>
                <c:pt idx="23">
                  <c:v>0.78024246508674777</c:v>
                </c:pt>
                <c:pt idx="24">
                  <c:v>1.1599999999999999</c:v>
                </c:pt>
                <c:pt idx="25">
                  <c:v>1.24</c:v>
                </c:pt>
                <c:pt idx="26">
                  <c:v>0.98602842355479869</c:v>
                </c:pt>
                <c:pt idx="27">
                  <c:v>0.89056771657477962</c:v>
                </c:pt>
                <c:pt idx="28">
                  <c:v>0.80397278022492213</c:v>
                </c:pt>
                <c:pt idx="29">
                  <c:v>0.45966666666666672</c:v>
                </c:pt>
                <c:pt idx="30">
                  <c:v>0.46554761904761921</c:v>
                </c:pt>
                <c:pt idx="31">
                  <c:v>0.82855603900974906</c:v>
                </c:pt>
                <c:pt idx="32">
                  <c:v>0.58438111223711209</c:v>
                </c:pt>
                <c:pt idx="33">
                  <c:v>0.86544945017475028</c:v>
                </c:pt>
                <c:pt idx="34">
                  <c:v>0.23926257714495269</c:v>
                </c:pt>
                <c:pt idx="35">
                  <c:v>0.27567442291687039</c:v>
                </c:pt>
                <c:pt idx="36">
                  <c:v>0.49395061728395051</c:v>
                </c:pt>
                <c:pt idx="37">
                  <c:v>0.45693693693693682</c:v>
                </c:pt>
                <c:pt idx="38">
                  <c:v>0.43928571428571439</c:v>
                </c:pt>
                <c:pt idx="39" formatCode="0.00000">
                  <c:v>0.56100000000000005</c:v>
                </c:pt>
              </c:numCache>
            </c:numRef>
          </c:xVal>
          <c:yVal>
            <c:numRef>
              <c:f>'MFP-rsum'!$BH$2:$BH$41</c:f>
              <c:numCache>
                <c:formatCode>0.00E+00</c:formatCode>
                <c:ptCount val="40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  <c:pt idx="21">
                  <c:v>1.0012622656050758</c:v>
                </c:pt>
                <c:pt idx="22">
                  <c:v>2.144655542532433</c:v>
                </c:pt>
                <c:pt idx="23">
                  <c:v>1.6298057692991486</c:v>
                </c:pt>
                <c:pt idx="24">
                  <c:v>1.5504478427913193</c:v>
                </c:pt>
                <c:pt idx="25">
                  <c:v>2.0064012128967437</c:v>
                </c:pt>
                <c:pt idx="26">
                  <c:v>2.2300161190678374</c:v>
                </c:pt>
                <c:pt idx="27">
                  <c:v>2.1356383331820226</c:v>
                </c:pt>
                <c:pt idx="28">
                  <c:v>2.0526582519863603</c:v>
                </c:pt>
                <c:pt idx="29">
                  <c:v>0.95534428289130302</c:v>
                </c:pt>
                <c:pt idx="30">
                  <c:v>1.1063673947365391</c:v>
                </c:pt>
                <c:pt idx="31">
                  <c:v>1.3291703880030297</c:v>
                </c:pt>
                <c:pt idx="32">
                  <c:v>1.2281188280731332</c:v>
                </c:pt>
                <c:pt idx="33">
                  <c:v>2.1139799374338306</c:v>
                </c:pt>
                <c:pt idx="34">
                  <c:v>0.90213603838016931</c:v>
                </c:pt>
                <c:pt idx="35">
                  <c:v>0.90973865348690997</c:v>
                </c:pt>
                <c:pt idx="36">
                  <c:v>1.3814693608443664</c:v>
                </c:pt>
                <c:pt idx="37">
                  <c:v>1.418806200605961</c:v>
                </c:pt>
                <c:pt idx="38">
                  <c:v>1.4691117612052709</c:v>
                </c:pt>
                <c:pt idx="39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C-482C-8367-E818195F393A}"/>
            </c:ext>
          </c:extLst>
        </c:ser>
        <c:ser>
          <c:idx val="3"/>
          <c:order val="1"/>
          <c:tx>
            <c:strRef>
              <c:f>'Fig1_Fig2 (2)'!$Z$37</c:f>
              <c:strCache>
                <c:ptCount val="1"/>
                <c:pt idx="0">
                  <c:v>Actinides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('MFP-rsum'!$AE$26:$AE$27,'MFP-rsum'!$AE$29:$AE$30,'MFP-rsum'!$AE$36:$AE$40)</c:f>
              <c:numCache>
                <c:formatCode>General</c:formatCode>
                <c:ptCount val="9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0.23926257714495269</c:v>
                </c:pt>
                <c:pt idx="5">
                  <c:v>0.27567442291687039</c:v>
                </c:pt>
                <c:pt idx="6">
                  <c:v>0.49395061728395051</c:v>
                </c:pt>
                <c:pt idx="7">
                  <c:v>0.45693693693693682</c:v>
                </c:pt>
                <c:pt idx="8">
                  <c:v>0.43928571428571439</c:v>
                </c:pt>
              </c:numCache>
            </c:numRef>
          </c:xVal>
          <c:yVal>
            <c:numRef>
              <c:f>('MFP-rsum'!$BH$26:$BH$27,'MFP-rsum'!$BH$29:$BH$30,'MFP-rsum'!$BH$36:$BH$40)</c:f>
              <c:numCache>
                <c:formatCode>0.00E+00</c:formatCode>
                <c:ptCount val="9"/>
                <c:pt idx="0">
                  <c:v>1.5504478427913193</c:v>
                </c:pt>
                <c:pt idx="1">
                  <c:v>2.0064012128967437</c:v>
                </c:pt>
                <c:pt idx="2">
                  <c:v>2.1356383331820226</c:v>
                </c:pt>
                <c:pt idx="3">
                  <c:v>2.0526582519863603</c:v>
                </c:pt>
                <c:pt idx="4">
                  <c:v>0.90213603838016931</c:v>
                </c:pt>
                <c:pt idx="5">
                  <c:v>0.90973865348690997</c:v>
                </c:pt>
                <c:pt idx="6">
                  <c:v>1.3814693608443664</c:v>
                </c:pt>
                <c:pt idx="7">
                  <c:v>1.418806200605961</c:v>
                </c:pt>
                <c:pt idx="8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C-482C-8367-E818195F3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94064"/>
        <c:axId val="741413264"/>
      </c:scatterChart>
      <c:valAx>
        <c:axId val="74139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050" b="1"/>
                  <a:t>κ</a:t>
                </a:r>
                <a:r>
                  <a:rPr lang="en-US" sz="1050" b="1" baseline="-25000"/>
                  <a:t>Exp.</a:t>
                </a:r>
                <a:r>
                  <a:rPr lang="en-US" sz="1050" b="1"/>
                  <a:t> [W∙m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K</a:t>
                </a:r>
                <a:r>
                  <a:rPr lang="en-US" sz="1050" b="1" baseline="30000"/>
                  <a:t>-1</a:t>
                </a:r>
                <a:r>
                  <a:rPr lang="en-US" sz="1050" b="1"/>
                  <a:t>]</a:t>
                </a:r>
              </a:p>
            </c:rich>
          </c:tx>
          <c:layout>
            <c:manualLayout>
              <c:xMode val="edge"/>
              <c:yMode val="edge"/>
              <c:x val="0.43750119703824009"/>
              <c:y val="0.90586068154094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413264"/>
        <c:crosses val="autoZero"/>
        <c:crossBetween val="midCat"/>
        <c:majorUnit val="1.5"/>
      </c:valAx>
      <c:valAx>
        <c:axId val="74141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p,vol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050" b="1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[W∙m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∙K</a:t>
                </a:r>
                <a:r>
                  <a:rPr lang="en-US" sz="105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2411482471298601E-2"/>
              <c:y val="0.101414365609607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1394064"/>
        <c:crosses val="autoZero"/>
        <c:crossBetween val="midCat"/>
        <c:majorUnit val="3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06517935258094"/>
                  <c:y val="-0.11764909594634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'MFP-rsum'!$BF$2:$BF$22</c:f>
              <c:numCache>
                <c:formatCode>0.00E+00</c:formatCode>
                <c:ptCount val="21"/>
                <c:pt idx="0">
                  <c:v>11518926760.563383</c:v>
                </c:pt>
                <c:pt idx="1">
                  <c:v>6777875000</c:v>
                </c:pt>
                <c:pt idx="2">
                  <c:v>3997275000.0000005</c:v>
                </c:pt>
                <c:pt idx="3">
                  <c:v>3427109243.6974792</c:v>
                </c:pt>
                <c:pt idx="4">
                  <c:v>3014216126.91466</c:v>
                </c:pt>
                <c:pt idx="5">
                  <c:v>4695528296.8415575</c:v>
                </c:pt>
                <c:pt idx="6">
                  <c:v>3224302831.3413014</c:v>
                </c:pt>
                <c:pt idx="7">
                  <c:v>2406894807.5348067</c:v>
                </c:pt>
                <c:pt idx="8">
                  <c:v>9331317500</c:v>
                </c:pt>
                <c:pt idx="9">
                  <c:v>8073020808.7671309</c:v>
                </c:pt>
                <c:pt idx="10">
                  <c:v>5512102699.499424</c:v>
                </c:pt>
                <c:pt idx="11">
                  <c:v>3823441889.1071892</c:v>
                </c:pt>
                <c:pt idx="12">
                  <c:v>3422259818.6733885</c:v>
                </c:pt>
                <c:pt idx="13">
                  <c:v>3983390387.325068</c:v>
                </c:pt>
                <c:pt idx="14">
                  <c:v>3371178085.2199383</c:v>
                </c:pt>
                <c:pt idx="15">
                  <c:v>6329022162.5251837</c:v>
                </c:pt>
                <c:pt idx="16">
                  <c:v>4607564927.857935</c:v>
                </c:pt>
                <c:pt idx="17">
                  <c:v>4870875766.9995823</c:v>
                </c:pt>
                <c:pt idx="18">
                  <c:v>4546135738.6269007</c:v>
                </c:pt>
                <c:pt idx="19">
                  <c:v>3807301578.7085323</c:v>
                </c:pt>
                <c:pt idx="20">
                  <c:v>2489564819.2053208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8-41A3-8BFC-59873387536B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'MFP-rsum'!$AE$23:$AE$40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'MFP-rsum'!$BF$23:$BF$40</c:f>
              <c:numCache>
                <c:formatCode>0.00E+00</c:formatCode>
                <c:ptCount val="18"/>
                <c:pt idx="0">
                  <c:v>3361294029.8277016</c:v>
                </c:pt>
                <c:pt idx="1">
                  <c:v>11014048595.585625</c:v>
                </c:pt>
                <c:pt idx="2">
                  <c:v>6847060325.5856342</c:v>
                </c:pt>
                <c:pt idx="3">
                  <c:v>7665996750.5133219</c:v>
                </c:pt>
                <c:pt idx="4">
                  <c:v>10070070932.608982</c:v>
                </c:pt>
                <c:pt idx="5">
                  <c:v>11282080942.364857</c:v>
                </c:pt>
                <c:pt idx="6">
                  <c:v>10786052187.787994</c:v>
                </c:pt>
                <c:pt idx="7">
                  <c:v>10349189533.056168</c:v>
                </c:pt>
                <c:pt idx="8">
                  <c:v>3485131631.7353826</c:v>
                </c:pt>
                <c:pt idx="9">
                  <c:v>3782781119.2374964</c:v>
                </c:pt>
                <c:pt idx="10">
                  <c:v>5226986464.2849884</c:v>
                </c:pt>
                <c:pt idx="11">
                  <c:v>4340930976.2372341</c:v>
                </c:pt>
                <c:pt idx="12">
                  <c:v>9635277745.8242054</c:v>
                </c:pt>
                <c:pt idx="13">
                  <c:v>3130460262.2672262</c:v>
                </c:pt>
                <c:pt idx="14">
                  <c:v>3161141720.5960979</c:v>
                </c:pt>
                <c:pt idx="15">
                  <c:v>4477759355.51367</c:v>
                </c:pt>
                <c:pt idx="16">
                  <c:v>4322676588.5674448</c:v>
                </c:pt>
                <c:pt idx="17">
                  <c:v>4222434861.0504155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E8-41A3-8BFC-59873387536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'MFP-rsum'!$BF$41</c:f>
              <c:numCache>
                <c:formatCode>0.00E+00</c:formatCode>
                <c:ptCount val="1"/>
                <c:pt idx="0">
                  <c:v>5868931187.5693665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E8-41A3-8BFC-59873387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'MFP-rsum'!$AE$2:$AE$23</c:f>
              <c:numCache>
                <c:formatCode>General</c:formatCode>
                <c:ptCount val="22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  <c:pt idx="21">
                  <c:v>0.43524000000000002</c:v>
                </c:pt>
              </c:numCache>
            </c:numRef>
          </c:xVal>
          <c:yVal>
            <c:numRef>
              <c:f>'MFP-rsum'!$T$2:$T$22</c:f>
              <c:numCache>
                <c:formatCode>0.00E+00</c:formatCode>
                <c:ptCount val="21"/>
                <c:pt idx="0">
                  <c:v>2.09E-10</c:v>
                </c:pt>
                <c:pt idx="1">
                  <c:v>2.3500000000000002E-10</c:v>
                </c:pt>
                <c:pt idx="2">
                  <c:v>2.7099999999999999E-10</c:v>
                </c:pt>
                <c:pt idx="3">
                  <c:v>2.85E-10</c:v>
                </c:pt>
                <c:pt idx="4">
                  <c:v>3E-10</c:v>
                </c:pt>
                <c:pt idx="5">
                  <c:v>2.5699999999999999E-10</c:v>
                </c:pt>
                <c:pt idx="6">
                  <c:v>2.8300000000000001E-10</c:v>
                </c:pt>
                <c:pt idx="7">
                  <c:v>3.1899999999999998E-10</c:v>
                </c:pt>
                <c:pt idx="8">
                  <c:v>1.6699999999999999E-10</c:v>
                </c:pt>
                <c:pt idx="9">
                  <c:v>2.0500000000000002E-10</c:v>
                </c:pt>
                <c:pt idx="10">
                  <c:v>2.3300000000000002E-10</c:v>
                </c:pt>
                <c:pt idx="11">
                  <c:v>2.5100000000000001E-10</c:v>
                </c:pt>
                <c:pt idx="12">
                  <c:v>2.5300000000000001E-10</c:v>
                </c:pt>
                <c:pt idx="13">
                  <c:v>2.8100000000000001E-10</c:v>
                </c:pt>
                <c:pt idx="14">
                  <c:v>2.99E-10</c:v>
                </c:pt>
                <c:pt idx="15">
                  <c:v>3.3299999999999999E-10</c:v>
                </c:pt>
                <c:pt idx="16">
                  <c:v>3.6899999999999997E-10</c:v>
                </c:pt>
                <c:pt idx="17">
                  <c:v>2.0500000000000002E-10</c:v>
                </c:pt>
                <c:pt idx="18">
                  <c:v>2.2699999999999999E-10</c:v>
                </c:pt>
                <c:pt idx="19">
                  <c:v>2.2200000000000001E-10</c:v>
                </c:pt>
                <c:pt idx="20">
                  <c:v>2.9700000000000001E-10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8-4460-911F-D29483EFD993}"/>
            </c:ext>
          </c:extLst>
        </c:ser>
        <c:ser>
          <c:idx val="1"/>
          <c:order val="1"/>
          <c:tx>
            <c:v>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'MFP-rsum'!$AE$23:$AE$40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'MFP-rsum'!$T$23:$T$40</c:f>
              <c:numCache>
                <c:formatCode>0.00E+00</c:formatCode>
                <c:ptCount val="18"/>
                <c:pt idx="0">
                  <c:v>2.9788000000000001E-10</c:v>
                </c:pt>
                <c:pt idx="1">
                  <c:v>1.9472000000000003E-10</c:v>
                </c:pt>
                <c:pt idx="2">
                  <c:v>2.3803E-10</c:v>
                </c:pt>
                <c:pt idx="3">
                  <c:v>2.0225E-10</c:v>
                </c:pt>
                <c:pt idx="4">
                  <c:v>1.9924399999999998E-10</c:v>
                </c:pt>
                <c:pt idx="5">
                  <c:v>1.9765999999999999E-10</c:v>
                </c:pt>
                <c:pt idx="6">
                  <c:v>1.9799999999999999E-10</c:v>
                </c:pt>
                <c:pt idx="7">
                  <c:v>1.9834000000000001E-10</c:v>
                </c:pt>
                <c:pt idx="8">
                  <c:v>2.7411999999999998E-10</c:v>
                </c:pt>
                <c:pt idx="9">
                  <c:v>2.9247459999999999E-10</c:v>
                </c:pt>
                <c:pt idx="10">
                  <c:v>2.5429000000000001E-10</c:v>
                </c:pt>
                <c:pt idx="11">
                  <c:v>2.8291599999999996E-10</c:v>
                </c:pt>
                <c:pt idx="12">
                  <c:v>2.1940000000000001E-10</c:v>
                </c:pt>
                <c:pt idx="13">
                  <c:v>2.8818000000000003E-10</c:v>
                </c:pt>
                <c:pt idx="14">
                  <c:v>2.8778800000000003E-10</c:v>
                </c:pt>
                <c:pt idx="15">
                  <c:v>3.0851800000000002E-10</c:v>
                </c:pt>
                <c:pt idx="16">
                  <c:v>3.2822400000000001E-10</c:v>
                </c:pt>
                <c:pt idx="17">
                  <c:v>3.4792999999999996E-10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8-4460-911F-D29483EFD993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'MFP-rsum'!$T$41</c:f>
              <c:numCache>
                <c:formatCode>0.00E+00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48-4460-911F-D29483EFD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kExp.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davg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51476377952756"/>
          <c:y val="5.0925925925925923E-2"/>
          <c:w val="0.503492180664916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Alkali Fluoride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'[1]MFP-rsum'!$BG$2:$BG$4</c:f>
              <c:numCache>
                <c:formatCode>General</c:formatCode>
                <c:ptCount val="3"/>
                <c:pt idx="0">
                  <c:v>4.5513588360128237E-10</c:v>
                </c:pt>
                <c:pt idx="1">
                  <c:v>3.6428468840931505E-10</c:v>
                </c:pt>
                <c:pt idx="2">
                  <c:v>3.8914296812648964E-10</c:v>
                </c:pt>
              </c:numCache>
            </c:numRef>
          </c:xVal>
          <c:yVal>
            <c:numRef>
              <c:f>'[1]MFP-rsum'!$AQ$2:$AQ$4</c:f>
              <c:numCache>
                <c:formatCode>General</c:formatCode>
                <c:ptCount val="3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2-4B41-A59F-3BB6DF50BCE1}"/>
            </c:ext>
          </c:extLst>
        </c:ser>
        <c:ser>
          <c:idx val="2"/>
          <c:order val="1"/>
          <c:tx>
            <c:v>Alkali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'[1]MFP-rsum'!$BG$7:$BG$9</c:f>
              <c:numCache>
                <c:formatCode>General</c:formatCode>
                <c:ptCount val="3"/>
                <c:pt idx="0">
                  <c:v>5.0986492855295244E-10</c:v>
                </c:pt>
                <c:pt idx="1">
                  <c:v>3.7944326183477726E-10</c:v>
                </c:pt>
                <c:pt idx="2">
                  <c:v>4.5335791979318428E-10</c:v>
                </c:pt>
              </c:numCache>
            </c:numRef>
          </c:xVal>
          <c:yVal>
            <c:numRef>
              <c:f>'[1]MFP-rsum'!$AQ$7:$AQ$9</c:f>
              <c:numCache>
                <c:formatCode>General</c:formatCode>
                <c:ptCount val="3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2-4B41-A59F-3BB6DF50BCE1}"/>
            </c:ext>
          </c:extLst>
        </c:ser>
        <c:ser>
          <c:idx val="1"/>
          <c:order val="2"/>
          <c:tx>
            <c:v>Alkaline-Earth Fluoride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'[1]MFP-rsum'!$BG$10:$BG$13</c:f>
              <c:numCache>
                <c:formatCode>General</c:formatCode>
                <c:ptCount val="4"/>
                <c:pt idx="1">
                  <c:v>4.369716780765129E-10</c:v>
                </c:pt>
                <c:pt idx="2">
                  <c:v>6.843135125098611E-10</c:v>
                </c:pt>
                <c:pt idx="3">
                  <c:v>6.1875642429403127E-10</c:v>
                </c:pt>
              </c:numCache>
            </c:numRef>
          </c:xVal>
          <c:yVal>
            <c:numRef>
              <c:f>'[1]MFP-rsum'!$AQ$10:$AQ$13</c:f>
              <c:numCache>
                <c:formatCode>General</c:formatCode>
                <c:ptCount val="4"/>
                <c:pt idx="0">
                  <c:v>2.5678418596676501E-10</c:v>
                </c:pt>
                <c:pt idx="1">
                  <c:v>2.4179714709519052E-10</c:v>
                </c:pt>
                <c:pt idx="2">
                  <c:v>3.0739804614922655E-10</c:v>
                </c:pt>
                <c:pt idx="3">
                  <c:v>3.0633262750424528E-10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B2-4B41-A59F-3BB6DF50BCE1}"/>
            </c:ext>
          </c:extLst>
        </c:ser>
        <c:ser>
          <c:idx val="3"/>
          <c:order val="3"/>
          <c:tx>
            <c:v>Alkaline-Earth Chloride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'[1]MFP-rsum'!$BG$14:$BG$16</c:f>
              <c:numCache>
                <c:formatCode>General</c:formatCode>
                <c:ptCount val="3"/>
                <c:pt idx="0">
                  <c:v>6.1827251968353004E-10</c:v>
                </c:pt>
                <c:pt idx="1">
                  <c:v>7.7916751857846874E-10</c:v>
                </c:pt>
                <c:pt idx="2">
                  <c:v>7.4001853993764589E-10</c:v>
                </c:pt>
              </c:numCache>
            </c:numRef>
          </c:xVal>
          <c:yVal>
            <c:numRef>
              <c:f>'[1]MFP-rsum'!$AQ$14:$AQ$16</c:f>
              <c:numCache>
                <c:formatCode>General</c:formatCode>
                <c:ptCount val="3"/>
                <c:pt idx="0">
                  <c:v>4.004371592485416E-10</c:v>
                </c:pt>
                <c:pt idx="2">
                  <c:v>3.3553552242144542E-10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2-4B41-A59F-3BB6DF50BCE1}"/>
            </c:ext>
          </c:extLst>
        </c:ser>
        <c:ser>
          <c:idx val="4"/>
          <c:order val="4"/>
          <c:tx>
            <c:v>Fluoride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('[1]MFP-rsum'!$BG$35,'[1]MFP-rsum'!$BG$28:$BG$30,'[1]MFP-rsum'!$BG$24:$BG$26)</c:f>
              <c:numCache>
                <c:formatCode>General</c:formatCode>
                <c:ptCount val="7"/>
                <c:pt idx="0">
                  <c:v>8.4406168446792717E-10</c:v>
                </c:pt>
                <c:pt idx="1">
                  <c:v>3.2730306153599925E-9</c:v>
                </c:pt>
                <c:pt idx="2">
                  <c:v>3.304548673097048E-9</c:v>
                </c:pt>
                <c:pt idx="3">
                  <c:v>3.352633671505172E-9</c:v>
                </c:pt>
                <c:pt idx="4">
                  <c:v>3.8338347353322035E-9</c:v>
                </c:pt>
                <c:pt idx="5">
                  <c:v>2.8369914793196441E-9</c:v>
                </c:pt>
                <c:pt idx="6">
                  <c:v>6.5543423785317211E-9</c:v>
                </c:pt>
              </c:numCache>
            </c:numRef>
          </c:xVal>
          <c:yVal>
            <c:numRef>
              <c:f>('[1]MFP-rsum'!$AQ$35,'[1]MFP-rsum'!$AQ$28:$AQ$30,'[1]MFP-rsum'!$AQ$24:$AQ$26)</c:f>
              <c:numCache>
                <c:formatCode>General</c:formatCode>
                <c:ptCount val="7"/>
                <c:pt idx="0">
                  <c:v>2.6946274087941797E-10</c:v>
                </c:pt>
                <c:pt idx="1">
                  <c:v>2.6219323241660306E-10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2.9961734518972644E-10</c:v>
                </c:pt>
                <c:pt idx="5">
                  <c:v>3.4185873702814765E-10</c:v>
                </c:pt>
                <c:pt idx="6">
                  <c:v>4.5395271003303991E-10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2-4B41-A59F-3BB6DF50BCE1}"/>
            </c:ext>
          </c:extLst>
        </c:ser>
        <c:ser>
          <c:idx val="5"/>
          <c:order val="5"/>
          <c:tx>
            <c:v>Chloride Mixture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('[1]MFP-rsum'!$BG$23,'[1]MFP-rsum'!$BG$36:$BG$37)</c:f>
              <c:numCache>
                <c:formatCode>General</c:formatCode>
                <c:ptCount val="3"/>
                <c:pt idx="0">
                  <c:v>1.0517297026523455E-9</c:v>
                </c:pt>
                <c:pt idx="1">
                  <c:v>1.8511567318115176E-9</c:v>
                </c:pt>
                <c:pt idx="2">
                  <c:v>1.3749528367298905E-9</c:v>
                </c:pt>
              </c:numCache>
            </c:numRef>
          </c:xVal>
          <c:y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2-4B41-A59F-3BB6DF50BCE1}"/>
            </c:ext>
          </c:extLst>
        </c:ser>
        <c:ser>
          <c:idx val="6"/>
          <c:order val="6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'[1]MFP-rsum'!$BG$41</c:f>
              <c:numCache>
                <c:formatCode>General</c:formatCode>
                <c:ptCount val="1"/>
                <c:pt idx="0">
                  <c:v>1.2781802750592626E-9</c:v>
                </c:pt>
              </c:numCache>
            </c:numRef>
          </c:xVal>
          <c:y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B2-4B41-A59F-3BB6DF50B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211920"/>
        <c:axId val="1253312992"/>
      </c:scatterChart>
      <c:valAx>
        <c:axId val="16552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Viscosity/(Dens*SoundVelocity)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12992"/>
        <c:crosses val="autoZero"/>
        <c:crossBetween val="midCat"/>
      </c:valAx>
      <c:valAx>
        <c:axId val="12533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52777777777779"/>
          <c:y val="6.1919655876348803E-2"/>
          <c:w val="0.2326388888888889"/>
          <c:h val="0.84838291046952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'[1]MFP-rsum'!$AV$2:$AV$22</c:f>
              <c:numCache>
                <c:formatCode>General</c:formatCode>
                <c:ptCount val="21"/>
                <c:pt idx="0">
                  <c:v>4269.1087370242376</c:v>
                </c:pt>
                <c:pt idx="1">
                  <c:v>3244.1979935953195</c:v>
                </c:pt>
                <c:pt idx="2">
                  <c:v>2869.8038485242841</c:v>
                </c:pt>
                <c:pt idx="5">
                  <c:v>3110.478857915858</c:v>
                </c:pt>
                <c:pt idx="6">
                  <c:v>2657.1618000655158</c:v>
                </c:pt>
                <c:pt idx="7">
                  <c:v>2210.6377568228363</c:v>
                </c:pt>
                <c:pt idx="8">
                  <c:v>3917.5733473420601</c:v>
                </c:pt>
                <c:pt idx="9">
                  <c:v>2566.1164547331541</c:v>
                </c:pt>
                <c:pt idx="10">
                  <c:v>2256.4072031288506</c:v>
                </c:pt>
                <c:pt idx="11">
                  <c:v>1706.9195730176784</c:v>
                </c:pt>
                <c:pt idx="12">
                  <c:v>3325.369452890061</c:v>
                </c:pt>
                <c:pt idx="14">
                  <c:v>2102.0122177701733</c:v>
                </c:pt>
                <c:pt idx="15">
                  <c:v>1332.8843910654564</c:v>
                </c:pt>
                <c:pt idx="16">
                  <c:v>1361.7772257843667</c:v>
                </c:pt>
              </c:numCache>
            </c:numRef>
          </c:xVal>
          <c:yVal>
            <c:numRef>
              <c:f>'MFP-rsum'!$AV$2:$AV$22</c:f>
              <c:numCache>
                <c:formatCode>0.00E+00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B-4B56-8C4A-735E2F7828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'[1]MFP-rsum'!$AV$23:$AV$40</c:f>
              <c:numCache>
                <c:formatCode>General</c:formatCode>
                <c:ptCount val="18"/>
                <c:pt idx="0">
                  <c:v>3031.5021274627966</c:v>
                </c:pt>
                <c:pt idx="1">
                  <c:v>4489.23185837235</c:v>
                </c:pt>
                <c:pt idx="2">
                  <c:v>3928.5026616668206</c:v>
                </c:pt>
                <c:pt idx="3">
                  <c:v>4749.3953484419217</c:v>
                </c:pt>
                <c:pt idx="4">
                  <c:v>4937.466210619561</c:v>
                </c:pt>
                <c:pt idx="5">
                  <c:v>3795.8303809762697</c:v>
                </c:pt>
                <c:pt idx="6">
                  <c:v>3449.509084380104</c:v>
                </c:pt>
                <c:pt idx="7">
                  <c:v>3132.7084908009401</c:v>
                </c:pt>
                <c:pt idx="8">
                  <c:v>3532.8676528038841</c:v>
                </c:pt>
                <c:pt idx="9">
                  <c:v>3321.033763100063</c:v>
                </c:pt>
                <c:pt idx="10">
                  <c:v>4633.4649403519479</c:v>
                </c:pt>
                <c:pt idx="11">
                  <c:v>3647.3492314127866</c:v>
                </c:pt>
                <c:pt idx="12">
                  <c:v>3505.1330931193306</c:v>
                </c:pt>
                <c:pt idx="13">
                  <c:v>1402.3754205361033</c:v>
                </c:pt>
                <c:pt idx="14">
                  <c:v>1611.4557750945648</c:v>
                </c:pt>
                <c:pt idx="15">
                  <c:v>2628.0818161314883</c:v>
                </c:pt>
                <c:pt idx="16">
                  <c:v>2395.4780479310921</c:v>
                </c:pt>
                <c:pt idx="17">
                  <c:v>2231.6285138229914</c:v>
                </c:pt>
              </c:numCache>
            </c:numRef>
          </c:xVal>
          <c:yVal>
            <c:numRef>
              <c:f>'MFP-rsum'!$AV$23:$AV$40</c:f>
              <c:numCache>
                <c:formatCode>0.00E+00</c:formatCode>
                <c:ptCount val="18"/>
                <c:pt idx="0">
                  <c:v>1968.0306331357569</c:v>
                </c:pt>
                <c:pt idx="1">
                  <c:v>2547.6863757231322</c:v>
                </c:pt>
                <c:pt idx="2">
                  <c:v>2012.468707779205</c:v>
                </c:pt>
                <c:pt idx="3">
                  <c:v>1781.433208193873</c:v>
                </c:pt>
                <c:pt idx="4">
                  <c:v>2319.1206460873409</c:v>
                </c:pt>
                <c:pt idx="5">
                  <c:v>2547.687552638462</c:v>
                </c:pt>
                <c:pt idx="6">
                  <c:v>2441.8705732183512</c:v>
                </c:pt>
                <c:pt idx="7">
                  <c:v>2348.7520215904742</c:v>
                </c:pt>
                <c:pt idx="8">
                  <c:v>2039.5014589190009</c:v>
                </c:pt>
                <c:pt idx="9">
                  <c:v>2024.776905844504</c:v>
                </c:pt>
                <c:pt idx="10">
                  <c:v>1885.1934295243609</c:v>
                </c:pt>
                <c:pt idx="11">
                  <c:v>2084.8843456983841</c:v>
                </c:pt>
                <c:pt idx="12">
                  <c:v>2298.228366828082</c:v>
                </c:pt>
                <c:pt idx="13">
                  <c:v>1451.7494609289899</c:v>
                </c:pt>
                <c:pt idx="14">
                  <c:v>1470.4555590061771</c:v>
                </c:pt>
                <c:pt idx="15" formatCode="General">
                  <c:v>1348.6175138087231</c:v>
                </c:pt>
                <c:pt idx="16" formatCode="General">
                  <c:v>1272.126022947567</c:v>
                </c:pt>
                <c:pt idx="17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B-4B56-8C4A-735E2F782868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'MFP-rsum'!$AV$41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9B-4B56-8C4A-735E2F782868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B59B-4B56-8C4A-735E2F782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vsound,calc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vsound,bulk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Pure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3695203635465"/>
                  <c:y val="-0.1512704141149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'[1]MFP-rsum'!$AY$2:$AY$22</c:f>
              <c:numCache>
                <c:formatCode>General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  <c:pt idx="8">
                  <c:v>87.9</c:v>
                </c:pt>
                <c:pt idx="9">
                  <c:v>94.9</c:v>
                </c:pt>
                <c:pt idx="10">
                  <c:v>99.914000000000001</c:v>
                </c:pt>
                <c:pt idx="11">
                  <c:v>99</c:v>
                </c:pt>
                <c:pt idx="12">
                  <c:v>92.048000000000002</c:v>
                </c:pt>
                <c:pt idx="13">
                  <c:v>102.533</c:v>
                </c:pt>
                <c:pt idx="14">
                  <c:v>104.6</c:v>
                </c:pt>
                <c:pt idx="15">
                  <c:v>155.6</c:v>
                </c:pt>
                <c:pt idx="16">
                  <c:v>141</c:v>
                </c:pt>
                <c:pt idx="17">
                  <c:v>123</c:v>
                </c:pt>
                <c:pt idx="18">
                  <c:v>168</c:v>
                </c:pt>
                <c:pt idx="19">
                  <c:v>174</c:v>
                </c:pt>
                <c:pt idx="20">
                  <c:v>150</c:v>
                </c:pt>
              </c:numCache>
            </c:numRef>
          </c:xVal>
          <c:yVal>
            <c:numRef>
              <c:f>'MFP-rsum'!$AE$2:$AE$22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8-4FC4-AAC8-E31FAB04E1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'[1]MFP-rsum'!$AY$23:$AY$40</c:f>
              <c:numCache>
                <c:formatCode>General</c:formatCode>
                <c:ptCount val="18"/>
                <c:pt idx="0">
                  <c:v>79.503360000000001</c:v>
                </c:pt>
                <c:pt idx="1">
                  <c:v>72.25800000000001</c:v>
                </c:pt>
                <c:pt idx="2">
                  <c:v>66.024000000000001</c:v>
                </c:pt>
                <c:pt idx="3">
                  <c:v>82.635000000000005</c:v>
                </c:pt>
                <c:pt idx="4">
                  <c:v>73.469400000000007</c:v>
                </c:pt>
                <c:pt idx="5">
                  <c:v>70.599000000000004</c:v>
                </c:pt>
                <c:pt idx="6">
                  <c:v>71.578500000000005</c:v>
                </c:pt>
                <c:pt idx="7">
                  <c:v>72.558000000000007</c:v>
                </c:pt>
                <c:pt idx="8">
                  <c:v>86.14464000000001</c:v>
                </c:pt>
                <c:pt idx="9">
                  <c:v>74.557488799999987</c:v>
                </c:pt>
                <c:pt idx="10">
                  <c:v>69.858500000000006</c:v>
                </c:pt>
                <c:pt idx="11">
                  <c:v>68.606440000000006</c:v>
                </c:pt>
                <c:pt idx="12">
                  <c:v>66.600000000000009</c:v>
                </c:pt>
                <c:pt idx="13">
                  <c:v>99.360600000000005</c:v>
                </c:pt>
                <c:pt idx="14">
                  <c:v>97.109960000000001</c:v>
                </c:pt>
                <c:pt idx="15">
                  <c:v>100.416</c:v>
                </c:pt>
                <c:pt idx="16">
                  <c:v>110.928</c:v>
                </c:pt>
                <c:pt idx="17">
                  <c:v>121.44</c:v>
                </c:pt>
              </c:numCache>
            </c:numRef>
          </c:xVal>
          <c:yVal>
            <c:numRef>
              <c:f>'MFP-rsum'!$AE$23:$AE$40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8-4FC4-AAC8-E31FAB04E1FB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78-4FC4-AAC8-E31FAB04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λ</a:t>
                </a:r>
                <a:r>
                  <a:rPr lang="en-US" sz="1000" b="0" i="0" u="none" strike="noStrike" baseline="0">
                    <a:effectLst/>
                  </a:rPr>
                  <a:t>_measured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9090113735782"/>
          <c:y val="4.3650793650793648E-2"/>
          <c:w val="0.51169898901526201"/>
          <c:h val="0.85554243219597548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('[1]MFP-rsum'!$AQ$7:$AQ$9,'[1]MFP-rsum'!$AQ$7:$AQ$9)</c:f>
              <c:numCache>
                <c:formatCode>General</c:formatCode>
                <c:ptCount val="6"/>
                <c:pt idx="0">
                  <c:v>3.9139936572305044E-10</c:v>
                </c:pt>
                <c:pt idx="1">
                  <c:v>4.3125848172746209E-10</c:v>
                </c:pt>
                <c:pt idx="2">
                  <c:v>4.4152298321701493E-10</c:v>
                </c:pt>
                <c:pt idx="3">
                  <c:v>3.9139936572305044E-10</c:v>
                </c:pt>
                <c:pt idx="4">
                  <c:v>4.3125848172746209E-10</c:v>
                </c:pt>
                <c:pt idx="5">
                  <c:v>4.4152298321701493E-10</c:v>
                </c:pt>
              </c:numCache>
            </c:numRef>
          </c:xVal>
          <c:yVal>
            <c:numRef>
              <c:f>'[1]MFP-rsum'!$AM$7:$AM$9</c:f>
              <c:numCache>
                <c:formatCode>General</c:formatCode>
                <c:ptCount val="3"/>
                <c:pt idx="0">
                  <c:v>2.5700000000000004E-10</c:v>
                </c:pt>
                <c:pt idx="1">
                  <c:v>2.8300000000000001E-10</c:v>
                </c:pt>
                <c:pt idx="2">
                  <c:v>3.1899999999999998E-10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B-49A7-9C4E-123F7845B938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('[1]MFP-rsum'!$AQ$2:$AQ$4,'[1]MFP-rsum'!$AQ$10,'[1]MFP-rsum'!$AQ$10:$AQ$13)</c:f>
              <c:numCache>
                <c:formatCode>General</c:formatCode>
                <c:ptCount val="8"/>
                <c:pt idx="0">
                  <c:v>3.5020163515113658E-10</c:v>
                </c:pt>
                <c:pt idx="1">
                  <c:v>3.6556534571800534E-10</c:v>
                </c:pt>
                <c:pt idx="2">
                  <c:v>4.2816386420947E-10</c:v>
                </c:pt>
                <c:pt idx="3">
                  <c:v>2.5678418596676501E-10</c:v>
                </c:pt>
                <c:pt idx="4">
                  <c:v>2.5678418596676501E-10</c:v>
                </c:pt>
                <c:pt idx="5">
                  <c:v>2.4179714709519052E-10</c:v>
                </c:pt>
                <c:pt idx="6">
                  <c:v>3.0739804614922655E-10</c:v>
                </c:pt>
                <c:pt idx="7">
                  <c:v>3.0633262750424528E-10</c:v>
                </c:pt>
              </c:numCache>
            </c:numRef>
          </c:xVal>
          <c:yVal>
            <c:numRef>
              <c:f>('[1]MFP-rsum'!$AM$2:$AM$4,'[1]MFP-rsum'!$AM$10,'[1]MFP-rsum'!$AM$11,'[1]MFP-rsum'!$AM$12,'[1]MFP-rsum'!$AM$13)</c:f>
              <c:numCache>
                <c:formatCode>General</c:formatCode>
                <c:ptCount val="7"/>
                <c:pt idx="0">
                  <c:v>2.0900000000000005E-10</c:v>
                </c:pt>
                <c:pt idx="1">
                  <c:v>2.3499999999999996E-10</c:v>
                </c:pt>
                <c:pt idx="2">
                  <c:v>2.710000000000001E-10</c:v>
                </c:pt>
                <c:pt idx="3">
                  <c:v>1.6699999999999999E-10</c:v>
                </c:pt>
                <c:pt idx="4">
                  <c:v>2.0499999999999996E-10</c:v>
                </c:pt>
                <c:pt idx="5">
                  <c:v>2.3299999999999997E-10</c:v>
                </c:pt>
                <c:pt idx="6">
                  <c:v>2.5100000000000012E-10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B-49A7-9C4E-123F7845B938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'[1]MFP-rsum'!$AQ$31:$AQ$32</c:f>
              <c:numCache>
                <c:formatCode>General</c:formatCode>
                <c:ptCount val="2"/>
                <c:pt idx="0">
                  <c:v>3.9568089407094871E-10</c:v>
                </c:pt>
                <c:pt idx="1">
                  <c:v>3.6921059218577845E-10</c:v>
                </c:pt>
              </c:numCache>
            </c:numRef>
          </c:xVal>
          <c:yVal>
            <c:numRef>
              <c:f>'[1]MFP-rsum'!$AM$31:$AM$32</c:f>
              <c:numCache>
                <c:formatCode>General</c:formatCode>
                <c:ptCount val="2"/>
                <c:pt idx="0">
                  <c:v>2.2842400000000006E-10</c:v>
                </c:pt>
                <c:pt idx="1">
                  <c:v>2.2510131898000011E-10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BB-49A7-9C4E-123F7845B938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('[1]MFP-rsum'!$AQ$24:$AQ$25,'[1]MFP-rsum'!$AQ$28,'[1]MFP-rsum'!$AQ$33,'[1]MFP-rsum'!$AQ$35)</c:f>
              <c:numCache>
                <c:formatCode>General</c:formatCode>
                <c:ptCount val="5"/>
                <c:pt idx="0">
                  <c:v>2.9961734518972644E-10</c:v>
                </c:pt>
                <c:pt idx="1">
                  <c:v>3.4185873702814765E-10</c:v>
                </c:pt>
                <c:pt idx="2">
                  <c:v>2.6219323241660306E-10</c:v>
                </c:pt>
                <c:pt idx="3">
                  <c:v>4.7554516048842846E-10</c:v>
                </c:pt>
                <c:pt idx="4">
                  <c:v>2.6946274087941797E-10</c:v>
                </c:pt>
              </c:numCache>
            </c:numRef>
          </c:xVal>
          <c:yVal>
            <c:numRef>
              <c:f>('[1]MFP-rsum'!$AM$24:$AM$25,'[1]MFP-rsum'!$AM$28,'[1]MFP-rsum'!$AM$33,'[1]MFP-rsum'!$AM$35)</c:f>
              <c:numCache>
                <c:formatCode>General</c:formatCode>
                <c:ptCount val="5"/>
                <c:pt idx="0">
                  <c:v>1.7003600000000001E-10</c:v>
                </c:pt>
                <c:pt idx="1">
                  <c:v>1.7512524999999998E-10</c:v>
                </c:pt>
                <c:pt idx="2">
                  <c:v>1.7597899999999999E-10</c:v>
                </c:pt>
                <c:pt idx="3">
                  <c:v>1.9348255000000005E-10</c:v>
                </c:pt>
                <c:pt idx="4">
                  <c:v>1.7668000000000003E-10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BB-49A7-9C4E-123F7845B938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'[1]MFP-rsum'!$AQ$36:$AQ$37</c:f>
              <c:numCache>
                <c:formatCode>General</c:formatCode>
                <c:ptCount val="2"/>
                <c:pt idx="0">
                  <c:v>2.292914368173461E-10</c:v>
                </c:pt>
                <c:pt idx="1">
                  <c:v>2.6162169932534978E-10</c:v>
                </c:pt>
              </c:numCache>
            </c:numRef>
          </c:xVal>
          <c:yVal>
            <c:numRef>
              <c:f>'[1]MFP-rsum'!$AM$36:$AM$37</c:f>
              <c:numCache>
                <c:formatCode>General</c:formatCode>
                <c:ptCount val="2"/>
                <c:pt idx="0">
                  <c:v>2.3736419999999999E-10</c:v>
                </c:pt>
                <c:pt idx="1">
                  <c:v>2.3873015199999994E-10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BB-49A7-9C4E-123F7845B938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('[1]MFP-rsum'!$AQ$26:$AQ$27,'[1]MFP-rsum'!$AQ$29:$AQ$30,'[1]MFP-rsum'!$AQ$38:$AQ$40)</c:f>
              <c:numCache>
                <c:formatCode>General</c:formatCode>
                <c:ptCount val="7"/>
                <c:pt idx="0">
                  <c:v>4.5395271003303991E-10</c:v>
                </c:pt>
                <c:pt idx="1">
                  <c:v>3.6941149917364205E-10</c:v>
                </c:pt>
                <c:pt idx="2">
                  <c:v>2.4769981669004444E-10</c:v>
                </c:pt>
                <c:pt idx="3">
                  <c:v>2.3305383798131233E-10</c:v>
                </c:pt>
                <c:pt idx="4">
                  <c:v>3.3093601826261176E-10</c:v>
                </c:pt>
                <c:pt idx="5">
                  <c:v>3.171208353723041E-10</c:v>
                </c:pt>
                <c:pt idx="6">
                  <c:v>3.1210834180383304E-10</c:v>
                </c:pt>
              </c:numCache>
            </c:numRef>
          </c:xVal>
          <c:yVal>
            <c:numRef>
              <c:f>('[1]MFP-rsum'!$AM$26:$AM$27,'[1]MFP-rsum'!$AM$29:$AM$30,'[1]MFP-rsum'!$AM$38:$AM$40)</c:f>
              <c:numCache>
                <c:formatCode>General</c:formatCode>
                <c:ptCount val="7"/>
                <c:pt idx="0">
                  <c:v>1.7027145000000005E-10</c:v>
                </c:pt>
                <c:pt idx="1">
                  <c:v>1.7351204000000004E-10</c:v>
                </c:pt>
                <c:pt idx="2">
                  <c:v>1.7534405000000001E-10</c:v>
                </c:pt>
                <c:pt idx="3">
                  <c:v>1.7473239999999999E-10</c:v>
                </c:pt>
                <c:pt idx="4">
                  <c:v>1.6982200000000003E-10</c:v>
                </c:pt>
                <c:pt idx="5">
                  <c:v>1.68408E-10</c:v>
                </c:pt>
                <c:pt idx="6">
                  <c:v>1.6994999999999999E-10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BB-49A7-9C4E-123F7845B938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'[1]MFP-rsum'!$AQ$17:$AQ$18</c:f>
              <c:numCache>
                <c:formatCode>General</c:formatCode>
                <c:ptCount val="2"/>
                <c:pt idx="0">
                  <c:v>2.4428327814458135E-10</c:v>
                </c:pt>
                <c:pt idx="1">
                  <c:v>2.8444875708406813E-10</c:v>
                </c:pt>
              </c:numCache>
            </c:numRef>
          </c:xVal>
          <c:yVal>
            <c:numRef>
              <c:f>'[1]MFP-rsum'!$AM$17:$AM$18</c:f>
              <c:numCache>
                <c:formatCode>General</c:formatCode>
                <c:ptCount val="2"/>
                <c:pt idx="0">
                  <c:v>3.3300000000000009E-10</c:v>
                </c:pt>
                <c:pt idx="1">
                  <c:v>3.6899999999999997E-10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BB-49A7-9C4E-123F7845B938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'[1]MFP-rsum'!$AQ$41</c:f>
              <c:numCache>
                <c:formatCode>General</c:formatCode>
                <c:ptCount val="1"/>
                <c:pt idx="0">
                  <c:v>2.8676430958411341E-10</c:v>
                </c:pt>
              </c:numCache>
            </c:numRef>
          </c:xVal>
          <c:yVal>
            <c:numRef>
              <c:f>'[1]MFP-rsum'!$AM$41</c:f>
              <c:numCache>
                <c:formatCode>General</c:formatCode>
                <c:ptCount val="1"/>
                <c:pt idx="0">
                  <c:v>3.1000000000000002E-10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BB-49A7-9C4E-123F7845B938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9.9999999999999994E-12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EDBB-49A7-9C4E-123F7845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6.0000000000000031E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MFP_calc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.0000000000000031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MFP r_sum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Unary Salts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'MFP-rsum'!$AE$2:$AE$22</c:f>
              <c:numCache>
                <c:formatCode>General</c:formatCode>
                <c:ptCount val="21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  <c:pt idx="5">
                  <c:v>0.61260000000000003</c:v>
                </c:pt>
                <c:pt idx="6">
                  <c:v>0.46649999999999997</c:v>
                </c:pt>
                <c:pt idx="7">
                  <c:v>0.35505000000000003</c:v>
                </c:pt>
                <c:pt idx="8">
                  <c:v>0.79925905600000002</c:v>
                </c:pt>
                <c:pt idx="9">
                  <c:v>0.65067779999999997</c:v>
                </c:pt>
                <c:pt idx="10">
                  <c:v>0.56480320000000006</c:v>
                </c:pt>
                <c:pt idx="11">
                  <c:v>0.39041500000000001</c:v>
                </c:pt>
                <c:pt idx="12">
                  <c:v>0.45680000000000004</c:v>
                </c:pt>
                <c:pt idx="13">
                  <c:v>0.44125000000000003</c:v>
                </c:pt>
                <c:pt idx="14">
                  <c:v>0.37705</c:v>
                </c:pt>
                <c:pt idx="15">
                  <c:v>0.51224999999999998</c:v>
                </c:pt>
                <c:pt idx="16">
                  <c:v>0.40920000000000001</c:v>
                </c:pt>
              </c:numCache>
            </c:numRef>
          </c:xVal>
          <c:yVal>
            <c:numRef>
              <c:f>'MFP-rsum'!$BH$2:$BH$22</c:f>
              <c:numCache>
                <c:formatCode>0.00E+00</c:formatCode>
                <c:ptCount val="21"/>
                <c:pt idx="0">
                  <c:v>2.4074556929577473</c:v>
                </c:pt>
                <c:pt idx="1">
                  <c:v>1.5928006250000002</c:v>
                </c:pt>
                <c:pt idx="2">
                  <c:v>1.0832615250000002</c:v>
                </c:pt>
                <c:pt idx="3">
                  <c:v>0.97672613445378154</c:v>
                </c:pt>
                <c:pt idx="4">
                  <c:v>0.90426483807439795</c:v>
                </c:pt>
                <c:pt idx="5">
                  <c:v>1.2067507722882802</c:v>
                </c:pt>
                <c:pt idx="6">
                  <c:v>0.91247770126958827</c:v>
                </c:pt>
                <c:pt idx="7">
                  <c:v>0.7677994436036033</c:v>
                </c:pt>
                <c:pt idx="8">
                  <c:v>1.5583300224999999</c:v>
                </c:pt>
                <c:pt idx="9">
                  <c:v>1.6549692657972619</c:v>
                </c:pt>
                <c:pt idx="10">
                  <c:v>1.284319928983366</c:v>
                </c:pt>
                <c:pt idx="11">
                  <c:v>0.95968391416590448</c:v>
                </c:pt>
                <c:pt idx="12">
                  <c:v>0.86583173412436731</c:v>
                </c:pt>
                <c:pt idx="13">
                  <c:v>1.1193326988383441</c:v>
                </c:pt>
                <c:pt idx="14">
                  <c:v>1.0079822474807616</c:v>
                </c:pt>
                <c:pt idx="15">
                  <c:v>2.1075643801208859</c:v>
                </c:pt>
                <c:pt idx="16">
                  <c:v>1.7001914583795779</c:v>
                </c:pt>
                <c:pt idx="17">
                  <c:v>0.99852953223491447</c:v>
                </c:pt>
                <c:pt idx="18">
                  <c:v>1.0319728126683063</c:v>
                </c:pt>
                <c:pt idx="19">
                  <c:v>0.84522095047329426</c:v>
                </c:pt>
                <c:pt idx="20">
                  <c:v>0.73940075130398031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A-4CD1-A217-0B2226BFF2FF}"/>
            </c:ext>
          </c:extLst>
        </c:ser>
        <c:ser>
          <c:idx val="1"/>
          <c:order val="1"/>
          <c:tx>
            <c:v>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'MFP-rsum'!$AE$23:$AE$40</c:f>
              <c:numCache>
                <c:formatCode>General</c:formatCode>
                <c:ptCount val="18"/>
                <c:pt idx="0">
                  <c:v>0.43524000000000002</c:v>
                </c:pt>
                <c:pt idx="1">
                  <c:v>1.1000000000000001</c:v>
                </c:pt>
                <c:pt idx="2">
                  <c:v>0.78024246508674777</c:v>
                </c:pt>
                <c:pt idx="3">
                  <c:v>1.1599999999999999</c:v>
                </c:pt>
                <c:pt idx="4">
                  <c:v>1.24</c:v>
                </c:pt>
                <c:pt idx="5">
                  <c:v>0.98602842355479869</c:v>
                </c:pt>
                <c:pt idx="6">
                  <c:v>0.89056771657477962</c:v>
                </c:pt>
                <c:pt idx="7">
                  <c:v>0.80397278022492213</c:v>
                </c:pt>
                <c:pt idx="8">
                  <c:v>0.45966666666666672</c:v>
                </c:pt>
                <c:pt idx="9">
                  <c:v>0.46554761904761921</c:v>
                </c:pt>
                <c:pt idx="10">
                  <c:v>0.82855603900974906</c:v>
                </c:pt>
                <c:pt idx="11">
                  <c:v>0.58438111223711209</c:v>
                </c:pt>
                <c:pt idx="12">
                  <c:v>0.86544945017475028</c:v>
                </c:pt>
                <c:pt idx="13">
                  <c:v>0.23926257714495269</c:v>
                </c:pt>
                <c:pt idx="14">
                  <c:v>0.27567442291687039</c:v>
                </c:pt>
                <c:pt idx="15">
                  <c:v>0.49395061728395051</c:v>
                </c:pt>
                <c:pt idx="16">
                  <c:v>0.45693693693693682</c:v>
                </c:pt>
                <c:pt idx="17">
                  <c:v>0.43928571428571439</c:v>
                </c:pt>
              </c:numCache>
            </c:numRef>
          </c:xVal>
          <c:yVal>
            <c:numRef>
              <c:f>'MFP-rsum'!$BH$23:$BH$40</c:f>
              <c:numCache>
                <c:formatCode>0.00E+00</c:formatCode>
                <c:ptCount val="18"/>
                <c:pt idx="0">
                  <c:v>1.0012622656050758</c:v>
                </c:pt>
                <c:pt idx="1">
                  <c:v>2.144655542532433</c:v>
                </c:pt>
                <c:pt idx="2">
                  <c:v>1.6298057692991486</c:v>
                </c:pt>
                <c:pt idx="3">
                  <c:v>1.5504478427913193</c:v>
                </c:pt>
                <c:pt idx="4">
                  <c:v>2.0064012128967437</c:v>
                </c:pt>
                <c:pt idx="5">
                  <c:v>2.2300161190678374</c:v>
                </c:pt>
                <c:pt idx="6">
                  <c:v>2.1356383331820226</c:v>
                </c:pt>
                <c:pt idx="7">
                  <c:v>2.0526582519863603</c:v>
                </c:pt>
                <c:pt idx="8">
                  <c:v>0.95534428289130302</c:v>
                </c:pt>
                <c:pt idx="9">
                  <c:v>1.1063673947365391</c:v>
                </c:pt>
                <c:pt idx="10">
                  <c:v>1.3291703880030297</c:v>
                </c:pt>
                <c:pt idx="11">
                  <c:v>1.2281188280731332</c:v>
                </c:pt>
                <c:pt idx="12">
                  <c:v>2.1139799374338306</c:v>
                </c:pt>
                <c:pt idx="13">
                  <c:v>0.90213603838016931</c:v>
                </c:pt>
                <c:pt idx="14">
                  <c:v>0.90973865348690997</c:v>
                </c:pt>
                <c:pt idx="15">
                  <c:v>1.3814693608443664</c:v>
                </c:pt>
                <c:pt idx="16">
                  <c:v>1.418806200605961</c:v>
                </c:pt>
                <c:pt idx="17">
                  <c:v>1.4691117612052709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CA-4CD1-A217-0B2226BFF2FF}"/>
            </c:ext>
          </c:extLst>
        </c:ser>
        <c:ser>
          <c:idx val="2"/>
          <c:order val="2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xVal>
          <c:yVal>
            <c:numRef>
              <c:f>'MFP-rsum'!$BH$41</c:f>
              <c:numCache>
                <c:formatCode>0.00E+00</c:formatCode>
                <c:ptCount val="1"/>
                <c:pt idx="0">
                  <c:v>1.8193686681465038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CA-4CD1-A217-0B2226BFF2FF}"/>
            </c:ext>
          </c:extLst>
        </c:ser>
        <c:ser>
          <c:idx val="3"/>
          <c:order val="3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0.2</c:v>
              </c:pt>
              <c:pt idx="2">
                <c:v>0.4</c:v>
              </c:pt>
              <c:pt idx="3">
                <c:v>0.6</c:v>
              </c:pt>
              <c:pt idx="4">
                <c:v>0.8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DCA-4CD1-A217-0B2226BF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kExp.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1/3*cp*vs*davg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'MFP-rsum'!$AE$7:$AE$9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C-4295-AA6D-9B7FAE5B96E4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('MFP-rsum'!$AE$3:$AE$4,'MFP-rsum'!$AE$10:$AE$13)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C-4295-AA6D-9B7FAE5B96E4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'MFP-rsum'!$AE$31:$AE$32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C-4295-AA6D-9B7FAE5B96E4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('MFP-rsum'!$AE$24,'MFP-rsum'!$AE$25,'MFP-rsum'!$AE$28,'MFP-rsum'!$AE$33,'MFP-rsum'!$AE$35)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8C-4295-AA6D-9B7FAE5B96E4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'MFP-rsum'!$AE$36:$AE$37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8C-4295-AA6D-9B7FAE5B96E4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('MFP-rsum'!$AE$26:$AE$27,'MFP-rsum'!$AE$29:$AE$30,'MFP-rsum'!$AE$38:$AE$40)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8C-4295-AA6D-9B7FAE5B96E4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'MFP-rsum'!$AE$17:$AE$18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8C-4295-AA6D-9B7FAE5B96E4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F8C-4295-AA6D-9B7FAE5B96E4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5F8C-4295-AA6D-9B7FAE5B9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5782055020897"/>
          <c:y val="4.3650793650793648E-2"/>
          <c:w val="0.52816515991056678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('[1]MFP-rsum'!$BA$7,'[1]MFP-rsum'!$BA$8,'[1]MFP-rsum'!$BA$9,'[1]MFP-rsum'!$BA$14)</c:f>
              <c:numCache>
                <c:formatCode>General</c:formatCode>
                <c:ptCount val="4"/>
                <c:pt idx="0">
                  <c:v>99.022516573201301</c:v>
                </c:pt>
                <c:pt idx="1">
                  <c:v>106.09263426807742</c:v>
                </c:pt>
                <c:pt idx="2">
                  <c:v>101.86862559489748</c:v>
                </c:pt>
                <c:pt idx="3">
                  <c:v>145.68948472138237</c:v>
                </c:pt>
              </c:numCache>
            </c:numRef>
          </c:xVal>
          <c:yVal>
            <c:numRef>
              <c:f>('[1]MFP-rsum'!$AY$7,'[1]MFP-rsum'!$AY$8,'[1]MFP-rsum'!$AY$9,'[1]MFP-rsum'!$AY$14)</c:f>
              <c:numCache>
                <c:formatCode>General</c:formatCode>
                <c:ptCount val="4"/>
                <c:pt idx="0">
                  <c:v>65.02</c:v>
                </c:pt>
                <c:pt idx="1">
                  <c:v>69.62</c:v>
                </c:pt>
                <c:pt idx="2">
                  <c:v>73.599999999999994</c:v>
                </c:pt>
                <c:pt idx="3">
                  <c:v>92.048000000000002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5-4ED8-8392-28C2F7E462D1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('[1]MFP-rsum'!$BA$2:$BA$4,'[1]MFP-rsum'!$BA$10:$BA$13)</c:f>
              <c:numCache>
                <c:formatCode>General</c:formatCode>
                <c:ptCount val="7"/>
                <c:pt idx="0">
                  <c:v>107.57389941006203</c:v>
                </c:pt>
                <c:pt idx="1">
                  <c:v>109.20292455065521</c:v>
                </c:pt>
                <c:pt idx="2">
                  <c:v>105.69801666278057</c:v>
                </c:pt>
                <c:pt idx="3">
                  <c:v>135.15766435017156</c:v>
                </c:pt>
                <c:pt idx="4">
                  <c:v>111.93438663089556</c:v>
                </c:pt>
                <c:pt idx="5">
                  <c:v>131.8170316864971</c:v>
                </c:pt>
                <c:pt idx="6">
                  <c:v>120.82442280047917</c:v>
                </c:pt>
              </c:numCache>
            </c:numRef>
          </c:xVal>
          <c:yVal>
            <c:numRef>
              <c:f>('[1]MFP-rsum'!$AY$2:$AY$4,'[1]MFP-rsum'!$AY$10,'[1]MFP-rsum'!$AY$11,'[1]MFP-rsum'!$AY$12,'[1]MFP-rsum'!$AY$13)</c:f>
              <c:numCache>
                <c:formatCode>General</c:formatCode>
                <c:ptCount val="7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87.9</c:v>
                </c:pt>
                <c:pt idx="4">
                  <c:v>94.9</c:v>
                </c:pt>
                <c:pt idx="5">
                  <c:v>99.914000000000001</c:v>
                </c:pt>
                <c:pt idx="6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5-4ED8-8392-28C2F7E462D1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('[1]MFP-rsum'!$BA$23,'[1]MFP-rsum'!$BA$31,'[1]MFP-rsum'!$BA$32,'[1]MFP-rsum'!$BA$34)</c:f>
              <c:numCache>
                <c:formatCode>General</c:formatCode>
                <c:ptCount val="4"/>
                <c:pt idx="0">
                  <c:v>122.46486458212317</c:v>
                </c:pt>
                <c:pt idx="1">
                  <c:v>149.22157117737191</c:v>
                </c:pt>
                <c:pt idx="2">
                  <c:v>122.288997312265</c:v>
                </c:pt>
                <c:pt idx="3">
                  <c:v>120.0218356093734</c:v>
                </c:pt>
              </c:numCache>
            </c:numRef>
          </c:xVal>
          <c:yVal>
            <c:numRef>
              <c:f>('[1]MFP-rsum'!$AY$23,'[1]MFP-rsum'!$AY$31,'[1]MFP-rsum'!$AY$32,'[1]MFP-rsum'!$AY$34,'[1]MFP-rsum'!$AY$36,'[1]MFP-rsum'!$AY$36)</c:f>
              <c:numCache>
                <c:formatCode>General</c:formatCode>
                <c:ptCount val="6"/>
                <c:pt idx="0">
                  <c:v>79.503360000000001</c:v>
                </c:pt>
                <c:pt idx="1">
                  <c:v>86.14464000000001</c:v>
                </c:pt>
                <c:pt idx="2">
                  <c:v>74.557488799999987</c:v>
                </c:pt>
                <c:pt idx="3">
                  <c:v>68.606440000000006</c:v>
                </c:pt>
                <c:pt idx="4">
                  <c:v>99.360600000000005</c:v>
                </c:pt>
                <c:pt idx="5">
                  <c:v>99.360600000000005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5-4ED8-8392-28C2F7E462D1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('[1]MFP-rsum'!$BA$24:$BA$25,'[1]MFP-rsum'!$BA$28,'[1]MFP-rsum'!$BA$33,'[1]MFP-rsum'!$BA$35)</c:f>
              <c:numCache>
                <c:formatCode>General</c:formatCode>
                <c:ptCount val="5"/>
                <c:pt idx="0">
                  <c:v>127.32450850831152</c:v>
                </c:pt>
                <c:pt idx="1">
                  <c:v>128.88422002850203</c:v>
                </c:pt>
                <c:pt idx="2">
                  <c:v>105.18630072553975</c:v>
                </c:pt>
                <c:pt idx="3">
                  <c:v>171.69957494348131</c:v>
                </c:pt>
                <c:pt idx="4">
                  <c:v>101.57470309355466</c:v>
                </c:pt>
              </c:numCache>
            </c:numRef>
          </c:xVal>
          <c:yVal>
            <c:numRef>
              <c:f>('[1]MFP-rsum'!$AY$24:$AY$25,'[1]MFP-rsum'!$AY$28,'[1]MFP-rsum'!$AY$33,'[1]MFP-rsum'!$AY$35)</c:f>
              <c:numCache>
                <c:formatCode>General</c:formatCode>
                <c:ptCount val="5"/>
                <c:pt idx="0">
                  <c:v>72.25800000000001</c:v>
                </c:pt>
                <c:pt idx="1">
                  <c:v>66.024000000000001</c:v>
                </c:pt>
                <c:pt idx="2">
                  <c:v>70.599000000000004</c:v>
                </c:pt>
                <c:pt idx="3">
                  <c:v>69.858500000000006</c:v>
                </c:pt>
                <c:pt idx="4">
                  <c:v>66.600000000000009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5-4ED8-8392-28C2F7E462D1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'[1]MFP-rsum'!$BA$36:$BA$37</c:f>
              <c:numCache>
                <c:formatCode>General</c:formatCode>
                <c:ptCount val="2"/>
                <c:pt idx="0">
                  <c:v>95.981343172363822</c:v>
                </c:pt>
                <c:pt idx="1">
                  <c:v>106.42171733973825</c:v>
                </c:pt>
              </c:numCache>
            </c:numRef>
          </c:xVal>
          <c:yVal>
            <c:numRef>
              <c:f>'[1]MFP-rsum'!$AY$36:$AY$37</c:f>
              <c:numCache>
                <c:formatCode>General</c:formatCode>
                <c:ptCount val="2"/>
                <c:pt idx="0">
                  <c:v>99.360600000000005</c:v>
                </c:pt>
                <c:pt idx="1">
                  <c:v>97.109960000000001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5-4ED8-8392-28C2F7E462D1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('[1]MFP-rsum'!$BA$26:$BA$27,'[1]MFP-rsum'!$BA$29:$BA$30,'[1]MFP-rsum'!$BA$38:$BA$40)</c:f>
              <c:numCache>
                <c:formatCode>General</c:formatCode>
                <c:ptCount val="7"/>
                <c:pt idx="0">
                  <c:v>220.30928962888524</c:v>
                </c:pt>
                <c:pt idx="1">
                  <c:v>156.41820128094841</c:v>
                </c:pt>
                <c:pt idx="2">
                  <c:v>101.11538617334517</c:v>
                </c:pt>
                <c:pt idx="3">
                  <c:v>96.776100919165899</c:v>
                </c:pt>
                <c:pt idx="4">
                  <c:v>195.68295750761632</c:v>
                </c:pt>
                <c:pt idx="5">
                  <c:v>208.88306984335037</c:v>
                </c:pt>
                <c:pt idx="6">
                  <c:v>223.02110637633118</c:v>
                </c:pt>
              </c:numCache>
            </c:numRef>
          </c:xVal>
          <c:yVal>
            <c:numRef>
              <c:f>('[1]MFP-rsum'!$AY$26:$AY$27,'[1]MFP-rsum'!$AY$29:$AY$30,'[1]MFP-rsum'!$AY$38:$AY$40)</c:f>
              <c:numCache>
                <c:formatCode>General</c:formatCode>
                <c:ptCount val="7"/>
                <c:pt idx="0">
                  <c:v>82.635000000000005</c:v>
                </c:pt>
                <c:pt idx="1">
                  <c:v>73.469400000000007</c:v>
                </c:pt>
                <c:pt idx="2">
                  <c:v>71.578500000000005</c:v>
                </c:pt>
                <c:pt idx="3">
                  <c:v>72.558000000000007</c:v>
                </c:pt>
                <c:pt idx="4">
                  <c:v>100.416</c:v>
                </c:pt>
                <c:pt idx="5">
                  <c:v>110.928</c:v>
                </c:pt>
                <c:pt idx="6">
                  <c:v>121.44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5-4ED8-8392-28C2F7E462D1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'[1]MFP-rsum'!$BA$17:$BA$18</c:f>
              <c:numCache>
                <c:formatCode>General</c:formatCode>
                <c:ptCount val="2"/>
                <c:pt idx="0">
                  <c:v>114.14557981770825</c:v>
                </c:pt>
                <c:pt idx="1">
                  <c:v>108.69180148740814</c:v>
                </c:pt>
              </c:numCache>
            </c:numRef>
          </c:xVal>
          <c:yVal>
            <c:numRef>
              <c:f>'[1]MFP-rsum'!$AY$17:$AY$18</c:f>
              <c:numCache>
                <c:formatCode>General</c:formatCode>
                <c:ptCount val="2"/>
                <c:pt idx="0">
                  <c:v>155.6</c:v>
                </c:pt>
                <c:pt idx="1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55-4ED8-8392-28C2F7E462D1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'[1]MFP-rsum'!$BA$41</c:f>
              <c:numCache>
                <c:formatCode>General</c:formatCode>
                <c:ptCount val="1"/>
                <c:pt idx="0">
                  <c:v>69.72997953693698</c:v>
                </c:pt>
              </c:numCache>
            </c:numRef>
          </c:xVal>
          <c:yVal>
            <c:numRef>
              <c:f>'[1]MFP-rsum'!$AY$41</c:f>
              <c:numCache>
                <c:formatCode>General</c:formatCode>
                <c:ptCount val="1"/>
                <c:pt idx="0">
                  <c:v>75.38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655-4ED8-8392-28C2F7E462D1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.000000000000001E-2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1655-4ED8-8392-28C2F7E46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C_p,calc (phonon)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C_p,measured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67928915135608048"/>
          <c:y val="0.19865860517435321"/>
          <c:w val="0.32071082567580395"/>
          <c:h val="0.5938457986006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0991542723829"/>
          <c:y val="4.3650793650793648E-2"/>
          <c:w val="0.51074058688893342"/>
          <c:h val="0.82379640044994373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'[1]MFP-rsum'!$AV$7:$AV$9</c:f>
              <c:numCache>
                <c:formatCode>General</c:formatCode>
                <c:ptCount val="3"/>
                <c:pt idx="0">
                  <c:v>3110.478857915858</c:v>
                </c:pt>
                <c:pt idx="1">
                  <c:v>2657.1618000655158</c:v>
                </c:pt>
                <c:pt idx="2">
                  <c:v>2210.6377568228363</c:v>
                </c:pt>
              </c:numCache>
            </c:numRef>
          </c:xVal>
          <c:yVal>
            <c:numRef>
              <c:f>'MFP-rsum'!$AV$7:$AV$9</c:f>
              <c:numCache>
                <c:formatCode>0.00E+00</c:formatCode>
                <c:ptCount val="3"/>
                <c:pt idx="0">
                  <c:v>2042.3974499999999</c:v>
                </c:pt>
                <c:pt idx="1">
                  <c:v>1743.6799999999998</c:v>
                </c:pt>
                <c:pt idx="2">
                  <c:v>1597.1839999999997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6-48F5-AC40-55D3B3D4D242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('[1]MFP-rsum'!$AV$10:$AV$13,'[1]MFP-rsum'!$AV$3:$AV$4)</c:f>
              <c:numCache>
                <c:formatCode>General</c:formatCode>
                <c:ptCount val="6"/>
                <c:pt idx="0">
                  <c:v>3917.5733473420601</c:v>
                </c:pt>
                <c:pt idx="1">
                  <c:v>2566.1164547331541</c:v>
                </c:pt>
                <c:pt idx="2">
                  <c:v>2256.4072031288506</c:v>
                </c:pt>
                <c:pt idx="3">
                  <c:v>1706.9195730176784</c:v>
                </c:pt>
                <c:pt idx="4">
                  <c:v>3244.1979935953195</c:v>
                </c:pt>
                <c:pt idx="5">
                  <c:v>2869.8038485242841</c:v>
                </c:pt>
              </c:numCache>
            </c:numRef>
          </c:xVal>
          <c:yVal>
            <c:numRef>
              <c:f>('MFP-rsum'!$AV$3:$AV$4,'MFP-rsum'!$AV$10:$AV$13)</c:f>
              <c:numCache>
                <c:formatCode>0.00E+00</c:formatCode>
                <c:ptCount val="6"/>
                <c:pt idx="0">
                  <c:v>2085.5</c:v>
                </c:pt>
                <c:pt idx="1">
                  <c:v>1816.4</c:v>
                </c:pt>
                <c:pt idx="2">
                  <c:v>2547.8000000000002</c:v>
                </c:pt>
                <c:pt idx="3">
                  <c:v>2175.6</c:v>
                </c:pt>
                <c:pt idx="4">
                  <c:v>1710.3</c:v>
                </c:pt>
                <c:pt idx="5">
                  <c:v>1398.6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6-48F5-AC40-55D3B3D4D242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'[1]MFP-rsum'!$AV$31:$AV$32</c:f>
              <c:numCache>
                <c:formatCode>General</c:formatCode>
                <c:ptCount val="2"/>
                <c:pt idx="0">
                  <c:v>3532.8676528038841</c:v>
                </c:pt>
                <c:pt idx="1">
                  <c:v>3321.033763100063</c:v>
                </c:pt>
              </c:numCache>
            </c:numRef>
          </c:xVal>
          <c:yVal>
            <c:numRef>
              <c:f>'MFP-rsum'!$AV$31:$AV$32</c:f>
              <c:numCache>
                <c:formatCode>0.00E+00</c:formatCode>
                <c:ptCount val="2"/>
                <c:pt idx="0">
                  <c:v>2039.5014589190009</c:v>
                </c:pt>
                <c:pt idx="1">
                  <c:v>2024.776905844504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6-48F5-AC40-55D3B3D4D242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'[1]MFP-rsum'!$AV$24:$AV$25</c:f>
              <c:numCache>
                <c:formatCode>General</c:formatCode>
                <c:ptCount val="2"/>
                <c:pt idx="0">
                  <c:v>4489.23185837235</c:v>
                </c:pt>
                <c:pt idx="1">
                  <c:v>3928.5026616668206</c:v>
                </c:pt>
              </c:numCache>
            </c:numRef>
          </c:xVal>
          <c:yVal>
            <c:numRef>
              <c:f>'MFP-rsum'!$AV$24:$AV$25</c:f>
              <c:numCache>
                <c:formatCode>0.00E+00</c:formatCode>
                <c:ptCount val="2"/>
                <c:pt idx="0">
                  <c:v>2547.6863757231322</c:v>
                </c:pt>
                <c:pt idx="1">
                  <c:v>2012.468707779205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6-48F5-AC40-55D3B3D4D242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'[1]MFP-rsum'!$AV$36:$AV$37</c:f>
              <c:numCache>
                <c:formatCode>General</c:formatCode>
                <c:ptCount val="2"/>
                <c:pt idx="0">
                  <c:v>1402.3754205361033</c:v>
                </c:pt>
                <c:pt idx="1">
                  <c:v>1611.4557750945648</c:v>
                </c:pt>
              </c:numCache>
            </c:numRef>
          </c:xVal>
          <c:yVal>
            <c:numRef>
              <c:f>'MFP-rsum'!$AV$36:$AV$37</c:f>
              <c:numCache>
                <c:formatCode>0.00E+00</c:formatCode>
                <c:ptCount val="2"/>
                <c:pt idx="0">
                  <c:v>1451.7494609289899</c:v>
                </c:pt>
                <c:pt idx="1">
                  <c:v>1470.4555590061771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D6-48F5-AC40-55D3B3D4D242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D6-48F5-AC40-55D3B3D4D2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D6-48F5-AC40-55D3B3D4D24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D6-48F5-AC40-55D3B3D4D24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D6-48F5-AC40-55D3B3D4D242}"/>
                </c:ext>
              </c:extLst>
            </c:dLbl>
            <c:dLbl>
              <c:idx val="4"/>
              <c:layout>
                <c:manualLayout>
                  <c:x val="6.3760242389898511E-2"/>
                  <c:y val="2.5394638170228721E-2"/>
                </c:manualLayout>
              </c:layout>
              <c:tx>
                <c:rich>
                  <a:bodyPr/>
                  <a:lstStyle/>
                  <a:p>
                    <a:fld id="{1F7953C2-9264-422F-858E-ED5CD748641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{1F7953C2-9264-422F-858E-ED5CD7486415}</c15:txfldGUID>
                      <c15:f>'MFP-rsum'!$A$38</c15:f>
                      <c15:dlblFieldTableCache>
                        <c:ptCount val="1"/>
                        <c:pt idx="0">
                          <c:v>(NaF-KF)-.3UF4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0D6-48F5-AC40-55D3B3D4D242}"/>
                </c:ext>
              </c:extLst>
            </c:dLbl>
            <c:dLbl>
              <c:idx val="5"/>
              <c:layout>
                <c:manualLayout>
                  <c:x val="3.0308242810333601E-2"/>
                  <c:y val="5.6474503187101614E-2"/>
                </c:manualLayout>
              </c:layout>
              <c:tx>
                <c:rich>
                  <a:bodyPr/>
                  <a:lstStyle/>
                  <a:p>
                    <a:fld id="{0313467D-F257-4864-873F-97E226AB7455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{0313467D-F257-4864-873F-97E226AB7455}</c15:txfldGUID>
                      <c15:f>'MFP-rsum'!$A$39</c15:f>
                      <c15:dlblFieldTableCache>
                        <c:ptCount val="1"/>
                        <c:pt idx="0">
                          <c:v>(NaF-KF)-.4UF4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0D6-48F5-AC40-55D3B3D4D242}"/>
                </c:ext>
              </c:extLst>
            </c:dLbl>
            <c:dLbl>
              <c:idx val="6"/>
              <c:layout>
                <c:manualLayout>
                  <c:x val="-4.1025495724816174E-2"/>
                  <c:y val="0.11421478565179352"/>
                </c:manualLayout>
              </c:layout>
              <c:tx>
                <c:rich>
                  <a:bodyPr/>
                  <a:lstStyle/>
                  <a:p>
                    <a:fld id="{737A964D-AFE4-41A3-AABE-3DCDE04524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{737A964D-AFE4-41A3-AABE-3DCDE04524DB}</c15:txfldGUID>
                      <c15:f>'MFP-rsum'!$A$40</c15:f>
                      <c15:dlblFieldTableCache>
                        <c:ptCount val="1"/>
                        <c:pt idx="0">
                          <c:v>(NaF-KF)-.5UF4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0D6-48F5-AC40-55D3B3D4D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('[1]MFP-rsum'!$AV$26:$AV$27,'[1]MFP-rsum'!$AV$29:$AV$30,'[1]MFP-rsum'!$AV$38:$AV$40)</c:f>
              <c:numCache>
                <c:formatCode>General</c:formatCode>
                <c:ptCount val="7"/>
                <c:pt idx="0">
                  <c:v>4749.3953484419217</c:v>
                </c:pt>
                <c:pt idx="1">
                  <c:v>4937.466210619561</c:v>
                </c:pt>
                <c:pt idx="2">
                  <c:v>3449.509084380104</c:v>
                </c:pt>
                <c:pt idx="3">
                  <c:v>3132.7084908009401</c:v>
                </c:pt>
                <c:pt idx="4">
                  <c:v>2628.0818161314883</c:v>
                </c:pt>
                <c:pt idx="5">
                  <c:v>2395.4780479310921</c:v>
                </c:pt>
                <c:pt idx="6">
                  <c:v>2231.6285138229914</c:v>
                </c:pt>
              </c:numCache>
            </c:numRef>
          </c:xVal>
          <c:yVal>
            <c:numRef>
              <c:f>('MFP-rsum'!$AV$26:$AV$27,'MFP-rsum'!$AV$29:$AV$30,'MFP-rsum'!$AV$38:$AV$40)</c:f>
              <c:numCache>
                <c:formatCode>0.00E+00</c:formatCode>
                <c:ptCount val="7"/>
                <c:pt idx="0">
                  <c:v>1781.433208193873</c:v>
                </c:pt>
                <c:pt idx="1">
                  <c:v>2319.1206460873409</c:v>
                </c:pt>
                <c:pt idx="2">
                  <c:v>2441.8705732183512</c:v>
                </c:pt>
                <c:pt idx="3">
                  <c:v>2348.7520215904742</c:v>
                </c:pt>
                <c:pt idx="4" formatCode="General">
                  <c:v>1348.6175138087231</c:v>
                </c:pt>
                <c:pt idx="5" formatCode="General">
                  <c:v>1272.126022947567</c:v>
                </c:pt>
                <c:pt idx="6" formatCode="General">
                  <c:v>1215.1718333840431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0D6-48F5-AC40-55D3B3D4D242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'[1]MFP-rsum'!$AV$17:$AV$18</c:f>
              <c:numCache>
                <c:formatCode>General</c:formatCode>
                <c:ptCount val="2"/>
                <c:pt idx="0">
                  <c:v>1332.8843910654564</c:v>
                </c:pt>
                <c:pt idx="1">
                  <c:v>1361.7772257843667</c:v>
                </c:pt>
              </c:numCache>
            </c:numRef>
          </c:xVal>
          <c:yVal>
            <c:numRef>
              <c:f>'MFP-rsum'!$AV$17:$AV$18</c:f>
              <c:numCache>
                <c:formatCode>0.00E+00</c:formatCode>
                <c:ptCount val="2"/>
                <c:pt idx="0">
                  <c:v>1816.9499999999998</c:v>
                </c:pt>
                <c:pt idx="1">
                  <c:v>1766.56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0D6-48F5-AC40-55D3B3D4D242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'[1]MFP-rsum'!$AV$41</c:f>
              <c:numCache>
                <c:formatCode>General</c:formatCode>
                <c:ptCount val="1"/>
                <c:pt idx="0">
                  <c:v>1297.8397624081001</c:v>
                </c:pt>
              </c:numCache>
            </c:numRef>
          </c:xVal>
          <c:yVal>
            <c:numRef>
              <c:f>'MFP-rsum'!$AV$41</c:f>
              <c:numCache>
                <c:formatCode>0.00E+00</c:formatCode>
                <c:ptCount val="1"/>
                <c:pt idx="0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0D6-48F5-AC40-55D3B3D4D242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40D6-48F5-AC40-55D3B3D4D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vs_calc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v_sound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'MFP-rsum'!$AF$46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'[1]MFP-rsum'!$AF$2:$AF$6</c:f>
              <c:numCache>
                <c:formatCode>General</c:formatCode>
                <c:ptCount val="5"/>
                <c:pt idx="0">
                  <c:v>0.72246877793114617</c:v>
                </c:pt>
                <c:pt idx="1">
                  <c:v>0.49109756053584946</c:v>
                </c:pt>
                <c:pt idx="2">
                  <c:v>0.32961603483108115</c:v>
                </c:pt>
                <c:pt idx="3">
                  <c:v>0.29579640687862813</c:v>
                </c:pt>
                <c:pt idx="4">
                  <c:v>0.28095436645910149</c:v>
                </c:pt>
              </c:numCache>
            </c:numRef>
          </c:xVal>
          <c:yVal>
            <c:numRef>
              <c:f>'MFP-rsum'!$AE$2:$AE$6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1E5-9C00-D8796949647E}"/>
            </c:ext>
          </c:extLst>
        </c:ser>
        <c:ser>
          <c:idx val="0"/>
          <c:order val="1"/>
          <c:tx>
            <c:strRef>
              <c:f>'MFP-rsum'!$AF$47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'[1]MFP-rsum'!$AF$7:$AF$9</c:f>
              <c:numCache>
                <c:formatCode>General</c:formatCode>
                <c:ptCount val="3"/>
                <c:pt idx="0">
                  <c:v>0.37226977205251366</c:v>
                </c:pt>
                <c:pt idx="1">
                  <c:v>0.28617343538334455</c:v>
                </c:pt>
                <c:pt idx="2">
                  <c:v>0.2397757949166118</c:v>
                </c:pt>
              </c:numCache>
            </c:numRef>
          </c:xVal>
          <c:yVal>
            <c:numRef>
              <c:f>'MFP-rsum'!$AE$7:$AE$9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54-41E5-9C00-D8796949647E}"/>
            </c:ext>
          </c:extLst>
        </c:ser>
        <c:ser>
          <c:idx val="5"/>
          <c:order val="2"/>
          <c:tx>
            <c:strRef>
              <c:f>'MFP-rsum'!$AF$49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'[1]MFP-rsum'!$AF$14:$AF$16</c:f>
              <c:numCache>
                <c:formatCode>General</c:formatCode>
                <c:ptCount val="3"/>
                <c:pt idx="0">
                  <c:v>0.26994066201236538</c:v>
                </c:pt>
                <c:pt idx="1">
                  <c:v>0.37024310108699077</c:v>
                </c:pt>
                <c:pt idx="2">
                  <c:v>0.32666098973626656</c:v>
                </c:pt>
              </c:numCache>
            </c:numRef>
          </c:xVal>
          <c:yVal>
            <c:numRef>
              <c:f>'MFP-rsum'!$AE$14:$AE$16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4-41E5-9C00-D8796949647E}"/>
            </c:ext>
          </c:extLst>
        </c:ser>
        <c:ser>
          <c:idx val="6"/>
          <c:order val="3"/>
          <c:tx>
            <c:strRef>
              <c:f>'MFP-rsum'!$AF$50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'[1]MFP-rsum'!$AF$17:$AF$18</c:f>
              <c:numCache>
                <c:formatCode>General</c:formatCode>
                <c:ptCount val="2"/>
                <c:pt idx="0">
                  <c:v>0.43236429370237983</c:v>
                </c:pt>
              </c:numCache>
            </c:numRef>
          </c:xVal>
          <c:yVal>
            <c:numRef>
              <c:f>'MFP-rsum'!$AE$17:$AE$18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54-41E5-9C00-D8796949647E}"/>
            </c:ext>
          </c:extLst>
        </c:ser>
        <c:ser>
          <c:idx val="7"/>
          <c:order val="4"/>
          <c:tx>
            <c:strRef>
              <c:f>'MFP-rsum'!$AF$51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'[1]MFP-rsum'!$AF$24:$AF$25</c:f>
              <c:numCache>
                <c:formatCode>General</c:formatCode>
                <c:ptCount val="2"/>
                <c:pt idx="0">
                  <c:v>0.60953584013575091</c:v>
                </c:pt>
                <c:pt idx="1">
                  <c:v>0.48209294921946866</c:v>
                </c:pt>
              </c:numCache>
            </c:numRef>
          </c:xVal>
          <c:yVal>
            <c:numRef>
              <c:f>'MFP-rsum'!$AE$24:$AE$25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54-41E5-9C00-D8796949647E}"/>
            </c:ext>
          </c:extLst>
        </c:ser>
        <c:ser>
          <c:idx val="10"/>
          <c:order val="5"/>
          <c:tx>
            <c:strRef>
              <c:f>'MFP-rsum'!$AF$53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('MFP-rsum'!$AE$26:$AE$27,'MFP-rsum'!$AE$29:$AE$30,'MFP-rsum'!$AE$38:$AE$40)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54-41E5-9C00-D8796949647E}"/>
            </c:ext>
          </c:extLst>
        </c:ser>
        <c:ser>
          <c:idx val="11"/>
          <c:order val="6"/>
          <c:tx>
            <c:strRef>
              <c:f>'MFP-rsum'!$AF$54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'[1]MFP-rsum'!$AF$36:$AF$37</c:f>
              <c:numCache>
                <c:formatCode>General</c:formatCode>
                <c:ptCount val="2"/>
                <c:pt idx="0">
                  <c:v>0.2841819778633502</c:v>
                </c:pt>
                <c:pt idx="1">
                  <c:v>0.28696722884280707</c:v>
                </c:pt>
              </c:numCache>
            </c:numRef>
          </c:xVal>
          <c:yVal>
            <c:numRef>
              <c:f>'MFP-rsum'!$AE$36:$AE$37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54-41E5-9C00-D8796949647E}"/>
            </c:ext>
          </c:extLst>
        </c:ser>
        <c:ser>
          <c:idx val="2"/>
          <c:order val="7"/>
          <c:tx>
            <c:strRef>
              <c:f>'MFP-rsum'!$AF$55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54-41E5-9C00-D8796949647E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754-41E5-9C00-D8796949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6593759113446"/>
          <c:y val="5.9523809523809521E-2"/>
          <c:w val="0.5689165937591134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v>Pure Chlorides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'[1]MFP-rsum'!$AH$7:$AH$9</c:f>
              <c:numCache>
                <c:formatCode>General</c:formatCode>
                <c:ptCount val="3"/>
                <c:pt idx="0">
                  <c:v>0.40224439226966308</c:v>
                </c:pt>
                <c:pt idx="1">
                  <c:v>0.30612615309310248</c:v>
                </c:pt>
                <c:pt idx="2">
                  <c:v>0.25652333922633108</c:v>
                </c:pt>
              </c:numCache>
            </c:numRef>
          </c:xVal>
          <c:yVal>
            <c:numRef>
              <c:f>'MFP-rsum'!$AE$7:$AE$9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B-4617-9B6F-437EE6298C80}"/>
            </c:ext>
          </c:extLst>
        </c:ser>
        <c:ser>
          <c:idx val="0"/>
          <c:order val="1"/>
          <c:tx>
            <c:v>Pure Fluorides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('[1]MFP-rsum'!$AH$3:$AH$4,'[1]MFP-rsum'!$AH$10:$AH$13)</c:f>
              <c:numCache>
                <c:formatCode>General</c:formatCode>
                <c:ptCount val="6"/>
                <c:pt idx="0">
                  <c:v>0.53220717521206062</c:v>
                </c:pt>
                <c:pt idx="1">
                  <c:v>0.3607730892591835</c:v>
                </c:pt>
                <c:pt idx="2">
                  <c:v>0.51979938659180325</c:v>
                </c:pt>
                <c:pt idx="3">
                  <c:v>0.55165642193242048</c:v>
                </c:pt>
                <c:pt idx="4">
                  <c:v>0.42810664299445522</c:v>
                </c:pt>
                <c:pt idx="5">
                  <c:v>0.31989463805530149</c:v>
                </c:pt>
              </c:numCache>
            </c:numRef>
          </c:xVal>
          <c:yVal>
            <c:numRef>
              <c:f>('MFP-rsum'!$AE$3:$AE$4,'MFP-rsum'!$AE$10:$AE$13)</c:f>
              <c:numCache>
                <c:formatCode>General</c:formatCode>
                <c:ptCount val="6"/>
                <c:pt idx="0">
                  <c:v>0.82789999999999997</c:v>
                </c:pt>
                <c:pt idx="1">
                  <c:v>0.56999999999999995</c:v>
                </c:pt>
                <c:pt idx="2">
                  <c:v>0.79925905600000002</c:v>
                </c:pt>
                <c:pt idx="3">
                  <c:v>0.65067779999999997</c:v>
                </c:pt>
                <c:pt idx="4">
                  <c:v>0.56480320000000006</c:v>
                </c:pt>
                <c:pt idx="5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B-4617-9B6F-437EE6298C80}"/>
            </c:ext>
          </c:extLst>
        </c:ser>
        <c:ser>
          <c:idx val="1"/>
          <c:order val="2"/>
          <c:tx>
            <c:v>Chloride Mixtures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'[1]MFP-rsum'!$AH$31:$AH$32</c:f>
              <c:numCache>
                <c:formatCode>General</c:formatCode>
                <c:ptCount val="2"/>
                <c:pt idx="0">
                  <c:v>0.26536256928250768</c:v>
                </c:pt>
                <c:pt idx="1">
                  <c:v>0.28383633978433381</c:v>
                </c:pt>
              </c:numCache>
            </c:numRef>
          </c:xVal>
          <c:yVal>
            <c:numRef>
              <c:f>'MFP-rsum'!$AE$31:$AE$32</c:f>
              <c:numCache>
                <c:formatCode>General</c:formatCode>
                <c:ptCount val="2"/>
                <c:pt idx="0">
                  <c:v>0.45966666666666672</c:v>
                </c:pt>
                <c:pt idx="1">
                  <c:v>0.46554761904761921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B-4617-9B6F-437EE6298C80}"/>
            </c:ext>
          </c:extLst>
        </c:ser>
        <c:ser>
          <c:idx val="5"/>
          <c:order val="3"/>
          <c:tx>
            <c:v>Fluoride Mixtures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('[1]MFP-rsum'!$AH$24,'[1]MFP-rsum'!$AH$25,'[1]MFP-rsum'!$AH$28,'[1]MFP-rsum'!$AH$33,'[1]MFP-rsum'!$AH$35)</c:f>
              <c:numCache>
                <c:formatCode>General</c:formatCode>
                <c:ptCount val="5"/>
                <c:pt idx="0">
                  <c:v>0.62426158899966577</c:v>
                </c:pt>
                <c:pt idx="1">
                  <c:v>0.39969771709442198</c:v>
                </c:pt>
                <c:pt idx="2">
                  <c:v>0.66180310738547476</c:v>
                </c:pt>
                <c:pt idx="3">
                  <c:v>0.33711022330844781</c:v>
                </c:pt>
                <c:pt idx="4">
                  <c:v>0.56745362404407373</c:v>
                </c:pt>
              </c:numCache>
            </c:numRef>
          </c:xVal>
          <c:yVal>
            <c:numRef>
              <c:f>('MFP-rsum'!$AE$24,'MFP-rsum'!$AE$25,'MFP-rsum'!$AE$28,'MFP-rsum'!$AE$33,'MFP-rsum'!$AE$35)</c:f>
              <c:numCache>
                <c:formatCode>General</c:formatCode>
                <c:ptCount val="5"/>
                <c:pt idx="0">
                  <c:v>1.1000000000000001</c:v>
                </c:pt>
                <c:pt idx="1">
                  <c:v>0.78024246508674777</c:v>
                </c:pt>
                <c:pt idx="2">
                  <c:v>0.98602842355479869</c:v>
                </c:pt>
                <c:pt idx="3">
                  <c:v>0.82855603900974906</c:v>
                </c:pt>
                <c:pt idx="4">
                  <c:v>0.86544945017475028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B-4617-9B6F-437EE6298C80}"/>
            </c:ext>
          </c:extLst>
        </c:ser>
        <c:ser>
          <c:idx val="6"/>
          <c:order val="4"/>
          <c:tx>
            <c:v>Chloride Actinides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'[1]MFP-rsum'!$AH$36:$AH$37</c:f>
              <c:numCache>
                <c:formatCode>General</c:formatCode>
                <c:ptCount val="2"/>
                <c:pt idx="0">
                  <c:v>0.24768639859495001</c:v>
                </c:pt>
                <c:pt idx="1">
                  <c:v>0.25155328115048259</c:v>
                </c:pt>
              </c:numCache>
            </c:numRef>
          </c:xVal>
          <c:yVal>
            <c:numRef>
              <c:f>'MFP-rsum'!$AE$36:$AE$37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B-4617-9B6F-437EE6298C80}"/>
            </c:ext>
          </c:extLst>
        </c:ser>
        <c:ser>
          <c:idx val="7"/>
          <c:order val="5"/>
          <c:tx>
            <c:v>Fluoride Actinides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('[1]MFP-rsum'!$AH$26:$AH$27,'[1]MFP-rsum'!$AH$29:$AH$30,'[1]MFP-rsum'!$AH$38:$AH$40)</c:f>
              <c:numCache>
                <c:formatCode>General</c:formatCode>
                <c:ptCount val="7"/>
                <c:pt idx="0">
                  <c:v>0.43510012746839721</c:v>
                </c:pt>
                <c:pt idx="1">
                  <c:v>0.58242618348722919</c:v>
                </c:pt>
                <c:pt idx="2">
                  <c:v>0.63042335803936922</c:v>
                </c:pt>
                <c:pt idx="3">
                  <c:v>0.60277957505526136</c:v>
                </c:pt>
                <c:pt idx="4">
                  <c:v>0.25347401642401401</c:v>
                </c:pt>
                <c:pt idx="5">
                  <c:v>0.24265777297582219</c:v>
                </c:pt>
                <c:pt idx="6">
                  <c:v>0.23920093487850599</c:v>
                </c:pt>
              </c:numCache>
            </c:numRef>
          </c:xVal>
          <c:yVal>
            <c:numRef>
              <c:f>('MFP-rsum'!$AE$26:$AE$27,'MFP-rsum'!$AE$29:$AE$30,'MFP-rsum'!$AE$38:$AE$40)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3B-4617-9B6F-437EE6298C80}"/>
            </c:ext>
          </c:extLst>
        </c:ser>
        <c:ser>
          <c:idx val="8"/>
          <c:order val="6"/>
          <c:tx>
            <c:v>Pure Nitrates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'[1]MFP-rsum'!$AH$17:$AH$18</c:f>
              <c:numCache>
                <c:formatCode>General</c:formatCode>
                <c:ptCount val="2"/>
                <c:pt idx="0">
                  <c:v>0.69828459522735364</c:v>
                </c:pt>
                <c:pt idx="1">
                  <c:v>0.53083304545912946</c:v>
                </c:pt>
              </c:numCache>
            </c:numRef>
          </c:xVal>
          <c:yVal>
            <c:numRef>
              <c:f>'MFP-rsum'!$AE$17:$AE$18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3B-4617-9B6F-437EE6298C80}"/>
            </c:ext>
          </c:extLst>
        </c:ser>
        <c:ser>
          <c:idx val="2"/>
          <c:order val="7"/>
          <c:tx>
            <c:v>Water, Tm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'[1]MFP-rsum'!$AH$41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3B-4617-9B6F-437EE6298C80}"/>
            </c:ext>
          </c:extLst>
        </c:ser>
        <c:ser>
          <c:idx val="3"/>
          <c:order val="8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B93B-4617-9B6F-437EE629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7247134733158342"/>
          <c:y val="0.16517622797150353"/>
          <c:w val="0.32205682200056962"/>
          <c:h val="0.58385809122024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'MFP-rsum'!$AF$46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'[1]MFP-rsum'!$AD$2:$AD$6</c:f>
              <c:numCache>
                <c:formatCode>General</c:formatCode>
                <c:ptCount val="5"/>
                <c:pt idx="0">
                  <c:v>0.80248523098591562</c:v>
                </c:pt>
                <c:pt idx="1">
                  <c:v>0.53093354166666662</c:v>
                </c:pt>
                <c:pt idx="2">
                  <c:v>0.36108717500000004</c:v>
                </c:pt>
                <c:pt idx="3">
                  <c:v>0.32557537815126053</c:v>
                </c:pt>
                <c:pt idx="4">
                  <c:v>0.301421612691466</c:v>
                </c:pt>
              </c:numCache>
            </c:numRef>
          </c:xVal>
          <c:yVal>
            <c:numRef>
              <c:f>'MFP-rsum'!$AE$2:$AE$6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1-47CD-AC9C-9BBE630FD4E1}"/>
            </c:ext>
          </c:extLst>
        </c:ser>
        <c:ser>
          <c:idx val="0"/>
          <c:order val="1"/>
          <c:tx>
            <c:strRef>
              <c:f>'MFP-rsum'!$AF$47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'[1]MFP-rsum'!$AD$7:$AD$9</c:f>
              <c:numCache>
                <c:formatCode>General</c:formatCode>
                <c:ptCount val="3"/>
                <c:pt idx="0">
                  <c:v>0.40225025742942672</c:v>
                </c:pt>
                <c:pt idx="1">
                  <c:v>0.30415923375652942</c:v>
                </c:pt>
                <c:pt idx="2">
                  <c:v>0.25593314786786775</c:v>
                </c:pt>
              </c:numCache>
            </c:numRef>
          </c:xVal>
          <c:yVal>
            <c:numRef>
              <c:f>'MFP-rsum'!$AE$7:$AE$9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1-47CD-AC9C-9BBE630FD4E1}"/>
            </c:ext>
          </c:extLst>
        </c:ser>
        <c:ser>
          <c:idx val="1"/>
          <c:order val="2"/>
          <c:tx>
            <c:strRef>
              <c:f>'MFP-rsum'!$AF$48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'[1]MFP-rsum'!$AD$10:$AD$13</c:f>
              <c:numCache>
                <c:formatCode>General</c:formatCode>
                <c:ptCount val="4"/>
                <c:pt idx="0">
                  <c:v>0.51944334083333332</c:v>
                </c:pt>
                <c:pt idx="1">
                  <c:v>0.55165642193242059</c:v>
                </c:pt>
                <c:pt idx="2">
                  <c:v>0.42810664299445522</c:v>
                </c:pt>
                <c:pt idx="3">
                  <c:v>0.31989463805530149</c:v>
                </c:pt>
              </c:numCache>
            </c:numRef>
          </c:xVal>
          <c:yVal>
            <c:numRef>
              <c:f>'MFP-rsum'!$AE$10:$AE$13</c:f>
              <c:numCache>
                <c:formatCode>General</c:formatCode>
                <c:ptCount val="4"/>
                <c:pt idx="0">
                  <c:v>0.79925905600000002</c:v>
                </c:pt>
                <c:pt idx="1">
                  <c:v>0.65067779999999997</c:v>
                </c:pt>
                <c:pt idx="2">
                  <c:v>0.56480320000000006</c:v>
                </c:pt>
                <c:pt idx="3">
                  <c:v>0.39041500000000001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A1-47CD-AC9C-9BBE630FD4E1}"/>
            </c:ext>
          </c:extLst>
        </c:ser>
        <c:ser>
          <c:idx val="5"/>
          <c:order val="3"/>
          <c:tx>
            <c:strRef>
              <c:f>'MFP-rsum'!$AF$49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'[1]MFP-rsum'!$AD$14:$AD$16</c:f>
              <c:numCache>
                <c:formatCode>General</c:formatCode>
                <c:ptCount val="3"/>
                <c:pt idx="0">
                  <c:v>0.28861057804145579</c:v>
                </c:pt>
                <c:pt idx="1">
                  <c:v>0.37311089961278132</c:v>
                </c:pt>
                <c:pt idx="2">
                  <c:v>0.33599408249358714</c:v>
                </c:pt>
              </c:numCache>
            </c:numRef>
          </c:xVal>
          <c:yVal>
            <c:numRef>
              <c:f>'MFP-rsum'!$AE$14:$AE$16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A1-47CD-AC9C-9BBE630FD4E1}"/>
            </c:ext>
          </c:extLst>
        </c:ser>
        <c:ser>
          <c:idx val="6"/>
          <c:order val="4"/>
          <c:tx>
            <c:strRef>
              <c:f>'MFP-rsum'!$AF$50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'[1]MFP-rsum'!$AD$17:$AD$18</c:f>
              <c:numCache>
                <c:formatCode>General</c:formatCode>
                <c:ptCount val="2"/>
                <c:pt idx="0">
                  <c:v>0.70252146004029536</c:v>
                </c:pt>
                <c:pt idx="1">
                  <c:v>0.56673048612652599</c:v>
                </c:pt>
              </c:numCache>
            </c:numRef>
          </c:xVal>
          <c:yVal>
            <c:numRef>
              <c:f>'MFP-rsum'!$AE$17:$AE$18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A1-47CD-AC9C-9BBE630FD4E1}"/>
            </c:ext>
          </c:extLst>
        </c:ser>
        <c:ser>
          <c:idx val="7"/>
          <c:order val="5"/>
          <c:tx>
            <c:strRef>
              <c:f>'MFP-rsum'!$AF$51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'[1]MFP-rsum'!$AD$24:$AD$25</c:f>
              <c:numCache>
                <c:formatCode>General</c:formatCode>
                <c:ptCount val="2"/>
                <c:pt idx="0">
                  <c:v>0.71488518084414443</c:v>
                </c:pt>
                <c:pt idx="1">
                  <c:v>0.54326858976638281</c:v>
                </c:pt>
              </c:numCache>
            </c:numRef>
          </c:xVal>
          <c:yVal>
            <c:numRef>
              <c:f>'MFP-rsum'!$AE$24:$AE$25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A1-47CD-AC9C-9BBE630FD4E1}"/>
            </c:ext>
          </c:extLst>
        </c:ser>
        <c:ser>
          <c:idx val="9"/>
          <c:order val="6"/>
          <c:tx>
            <c:strRef>
              <c:f>'MFP-rsum'!$AF$52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('[1]MFP-rsum'!$AD$23,'[1]MFP-rsum'!$AD$31,'[1]MFP-rsum'!$AD$32,'[1]MFP-rsum'!$AD$34)</c:f>
              <c:numCache>
                <c:formatCode>General</c:formatCode>
                <c:ptCount val="4"/>
                <c:pt idx="0">
                  <c:v>0.33375408853502531</c:v>
                </c:pt>
                <c:pt idx="1">
                  <c:v>0.31844809429710103</c:v>
                </c:pt>
                <c:pt idx="2">
                  <c:v>0.36878913157884635</c:v>
                </c:pt>
                <c:pt idx="3">
                  <c:v>0.40937294269104435</c:v>
                </c:pt>
              </c:numCache>
            </c:numRef>
          </c:xVal>
          <c:yVal>
            <c:numRef>
              <c:f>('MFP-rsum'!$AE$23,'MFP-rsum'!$AE$31,'MFP-rsum'!$AE$32,'MFP-rsum'!$AE$34)</c:f>
              <c:numCache>
                <c:formatCode>General</c:formatCode>
                <c:ptCount val="4"/>
                <c:pt idx="0">
                  <c:v>0.43524000000000002</c:v>
                </c:pt>
                <c:pt idx="1">
                  <c:v>0.45966666666666672</c:v>
                </c:pt>
                <c:pt idx="2">
                  <c:v>0.46554761904761921</c:v>
                </c:pt>
                <c:pt idx="3">
                  <c:v>0.58438111223711209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A1-47CD-AC9C-9BBE630FD4E1}"/>
            </c:ext>
          </c:extLst>
        </c:ser>
        <c:ser>
          <c:idx val="10"/>
          <c:order val="7"/>
          <c:tx>
            <c:strRef>
              <c:f>'MFP-rsum'!$AF$53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('[1]MFP-rsum'!$AD$26:$AD$27,'[1]MFP-rsum'!$AD$29:$AD$30,'[1]MFP-rsum'!$AD$38:$AD$40)</c:f>
              <c:numCache>
                <c:formatCode>General</c:formatCode>
                <c:ptCount val="7"/>
                <c:pt idx="0">
                  <c:v>0.51681594759710647</c:v>
                </c:pt>
                <c:pt idx="1">
                  <c:v>0.66880040429891452</c:v>
                </c:pt>
                <c:pt idx="2">
                  <c:v>0.71187944439400763</c:v>
                </c:pt>
                <c:pt idx="3">
                  <c:v>0.68421941732878677</c:v>
                </c:pt>
                <c:pt idx="4">
                  <c:v>0.46048978694812209</c:v>
                </c:pt>
                <c:pt idx="5">
                  <c:v>0.47293540020198699</c:v>
                </c:pt>
                <c:pt idx="6">
                  <c:v>0.48970392040175686</c:v>
                </c:pt>
              </c:numCache>
            </c:numRef>
          </c:xVal>
          <c:yVal>
            <c:numRef>
              <c:f>('MFP-rsum'!$AE$26:$AE$27,'MFP-rsum'!$AE$29:$AE$30,'MFP-rsum'!$AE$38:$AE$40)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1.24</c:v>
                </c:pt>
                <c:pt idx="2">
                  <c:v>0.89056771657477962</c:v>
                </c:pt>
                <c:pt idx="3">
                  <c:v>0.80397278022492213</c:v>
                </c:pt>
                <c:pt idx="4">
                  <c:v>0.49395061728395051</c:v>
                </c:pt>
                <c:pt idx="5">
                  <c:v>0.45693693693693682</c:v>
                </c:pt>
                <c:pt idx="6">
                  <c:v>0.43928571428571439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A1-47CD-AC9C-9BBE630FD4E1}"/>
            </c:ext>
          </c:extLst>
        </c:ser>
        <c:ser>
          <c:idx val="11"/>
          <c:order val="8"/>
          <c:tx>
            <c:strRef>
              <c:f>'MFP-rsum'!$AF$54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'[1]MFP-rsum'!$AD$36:$AD$37</c:f>
              <c:numCache>
                <c:formatCode>General</c:formatCode>
                <c:ptCount val="2"/>
                <c:pt idx="0">
                  <c:v>0.30071201279338977</c:v>
                </c:pt>
                <c:pt idx="1">
                  <c:v>0.30324621782896993</c:v>
                </c:pt>
              </c:numCache>
            </c:numRef>
          </c:xVal>
          <c:yVal>
            <c:numRef>
              <c:f>'MFP-rsum'!$AE$36:$AE$37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A1-47CD-AC9C-9BBE630FD4E1}"/>
            </c:ext>
          </c:extLst>
        </c:ser>
        <c:ser>
          <c:idx val="2"/>
          <c:order val="9"/>
          <c:tx>
            <c:strRef>
              <c:f>'MFP-rsum'!$AF$55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A1-47CD-AC9C-9BBE630FD4E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43A1-47CD-AC9C-9BBE630F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'MFP-rsum'!$AF$46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'[1]MFP-rsum'!$AG$2:$AG$6</c:f>
              <c:numCache>
                <c:formatCode>General</c:formatCode>
                <c:ptCount val="5"/>
                <c:pt idx="0">
                  <c:v>0.90368250947301099</c:v>
                </c:pt>
                <c:pt idx="1">
                  <c:v>0.59812175800891498</c:v>
                </c:pt>
                <c:pt idx="2">
                  <c:v>0.40376310518547792</c:v>
                </c:pt>
              </c:numCache>
            </c:numRef>
          </c:xVal>
          <c:yVal>
            <c:numRef>
              <c:f>'MFP-rsum'!$AE$2:$AE$6</c:f>
              <c:numCache>
                <c:formatCode>General</c:formatCode>
                <c:ptCount val="5"/>
                <c:pt idx="0">
                  <c:v>1.33125</c:v>
                </c:pt>
                <c:pt idx="1">
                  <c:v>0.82789999999999997</c:v>
                </c:pt>
                <c:pt idx="2">
                  <c:v>0.56999999999999995</c:v>
                </c:pt>
                <c:pt idx="3">
                  <c:v>0.48965000000000003</c:v>
                </c:pt>
                <c:pt idx="4">
                  <c:v>0.36715000000000003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478E-9ACE-957D22E69799}"/>
            </c:ext>
          </c:extLst>
        </c:ser>
        <c:ser>
          <c:idx val="0"/>
          <c:order val="1"/>
          <c:tx>
            <c:strRef>
              <c:f>'MFP-rsum'!$AF$47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'[1]MFP-rsum'!$AG$7:$AG$9</c:f>
              <c:numCache>
                <c:formatCode>General</c:formatCode>
                <c:ptCount val="3"/>
                <c:pt idx="0">
                  <c:v>0.467412663978306</c:v>
                </c:pt>
                <c:pt idx="1">
                  <c:v>0.346144472817148</c:v>
                </c:pt>
                <c:pt idx="2">
                  <c:v>0.28781059971565698</c:v>
                </c:pt>
              </c:numCache>
            </c:numRef>
          </c:xVal>
          <c:yVal>
            <c:numRef>
              <c:f>'MFP-rsum'!$AE$7:$AE$9</c:f>
              <c:numCache>
                <c:formatCode>General</c:formatCode>
                <c:ptCount val="3"/>
                <c:pt idx="0">
                  <c:v>0.61260000000000003</c:v>
                </c:pt>
                <c:pt idx="1">
                  <c:v>0.46649999999999997</c:v>
                </c:pt>
                <c:pt idx="2">
                  <c:v>0.35505000000000003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8-478E-9ACE-957D22E69799}"/>
            </c:ext>
          </c:extLst>
        </c:ser>
        <c:ser>
          <c:idx val="5"/>
          <c:order val="2"/>
          <c:tx>
            <c:strRef>
              <c:f>'MFP-rsum'!$AF$49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'[1]MFP-rsum'!$AG$14:$AG$16</c:f>
              <c:numCache>
                <c:formatCode>General</c:formatCode>
                <c:ptCount val="3"/>
                <c:pt idx="0">
                  <c:v>0.33370075449931308</c:v>
                </c:pt>
                <c:pt idx="1">
                  <c:v>0.40039499504213499</c:v>
                </c:pt>
                <c:pt idx="2">
                  <c:v>0.36759447686851399</c:v>
                </c:pt>
              </c:numCache>
            </c:numRef>
          </c:xVal>
          <c:yVal>
            <c:numRef>
              <c:f>'MFP-rsum'!$AE$14:$AE$16</c:f>
              <c:numCache>
                <c:formatCode>General</c:formatCode>
                <c:ptCount val="3"/>
                <c:pt idx="0">
                  <c:v>0.45680000000000004</c:v>
                </c:pt>
                <c:pt idx="1">
                  <c:v>0.44125000000000003</c:v>
                </c:pt>
                <c:pt idx="2">
                  <c:v>0.37705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8-478E-9ACE-957D22E69799}"/>
            </c:ext>
          </c:extLst>
        </c:ser>
        <c:ser>
          <c:idx val="6"/>
          <c:order val="3"/>
          <c:tx>
            <c:strRef>
              <c:f>'MFP-rsum'!$AF$50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'[1]MFP-rsum'!$AG$17:$AG$18</c:f>
              <c:numCache>
                <c:formatCode>General</c:formatCode>
                <c:ptCount val="2"/>
              </c:numCache>
            </c:numRef>
          </c:xVal>
          <c:yVal>
            <c:numRef>
              <c:f>'MFP-rsum'!$AE$17:$AE$18</c:f>
              <c:numCache>
                <c:formatCode>General</c:formatCode>
                <c:ptCount val="2"/>
                <c:pt idx="0">
                  <c:v>0.51224999999999998</c:v>
                </c:pt>
                <c:pt idx="1">
                  <c:v>0.40920000000000001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8-478E-9ACE-957D22E69799}"/>
            </c:ext>
          </c:extLst>
        </c:ser>
        <c:ser>
          <c:idx val="7"/>
          <c:order val="4"/>
          <c:tx>
            <c:strRef>
              <c:f>'MFP-rsum'!$AF$51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'[1]MFP-rsum'!$AG$24:$AG$25</c:f>
              <c:numCache>
                <c:formatCode>General</c:formatCode>
                <c:ptCount val="2"/>
                <c:pt idx="0">
                  <c:v>1.28305844543897</c:v>
                </c:pt>
                <c:pt idx="1">
                  <c:v>0.85046707066330796</c:v>
                </c:pt>
              </c:numCache>
            </c:numRef>
          </c:xVal>
          <c:yVal>
            <c:numRef>
              <c:f>'MFP-rsum'!$AE$24:$AE$25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0.78024246508674777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68-478E-9ACE-957D22E69799}"/>
            </c:ext>
          </c:extLst>
        </c:ser>
        <c:ser>
          <c:idx val="11"/>
          <c:order val="5"/>
          <c:tx>
            <c:strRef>
              <c:f>'MFP-rsum'!$AF$54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'[1]MFP-rsum'!$AG$36:$AG$37</c:f>
              <c:numCache>
                <c:formatCode>General</c:formatCode>
                <c:ptCount val="2"/>
                <c:pt idx="0">
                  <c:v>0.29301529878909899</c:v>
                </c:pt>
                <c:pt idx="1">
                  <c:v>0.316517898560285</c:v>
                </c:pt>
              </c:numCache>
            </c:numRef>
          </c:xVal>
          <c:yVal>
            <c:numRef>
              <c:f>'MFP-rsum'!$AE$36:$AE$37</c:f>
              <c:numCache>
                <c:formatCode>General</c:formatCode>
                <c:ptCount val="2"/>
                <c:pt idx="0">
                  <c:v>0.23926257714495269</c:v>
                </c:pt>
                <c:pt idx="1">
                  <c:v>0.27567442291687039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68-478E-9ACE-957D22E69799}"/>
            </c:ext>
          </c:extLst>
        </c:ser>
        <c:ser>
          <c:idx val="2"/>
          <c:order val="6"/>
          <c:tx>
            <c:strRef>
              <c:f>'MFP-rsum'!$AF$55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'[1]MFP-rsum'!$AD$41</c:f>
              <c:numCache>
                <c:formatCode>General</c:formatCode>
                <c:ptCount val="1"/>
                <c:pt idx="0">
                  <c:v>0.60645622271550126</c:v>
                </c:pt>
              </c:numCache>
            </c:numRef>
          </c:xVal>
          <c:yVal>
            <c:numRef>
              <c:f>'MFP-rsum'!$AE$41</c:f>
              <c:numCache>
                <c:formatCode>0.00000</c:formatCode>
                <c:ptCount val="1"/>
                <c:pt idx="0">
                  <c:v>0.56100000000000005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68-478E-9ACE-957D22E69799}"/>
            </c:ext>
          </c:extLst>
        </c:ser>
        <c:ser>
          <c:idx val="3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8E68-478E-9ACE-957D22E69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_predicted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λ</a:t>
                </a:r>
                <a:r>
                  <a:rPr lang="en-US" sz="1000" b="0" i="0" baseline="0">
                    <a:effectLst/>
                  </a:rPr>
                  <a:t>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n-US" sz="1400" b="0" i="0" baseline="0">
                <a:effectLst/>
              </a:rPr>
              <a:t>rSum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'MFP-rsum'!$AF$46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'MFP-rsum'!$BC$2:$BC$6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3-4A6C-A784-EAAA1B04C7EA}"/>
            </c:ext>
          </c:extLst>
        </c:ser>
        <c:ser>
          <c:idx val="0"/>
          <c:order val="1"/>
          <c:tx>
            <c:strRef>
              <c:f>'MFP-rsum'!$AF$47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'MFP-rsum'!$BC$7:$BC$9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43-4A6C-A784-EAAA1B04C7EA}"/>
            </c:ext>
          </c:extLst>
        </c:ser>
        <c:ser>
          <c:idx val="1"/>
          <c:order val="2"/>
          <c:tx>
            <c:strRef>
              <c:f>'MFP-rsum'!$AF$48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'MFP-rsum'!$BC$10:$BC$13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43-4A6C-A784-EAAA1B04C7EA}"/>
            </c:ext>
          </c:extLst>
        </c:ser>
        <c:ser>
          <c:idx val="5"/>
          <c:order val="3"/>
          <c:tx>
            <c:strRef>
              <c:f>'MFP-rsum'!$AF$49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'MFP-rsum'!$BC$14:$BC$16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43-4A6C-A784-EAAA1B04C7EA}"/>
            </c:ext>
          </c:extLst>
        </c:ser>
        <c:ser>
          <c:idx val="6"/>
          <c:order val="4"/>
          <c:tx>
            <c:strRef>
              <c:f>'MFP-rsum'!$AF$50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'MFP-rsum'!$BC$17:$BC$18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43-4A6C-A784-EAAA1B04C7EA}"/>
            </c:ext>
          </c:extLst>
        </c:ser>
        <c:ser>
          <c:idx val="7"/>
          <c:order val="5"/>
          <c:tx>
            <c:strRef>
              <c:f>'MFP-rsum'!$AF$51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'MFP-rsum'!$BC$24:$BC$25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43-4A6C-A784-EAAA1B04C7EA}"/>
            </c:ext>
          </c:extLst>
        </c:ser>
        <c:ser>
          <c:idx val="9"/>
          <c:order val="6"/>
          <c:tx>
            <c:strRef>
              <c:f>'MFP-rsum'!$AF$52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('MFP-rsum'!$BC$23,'MFP-rsum'!$BC$31,'MFP-rsum'!$BC$32,'MFP-rsum'!$BC$34)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43-4A6C-A784-EAAA1B04C7EA}"/>
            </c:ext>
          </c:extLst>
        </c:ser>
        <c:ser>
          <c:idx val="10"/>
          <c:order val="7"/>
          <c:tx>
            <c:strRef>
              <c:f>'MFP-rsum'!$AF$53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('MFP-rsum'!$BC$26:$BC$27,'MFP-rsum'!$BC$29:$BC$30,'MFP-rsum'!$BC$38:$BC$40)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43-4A6C-A784-EAAA1B04C7EA}"/>
            </c:ext>
          </c:extLst>
        </c:ser>
        <c:ser>
          <c:idx val="11"/>
          <c:order val="8"/>
          <c:tx>
            <c:strRef>
              <c:f>'MFP-rsum'!$AF$54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'MFP-rsum'!$BC$36:$BC$37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43-4A6C-A784-EAAA1B04C7EA}"/>
            </c:ext>
          </c:extLst>
        </c:ser>
        <c:ser>
          <c:idx val="2"/>
          <c:order val="9"/>
          <c:tx>
            <c:strRef>
              <c:f>'MFP-rsum'!$AF$55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'MFP-rsum'!$BC$41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43-4A6C-A784-EAAA1B04C7EA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2443-4A6C-A784-EAAA1B04C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C-BC,</a:t>
            </a:r>
            <a:r>
              <a:rPr lang="el-GR" sz="1400" b="0" i="0" baseline="0">
                <a:effectLst/>
              </a:rPr>
              <a:t>λ</a:t>
            </a:r>
            <a:r>
              <a:rPr lang="en-US" sz="1400" b="0" i="0" baseline="0">
                <a:effectLst/>
              </a:rPr>
              <a:t>_BC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66593759113446"/>
          <c:y val="5.9523809523809521E-2"/>
          <c:w val="0.53988238205690331"/>
          <c:h val="0.80395513060867396"/>
        </c:manualLayout>
      </c:layout>
      <c:scatterChart>
        <c:scatterStyle val="lineMarker"/>
        <c:varyColors val="0"/>
        <c:ser>
          <c:idx val="4"/>
          <c:order val="0"/>
          <c:tx>
            <c:strRef>
              <c:f>'MFP-rsum'!$AF$46</c:f>
              <c:strCache>
                <c:ptCount val="1"/>
                <c:pt idx="0">
                  <c:v>Unary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'[1]MFP-rsum'!$AJ$2:$AJ$6</c:f>
              <c:numCache>
                <c:formatCode>General</c:formatCode>
                <c:ptCount val="5"/>
                <c:pt idx="0">
                  <c:v>7500138.0307092983</c:v>
                </c:pt>
                <c:pt idx="1">
                  <c:v>5067818.8301188033</c:v>
                </c:pt>
                <c:pt idx="2">
                  <c:v>3473884.1112260493</c:v>
                </c:pt>
                <c:pt idx="3">
                  <c:v>2927863.2846601852</c:v>
                </c:pt>
                <c:pt idx="4">
                  <c:v>1975018.424181133</c:v>
                </c:pt>
              </c:numCache>
            </c:numRef>
          </c:xVal>
          <c:yVal>
            <c:numRef>
              <c:f>'MFP-rsum'!$BC$2:$BC$6</c:f>
              <c:numCache>
                <c:formatCode>#,##0.00</c:formatCode>
                <c:ptCount val="5"/>
                <c:pt idx="0">
                  <c:v>4521126.760563381</c:v>
                </c:pt>
                <c:pt idx="1">
                  <c:v>3250000</c:v>
                </c:pt>
                <c:pt idx="2">
                  <c:v>2200657.8947368423</c:v>
                </c:pt>
                <c:pt idx="3">
                  <c:v>1946778.7114845938</c:v>
                </c:pt>
                <c:pt idx="4">
                  <c:v>1621444.2013129101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F-48C0-B980-D043CC6EA2F1}"/>
            </c:ext>
          </c:extLst>
        </c:ser>
        <c:ser>
          <c:idx val="0"/>
          <c:order val="1"/>
          <c:tx>
            <c:strRef>
              <c:f>'MFP-rsum'!$AF$47</c:f>
              <c:strCache>
                <c:ptCount val="1"/>
                <c:pt idx="0">
                  <c:v>Unary Chlorides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'[1]MFP-rsum'!$AJ$7:$AJ$9</c:f>
              <c:numCache>
                <c:formatCode>General</c:formatCode>
                <c:ptCount val="3"/>
                <c:pt idx="0">
                  <c:v>3501264.0476249694</c:v>
                </c:pt>
                <c:pt idx="1">
                  <c:v>2836087.8612926682</c:v>
                </c:pt>
                <c:pt idx="2">
                  <c:v>2090572.0400192747</c:v>
                </c:pt>
              </c:numCache>
            </c:numRef>
          </c:xVal>
          <c:yVal>
            <c:numRef>
              <c:f>'MFP-rsum'!$BC$7:$BC$9</c:f>
              <c:numCache>
                <c:formatCode>#,##0.00</c:formatCode>
                <c:ptCount val="3"/>
                <c:pt idx="0">
                  <c:v>2299027.692598009</c:v>
                </c:pt>
                <c:pt idx="1">
                  <c:v>1849136.7861885792</c:v>
                </c:pt>
                <c:pt idx="2">
                  <c:v>1506961.5069615068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F-48C0-B980-D043CC6EA2F1}"/>
            </c:ext>
          </c:extLst>
        </c:ser>
        <c:ser>
          <c:idx val="1"/>
          <c:order val="2"/>
          <c:tx>
            <c:strRef>
              <c:f>'MFP-rsum'!$AF$48</c:f>
              <c:strCache>
                <c:ptCount val="1"/>
                <c:pt idx="0">
                  <c:v>Unary Alkaline Earth Flourides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'[1]MFP-rsum'!$AJ$10:$AJ$13</c:f>
              <c:numCache>
                <c:formatCode>General</c:formatCode>
                <c:ptCount val="4"/>
                <c:pt idx="0">
                  <c:v>5635429.4347171905</c:v>
                </c:pt>
                <c:pt idx="1">
                  <c:v>4376776.1290409379</c:v>
                </c:pt>
                <c:pt idx="2">
                  <c:v>4251969.9503061362</c:v>
                </c:pt>
                <c:pt idx="3">
                  <c:v>3336418.376259014</c:v>
                </c:pt>
              </c:numCache>
            </c:numRef>
          </c:xVal>
          <c:yVal>
            <c:numRef>
              <c:f>'MFP-rsum'!$BC$10:$BC$13</c:f>
              <c:numCache>
                <c:formatCode>#,##0.00</c:formatCode>
                <c:ptCount val="4"/>
                <c:pt idx="0">
                  <c:v>3662500</c:v>
                </c:pt>
                <c:pt idx="1">
                  <c:v>3710710.0610255245</c:v>
                </c:pt>
                <c:pt idx="2">
                  <c:v>3222886.4523764392</c:v>
                </c:pt>
                <c:pt idx="3">
                  <c:v>2733763.684475325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F-48C0-B980-D043CC6EA2F1}"/>
            </c:ext>
          </c:extLst>
        </c:ser>
        <c:ser>
          <c:idx val="5"/>
          <c:order val="3"/>
          <c:tx>
            <c:strRef>
              <c:f>'MFP-rsum'!$AF$49</c:f>
              <c:strCache>
                <c:ptCount val="1"/>
                <c:pt idx="0">
                  <c:v>Unary Alkaline Earth Chlorides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'[1]MFP-rsum'!$AJ$14:$AJ$16</c:f>
              <c:numCache>
                <c:formatCode>General</c:formatCode>
                <c:ptCount val="3"/>
                <c:pt idx="0">
                  <c:v>2578106.0402255282</c:v>
                </c:pt>
                <c:pt idx="1">
                  <c:v>2281252.1331538479</c:v>
                </c:pt>
                <c:pt idx="2">
                  <c:v>2019673.1502314182</c:v>
                </c:pt>
              </c:numCache>
            </c:numRef>
          </c:xVal>
          <c:yVal>
            <c:numRef>
              <c:f>'MFP-rsum'!$BC$14:$BC$16</c:f>
              <c:numCache>
                <c:formatCode>#,##0.00</c:formatCode>
                <c:ptCount val="3"/>
                <c:pt idx="0">
                  <c:v>1628871.8794256966</c:v>
                </c:pt>
                <c:pt idx="1">
                  <c:v>1928974.5850302745</c:v>
                </c:pt>
                <c:pt idx="2">
                  <c:v>1799756.6027023955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F-48C0-B980-D043CC6EA2F1}"/>
            </c:ext>
          </c:extLst>
        </c:ser>
        <c:ser>
          <c:idx val="6"/>
          <c:order val="4"/>
          <c:tx>
            <c:strRef>
              <c:f>'MFP-rsum'!$AF$50</c:f>
              <c:strCache>
                <c:ptCount val="1"/>
                <c:pt idx="0">
                  <c:v>Unary Nitrates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'[1]MFP-rsum'!$AJ$17:$AJ$18</c:f>
              <c:numCache>
                <c:formatCode>General</c:formatCode>
                <c:ptCount val="2"/>
                <c:pt idx="0">
                  <c:v>2539896.4555242937</c:v>
                </c:pt>
                <c:pt idx="1">
                  <c:v>1883224.6107082034</c:v>
                </c:pt>
              </c:numCache>
            </c:numRef>
          </c:xVal>
          <c:yVal>
            <c:numRef>
              <c:f>'MFP-rsum'!$BC$17:$BC$18</c:f>
              <c:numCache>
                <c:formatCode>#,##0.00</c:formatCode>
                <c:ptCount val="2"/>
                <c:pt idx="0">
                  <c:v>3483322.1401387956</c:v>
                </c:pt>
                <c:pt idx="1">
                  <c:v>2608213.0965593783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F-48C0-B980-D043CC6EA2F1}"/>
            </c:ext>
          </c:extLst>
        </c:ser>
        <c:ser>
          <c:idx val="7"/>
          <c:order val="5"/>
          <c:tx>
            <c:strRef>
              <c:f>'MFP-rsum'!$AF$51</c:f>
              <c:strCache>
                <c:ptCount val="1"/>
                <c:pt idx="0">
                  <c:v>Fluoride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'[1]MFP-rsum'!$AJ$24:$AJ$25</c:f>
              <c:numCache>
                <c:formatCode>General</c:formatCode>
                <c:ptCount val="2"/>
                <c:pt idx="0">
                  <c:v>6652079.2470877897</c:v>
                </c:pt>
                <c:pt idx="1">
                  <c:v>4886411.1374480864</c:v>
                </c:pt>
              </c:numCache>
            </c:numRef>
          </c:xVal>
          <c:yVal>
            <c:numRef>
              <c:f>'MFP-rsum'!$BC$24:$BC$25</c:f>
              <c:numCache>
                <c:formatCode>#,##0.00</c:formatCode>
                <c:ptCount val="2"/>
                <c:pt idx="0">
                  <c:v>4323157.1595853949</c:v>
                </c:pt>
                <c:pt idx="1">
                  <c:v>3402318.9027080508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EF-48C0-B980-D043CC6EA2F1}"/>
            </c:ext>
          </c:extLst>
        </c:ser>
        <c:ser>
          <c:idx val="9"/>
          <c:order val="6"/>
          <c:tx>
            <c:strRef>
              <c:f>'MFP-rsum'!$AF$52</c:f>
              <c:strCache>
                <c:ptCount val="1"/>
                <c:pt idx="0">
                  <c:v>Chloride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('[1]MFP-rsum'!$AJ$23,'[1]MFP-rsum'!$AJ$31,'[1]MFP-rsum'!$AJ$32,'[1]MFP-rsum'!$AJ$34)</c:f>
              <c:numCache>
                <c:formatCode>General</c:formatCode>
                <c:ptCount val="4"/>
                <c:pt idx="0">
                  <c:v>2227290.4609544491</c:v>
                </c:pt>
                <c:pt idx="1">
                  <c:v>2466604.5183689054</c:v>
                </c:pt>
                <c:pt idx="2">
                  <c:v>2358413.9237225675</c:v>
                </c:pt>
                <c:pt idx="3">
                  <c:v>2972199.4380712733</c:v>
                </c:pt>
              </c:numCache>
            </c:numRef>
          </c:xVal>
          <c:yVal>
            <c:numRef>
              <c:f>('MFP-rsum'!$BC$23,'MFP-rsum'!$BC$31,'MFP-rsum'!$BC$32,'MFP-rsum'!$BC$34)</c:f>
              <c:numCache>
                <c:formatCode>#,##0.00</c:formatCode>
                <c:ptCount val="4"/>
                <c:pt idx="0">
                  <c:v>1707948.0233861969</c:v>
                </c:pt>
                <c:pt idx="1">
                  <c:v>1708815.4639431396</c:v>
                </c:pt>
                <c:pt idx="2">
                  <c:v>1868245.8834445048</c:v>
                </c:pt>
                <c:pt idx="3">
                  <c:v>2082096.7768277482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EF-48C0-B980-D043CC6EA2F1}"/>
            </c:ext>
          </c:extLst>
        </c:ser>
        <c:ser>
          <c:idx val="10"/>
          <c:order val="7"/>
          <c:tx>
            <c:strRef>
              <c:f>'MFP-rsum'!$AF$53</c:f>
              <c:strCache>
                <c:ptCount val="1"/>
                <c:pt idx="0">
                  <c:v>Fluoride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('[1]MFP-rsum'!$AJ$26:$AJ$27,'[1]MFP-rsum'!$AJ$29:$AJ$30,'[1]MFP-rsum'!$AJ$38:$AJ$40)</c:f>
              <c:numCache>
                <c:formatCode>General</c:formatCode>
                <c:ptCount val="7"/>
                <c:pt idx="0">
                  <c:v>9658755.4388015848</c:v>
                </c:pt>
                <c:pt idx="1">
                  <c:v>8050713.0166514972</c:v>
                </c:pt>
                <c:pt idx="2">
                  <c:v>5525866.2760937605</c:v>
                </c:pt>
                <c:pt idx="3">
                  <c:v>5177440.5902498215</c:v>
                </c:pt>
                <c:pt idx="4">
                  <c:v>3561520.7957820492</c:v>
                </c:pt>
                <c:pt idx="5">
                  <c:v>3283046.6227647751</c:v>
                </c:pt>
                <c:pt idx="6">
                  <c:v>3117014.0748641295</c:v>
                </c:pt>
              </c:numCache>
            </c:numRef>
          </c:xVal>
          <c:yVal>
            <c:numRef>
              <c:f>('MFP-rsum'!$BC$26:$BC$27,'MFP-rsum'!$BC$29:$BC$30,'MFP-rsum'!$BC$38:$BC$40)</c:f>
              <c:numCache>
                <c:formatCode>#,##0.00</c:formatCode>
                <c:ptCount val="7"/>
                <c:pt idx="0">
                  <c:v>4303274.8661318505</c:v>
                </c:pt>
                <c:pt idx="1">
                  <c:v>4342193.6455089152</c:v>
                </c:pt>
                <c:pt idx="2">
                  <c:v>4417126.896931367</c:v>
                </c:pt>
                <c:pt idx="3">
                  <c:v>4406250.3993282951</c:v>
                </c:pt>
                <c:pt idx="4">
                  <c:v>3320258.9389987402</c:v>
                </c:pt>
                <c:pt idx="5">
                  <c:v>3397993.9963429328</c:v>
                </c:pt>
                <c:pt idx="6">
                  <c:v>3474763.6054825806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EF-48C0-B980-D043CC6EA2F1}"/>
            </c:ext>
          </c:extLst>
        </c:ser>
        <c:ser>
          <c:idx val="11"/>
          <c:order val="8"/>
          <c:tx>
            <c:strRef>
              <c:f>'MFP-rsum'!$AF$54</c:f>
              <c:strCache>
                <c:ptCount val="1"/>
                <c:pt idx="0">
                  <c:v>Chloride Actinide Mixtures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'[1]MFP-rsum'!$AJ$36:$AJ$37</c:f>
              <c:numCache>
                <c:formatCode>General</c:formatCode>
                <c:ptCount val="2"/>
                <c:pt idx="0">
                  <c:v>1715696.7182316666</c:v>
                </c:pt>
                <c:pt idx="1">
                  <c:v>1954308.6049635103</c:v>
                </c:pt>
              </c:numCache>
            </c:numRef>
          </c:xVal>
          <c:yVal>
            <c:numRef>
              <c:f>'MFP-rsum'!$BC$36:$BC$37</c:f>
              <c:numCache>
                <c:formatCode>#,##0.00</c:formatCode>
                <c:ptCount val="2"/>
                <c:pt idx="0">
                  <c:v>2156336.4385642763</c:v>
                </c:pt>
                <c:pt idx="1">
                  <c:v>2149770.3220167966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EF-48C0-B980-D043CC6EA2F1}"/>
            </c:ext>
          </c:extLst>
        </c:ser>
        <c:ser>
          <c:idx val="2"/>
          <c:order val="9"/>
          <c:tx>
            <c:strRef>
              <c:f>'MFP-rsum'!$AF$55</c:f>
              <c:strCache>
                <c:ptCount val="1"/>
                <c:pt idx="0">
                  <c:v>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'[1]MFP-rsum'!$AJ$41</c:f>
              <c:numCache>
                <c:formatCode>General</c:formatCode>
                <c:ptCount val="1"/>
                <c:pt idx="0">
                  <c:v>3869588.2095969468</c:v>
                </c:pt>
              </c:numCache>
            </c:numRef>
          </c:xVal>
          <c:yVal>
            <c:numRef>
              <c:f>'MFP-rsum'!$BC$41</c:f>
              <c:numCache>
                <c:formatCode>#,##0.00</c:formatCode>
                <c:ptCount val="1"/>
                <c:pt idx="0">
                  <c:v>4183129.8557158709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FEF-48C0-B980-D043CC6EA2F1}"/>
            </c:ext>
          </c:extLst>
        </c:ser>
        <c:ser>
          <c:idx val="3"/>
          <c:order val="10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.0000000000000005E-9"/>
            <c:intercept val="0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7FEF-48C0-B980-D043CC6E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48400"/>
        <c:axId val="689706896"/>
      </c:scatterChart>
      <c:valAx>
        <c:axId val="757148400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c_BC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06896"/>
        <c:crosses val="autoZero"/>
        <c:crossBetween val="midCat"/>
      </c:valAx>
      <c:valAx>
        <c:axId val="689706896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c_measured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4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66025138959842822"/>
          <c:y val="6.4057451151939337E-2"/>
          <c:w val="0.33974861040157184"/>
          <c:h val="0.8025651793525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'MFP-rsum'!$AV$1</c:f>
              <c:strCache>
                <c:ptCount val="1"/>
                <c:pt idx="0">
                  <c:v>SoS_Tm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'MFP-rsum'!$AV$2:$AV$41</c:f>
              <c:numCache>
                <c:formatCode>0.00E+00</c:formatCode>
                <c:ptCount val="40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1">
                  <c:v>1968.0306331357569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1">
                  <c:v>1885.1934295243609</c:v>
                </c:pt>
                <c:pt idx="32">
                  <c:v>2084.8843456983841</c:v>
                </c:pt>
                <c:pt idx="33">
                  <c:v>2298.228366828082</c:v>
                </c:pt>
                <c:pt idx="34">
                  <c:v>1451.7494609289899</c:v>
                </c:pt>
                <c:pt idx="35">
                  <c:v>1470.4555590061771</c:v>
                </c:pt>
                <c:pt idx="36" formatCode="General">
                  <c:v>1348.6175138087231</c:v>
                </c:pt>
                <c:pt idx="37" formatCode="General">
                  <c:v>1272.126022947567</c:v>
                </c:pt>
                <c:pt idx="38" formatCode="General">
                  <c:v>1215.1718333840431</c:v>
                </c:pt>
                <c:pt idx="39">
                  <c:v>1403</c:v>
                </c:pt>
              </c:numCache>
            </c:numRef>
          </c:xVal>
          <c:yVal>
            <c:numRef>
              <c:f>'MFP-rsum'!$K$2:$K$40</c:f>
              <c:numCache>
                <c:formatCode>#,##0.00</c:formatCode>
                <c:ptCount val="39"/>
                <c:pt idx="0">
                  <c:v>25.939</c:v>
                </c:pt>
                <c:pt idx="1">
                  <c:v>41.988</c:v>
                </c:pt>
                <c:pt idx="2">
                  <c:v>58.097000000000001</c:v>
                </c:pt>
                <c:pt idx="3">
                  <c:v>104.4662</c:v>
                </c:pt>
                <c:pt idx="4">
                  <c:v>58.44</c:v>
                </c:pt>
                <c:pt idx="5">
                  <c:v>42.393999999999998</c:v>
                </c:pt>
                <c:pt idx="6">
                  <c:v>58.44</c:v>
                </c:pt>
                <c:pt idx="7">
                  <c:v>74.551299999999998</c:v>
                </c:pt>
                <c:pt idx="8">
                  <c:v>47.01</c:v>
                </c:pt>
                <c:pt idx="9" formatCode="General">
                  <c:v>62.3018</c:v>
                </c:pt>
                <c:pt idx="10" formatCode="General">
                  <c:v>78.074799999999996</c:v>
                </c:pt>
                <c:pt idx="11" formatCode="General">
                  <c:v>125.6168</c:v>
                </c:pt>
                <c:pt idx="12" formatCode="General">
                  <c:v>95.210999999999999</c:v>
                </c:pt>
                <c:pt idx="13" formatCode="General">
                  <c:v>110.98399999999999</c:v>
                </c:pt>
                <c:pt idx="14" formatCode="General">
                  <c:v>158.52600000000001</c:v>
                </c:pt>
                <c:pt idx="15" formatCode="General">
                  <c:v>84.99</c:v>
                </c:pt>
                <c:pt idx="16" formatCode="General">
                  <c:v>101.1</c:v>
                </c:pt>
                <c:pt idx="17">
                  <c:v>167.21</c:v>
                </c:pt>
                <c:pt idx="18">
                  <c:v>308.0317</c:v>
                </c:pt>
                <c:pt idx="19">
                  <c:v>314.02249999999998</c:v>
                </c:pt>
                <c:pt idx="20">
                  <c:v>344.3879</c:v>
                </c:pt>
                <c:pt idx="21" formatCode="General">
                  <c:v>81.162404000000009</c:v>
                </c:pt>
                <c:pt idx="22" formatCode="General">
                  <c:v>33.103140000000003</c:v>
                </c:pt>
                <c:pt idx="23" formatCode="General">
                  <c:v>41.290994999999988</c:v>
                </c:pt>
                <c:pt idx="24" formatCode="General">
                  <c:v>66.133683500000004</c:v>
                </c:pt>
                <c:pt idx="25" formatCode="General">
                  <c:v>40.153548000000008</c:v>
                </c:pt>
                <c:pt idx="26" formatCode="General">
                  <c:v>31.62816999999999</c:v>
                </c:pt>
                <c:pt idx="27" formatCode="General">
                  <c:v>34.403649999999985</c:v>
                </c:pt>
                <c:pt idx="28" formatCode="General">
                  <c:v>37.179130000000008</c:v>
                </c:pt>
                <c:pt idx="29" formatCode="General">
                  <c:v>88.599896000000015</c:v>
                </c:pt>
                <c:pt idx="30" formatCode="General">
                  <c:v>70.265004930000003</c:v>
                </c:pt>
                <c:pt idx="31" formatCode="General">
                  <c:v>52.812707000000003</c:v>
                </c:pt>
                <c:pt idx="32" formatCode="General">
                  <c:v>55.835751400000007</c:v>
                </c:pt>
                <c:pt idx="33" formatCode="General">
                  <c:v>32.358600000000003</c:v>
                </c:pt>
                <c:pt idx="34" formatCode="General">
                  <c:v>164.240723</c:v>
                </c:pt>
                <c:pt idx="35" formatCode="General">
                  <c:v>156.23418179999999</c:v>
                </c:pt>
                <c:pt idx="36" formatCode="General">
                  <c:v>128.10887</c:v>
                </c:pt>
                <c:pt idx="37" formatCode="General">
                  <c:v>154.66795999999999</c:v>
                </c:pt>
                <c:pt idx="38" formatCode="General">
                  <c:v>181.22704999999999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7-4A78-862C-F3EFB1AE7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2991"/>
        <c:axId val="696064751"/>
      </c:scatterChart>
      <c:valAx>
        <c:axId val="958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M_i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64751"/>
        <c:crosses val="autoZero"/>
        <c:crossBetween val="midCat"/>
      </c:valAx>
      <c:valAx>
        <c:axId val="6960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'MFP-rsum'!$BI$1</c:f>
              <c:strCache>
                <c:ptCount val="1"/>
                <c:pt idx="0">
                  <c:v>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'MFP-rsum'!$AV$2:$AV$41</c:f>
              <c:numCache>
                <c:formatCode>0.00E+00</c:formatCode>
                <c:ptCount val="40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1858.9699999999998</c:v>
                </c:pt>
                <c:pt idx="5">
                  <c:v>2042.3974499999999</c:v>
                </c:pt>
                <c:pt idx="6">
                  <c:v>1743.6799999999998</c:v>
                </c:pt>
                <c:pt idx="7">
                  <c:v>1597.1839999999997</c:v>
                </c:pt>
                <c:pt idx="8">
                  <c:v>2547.8000000000002</c:v>
                </c:pt>
                <c:pt idx="9">
                  <c:v>2175.6</c:v>
                </c:pt>
                <c:pt idx="10">
                  <c:v>1710.3</c:v>
                </c:pt>
                <c:pt idx="11">
                  <c:v>1398.6</c:v>
                </c:pt>
                <c:pt idx="12">
                  <c:v>2101</c:v>
                </c:pt>
                <c:pt idx="13">
                  <c:v>2065.0300000000002</c:v>
                </c:pt>
                <c:pt idx="14">
                  <c:v>1873.13</c:v>
                </c:pt>
                <c:pt idx="15">
                  <c:v>1816.9499999999998</c:v>
                </c:pt>
                <c:pt idx="16">
                  <c:v>1766.56</c:v>
                </c:pt>
                <c:pt idx="17">
                  <c:v>1700</c:v>
                </c:pt>
                <c:pt idx="18">
                  <c:v>1362</c:v>
                </c:pt>
                <c:pt idx="19">
                  <c:v>1062</c:v>
                </c:pt>
                <c:pt idx="20">
                  <c:v>1248</c:v>
                </c:pt>
                <c:pt idx="21">
                  <c:v>1968.0306331357569</c:v>
                </c:pt>
                <c:pt idx="22">
                  <c:v>2547.6863757231322</c:v>
                </c:pt>
                <c:pt idx="23">
                  <c:v>2012.468707779205</c:v>
                </c:pt>
                <c:pt idx="24">
                  <c:v>1781.433208193873</c:v>
                </c:pt>
                <c:pt idx="25">
                  <c:v>2319.1206460873409</c:v>
                </c:pt>
                <c:pt idx="26">
                  <c:v>2547.687552638462</c:v>
                </c:pt>
                <c:pt idx="27">
                  <c:v>2441.8705732183512</c:v>
                </c:pt>
                <c:pt idx="28">
                  <c:v>2348.7520215904742</c:v>
                </c:pt>
                <c:pt idx="29">
                  <c:v>2039.5014589190009</c:v>
                </c:pt>
                <c:pt idx="30">
                  <c:v>2024.776905844504</c:v>
                </c:pt>
                <c:pt idx="31">
                  <c:v>1885.1934295243609</c:v>
                </c:pt>
                <c:pt idx="32">
                  <c:v>2084.8843456983841</c:v>
                </c:pt>
                <c:pt idx="33">
                  <c:v>2298.228366828082</c:v>
                </c:pt>
                <c:pt idx="34">
                  <c:v>1451.7494609289899</c:v>
                </c:pt>
                <c:pt idx="35">
                  <c:v>1470.4555590061771</c:v>
                </c:pt>
                <c:pt idx="36" formatCode="General">
                  <c:v>1348.6175138087231</c:v>
                </c:pt>
                <c:pt idx="37" formatCode="General">
                  <c:v>1272.126022947567</c:v>
                </c:pt>
                <c:pt idx="38" formatCode="General">
                  <c:v>1215.1718333840431</c:v>
                </c:pt>
                <c:pt idx="39">
                  <c:v>1403</c:v>
                </c:pt>
              </c:numCache>
            </c:numRef>
          </c:xVal>
          <c:yVal>
            <c:numRef>
              <c:f>'MFP-rsum'!$BI$2:$BI$41</c:f>
              <c:numCache>
                <c:formatCode>General</c:formatCode>
                <c:ptCount val="40"/>
                <c:pt idx="0">
                  <c:v>5.083691</c:v>
                </c:pt>
                <c:pt idx="1">
                  <c:v>10.402189</c:v>
                </c:pt>
                <c:pt idx="2">
                  <c:v>12.78567</c:v>
                </c:pt>
                <c:pt idx="3">
                  <c:v>15.543321000000001</c:v>
                </c:pt>
                <c:pt idx="4">
                  <c:v>16.622299000000002</c:v>
                </c:pt>
                <c:pt idx="5">
                  <c:v>5.8044969999999996</c:v>
                </c:pt>
                <c:pt idx="6">
                  <c:v>13.945766000000001</c:v>
                </c:pt>
                <c:pt idx="7">
                  <c:v>18.592438999999999</c:v>
                </c:pt>
                <c:pt idx="8">
                  <c:v>6.1125850000000002</c:v>
                </c:pt>
                <c:pt idx="9">
                  <c:v>10.663277000000001</c:v>
                </c:pt>
                <c:pt idx="10">
                  <c:v>12.888699000000001</c:v>
                </c:pt>
                <c:pt idx="11">
                  <c:v>15.613065000000001</c:v>
                </c:pt>
                <c:pt idx="12">
                  <c:v>14.419082</c:v>
                </c:pt>
                <c:pt idx="13">
                  <c:v>18.811104</c:v>
                </c:pt>
                <c:pt idx="14">
                  <c:v>25.238717999999999</c:v>
                </c:pt>
                <c:pt idx="15">
                  <c:v>16.771318999999998</c:v>
                </c:pt>
                <c:pt idx="16">
                  <c:v>23.978197999999999</c:v>
                </c:pt>
                <c:pt idx="17">
                  <c:v>15.723757000000001</c:v>
                </c:pt>
                <c:pt idx="18">
                  <c:v>17.560604999999999</c:v>
                </c:pt>
                <c:pt idx="19">
                  <c:v>17.594118999999999</c:v>
                </c:pt>
                <c:pt idx="20">
                  <c:v>30.854755000000001</c:v>
                </c:pt>
                <c:pt idx="21">
                  <c:v>17.256965000000001</c:v>
                </c:pt>
                <c:pt idx="22">
                  <c:v>5.4335149999999999</c:v>
                </c:pt>
                <c:pt idx="23">
                  <c:v>8.9301490000000001</c:v>
                </c:pt>
                <c:pt idx="24">
                  <c:v>6.8531060000000004</c:v>
                </c:pt>
                <c:pt idx="25">
                  <c:v>5.9524229999999996</c:v>
                </c:pt>
                <c:pt idx="26">
                  <c:v>5.3614920000000001</c:v>
                </c:pt>
                <c:pt idx="27">
                  <c:v>5.481452</c:v>
                </c:pt>
                <c:pt idx="28">
                  <c:v>5.6014119999999998</c:v>
                </c:pt>
                <c:pt idx="29">
                  <c:v>15.754555999999999</c:v>
                </c:pt>
                <c:pt idx="30">
                  <c:v>15.825305</c:v>
                </c:pt>
                <c:pt idx="31">
                  <c:v>11.825414</c:v>
                </c:pt>
                <c:pt idx="32">
                  <c:v>11.149857000000001</c:v>
                </c:pt>
                <c:pt idx="33">
                  <c:v>7.2110900000000004</c:v>
                </c:pt>
                <c:pt idx="34">
                  <c:v>20.202092</c:v>
                </c:pt>
                <c:pt idx="35">
                  <c:v>19.728639999999999</c:v>
                </c:pt>
                <c:pt idx="36">
                  <c:v>13.560829999999999</c:v>
                </c:pt>
                <c:pt idx="37">
                  <c:v>14.137014000000001</c:v>
                </c:pt>
                <c:pt idx="38">
                  <c:v>14.713198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D-4000-BFAE-21AC9080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550767"/>
        <c:axId val="702087663"/>
      </c:scatterChart>
      <c:valAx>
        <c:axId val="6955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87663"/>
        <c:crosses val="autoZero"/>
        <c:crossBetween val="midCat"/>
      </c:valAx>
      <c:valAx>
        <c:axId val="7020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'MFP-rsum'!$BL$1</c:f>
              <c:strCache>
                <c:ptCount val="1"/>
                <c:pt idx="0">
                  <c:v>R(pm)/mu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'MFP-rsum'!$BB$2:$BB$40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'MFP-rsum'!$BL$2:$BL$40</c:f>
              <c:numCache>
                <c:formatCode>General</c:formatCode>
                <c:ptCount val="39"/>
                <c:pt idx="0">
                  <c:v>0.18359155823693674</c:v>
                </c:pt>
                <c:pt idx="1">
                  <c:v>9.0302439960087036E-2</c:v>
                </c:pt>
                <c:pt idx="2">
                  <c:v>7.3380350272217579E-2</c:v>
                </c:pt>
                <c:pt idx="5">
                  <c:v>0.16239624441768419</c:v>
                </c:pt>
                <c:pt idx="6">
                  <c:v>6.7683997594717285E-2</c:v>
                </c:pt>
                <c:pt idx="7">
                  <c:v>5.0769063095053003E-2</c:v>
                </c:pt>
                <c:pt idx="12">
                  <c:v>6.72602696650733E-2</c:v>
                </c:pt>
                <c:pt idx="13">
                  <c:v>5.2997584236910769E-2</c:v>
                </c:pt>
                <c:pt idx="14">
                  <c:v>3.7758314836526127E-2</c:v>
                </c:pt>
                <c:pt idx="22">
                  <c:v>0.1785199095266308</c:v>
                </c:pt>
                <c:pt idx="23">
                  <c:v>0.10508821540807349</c:v>
                </c:pt>
                <c:pt idx="24">
                  <c:v>0.141540289353702</c:v>
                </c:pt>
                <c:pt idx="25">
                  <c:v>0.16295727071338706</c:v>
                </c:pt>
                <c:pt idx="26">
                  <c:v>0.18091803666061451</c:v>
                </c:pt>
                <c:pt idx="27">
                  <c:v>0.1769586974786227</c:v>
                </c:pt>
                <c:pt idx="28">
                  <c:v>0.17316894493952442</c:v>
                </c:pt>
                <c:pt idx="31">
                  <c:v>7.8763200412624287E-2</c:v>
                </c:pt>
                <c:pt idx="33">
                  <c:v>0.1278062721294666</c:v>
                </c:pt>
                <c:pt idx="34">
                  <c:v>4.5645438184397667E-2</c:v>
                </c:pt>
                <c:pt idx="35">
                  <c:v>4.674084688967485E-2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D-4FF3-8BA9-D5B1C42B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  <c:majorUnit val="2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  <c:majorUnit val="0.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'MFP-rsum'!$BM$1</c:f>
              <c:strCache>
                <c:ptCount val="1"/>
                <c:pt idx="0">
                  <c:v>1/sqrt(mu)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9539410108917213E-2"/>
                  <c:y val="3.1949469589230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'MFP-rsum'!$BB$2:$BB$40</c:f>
              <c:numCache>
                <c:formatCode>#,##0.00</c:formatCode>
                <c:ptCount val="39"/>
                <c:pt idx="0">
                  <c:v>4.5211267605633809</c:v>
                </c:pt>
                <c:pt idx="1">
                  <c:v>3.25</c:v>
                </c:pt>
                <c:pt idx="2">
                  <c:v>2.200657894736842</c:v>
                </c:pt>
                <c:pt idx="3">
                  <c:v>1.9467787114845938</c:v>
                </c:pt>
                <c:pt idx="4">
                  <c:v>1.62144420131291</c:v>
                </c:pt>
                <c:pt idx="5">
                  <c:v>2.2990276925980089</c:v>
                </c:pt>
                <c:pt idx="6">
                  <c:v>1.8491367861885792</c:v>
                </c:pt>
                <c:pt idx="7">
                  <c:v>1.5069615069615068</c:v>
                </c:pt>
                <c:pt idx="8">
                  <c:v>3.6625000000000001</c:v>
                </c:pt>
                <c:pt idx="9">
                  <c:v>3.7107100610255244</c:v>
                </c:pt>
                <c:pt idx="10">
                  <c:v>3.2228864523764393</c:v>
                </c:pt>
                <c:pt idx="11">
                  <c:v>2.733763684475325</c:v>
                </c:pt>
                <c:pt idx="12">
                  <c:v>1.6288718794256967</c:v>
                </c:pt>
                <c:pt idx="13">
                  <c:v>1.9289745850302744</c:v>
                </c:pt>
                <c:pt idx="14">
                  <c:v>1.7997566027023955</c:v>
                </c:pt>
                <c:pt idx="15">
                  <c:v>3.4833221401387955</c:v>
                </c:pt>
                <c:pt idx="16">
                  <c:v>2.6082130965593784</c:v>
                </c:pt>
                <c:pt idx="17">
                  <c:v>2.8652210394115185</c:v>
                </c:pt>
                <c:pt idx="18">
                  <c:v>3.337838280930177</c:v>
                </c:pt>
                <c:pt idx="19">
                  <c:v>3.5850297351304445</c:v>
                </c:pt>
                <c:pt idx="20">
                  <c:v>1.9948436051324685</c:v>
                </c:pt>
                <c:pt idx="21">
                  <c:v>1.707948023386197</c:v>
                </c:pt>
                <c:pt idx="22">
                  <c:v>4.3231571595853948</c:v>
                </c:pt>
                <c:pt idx="23">
                  <c:v>3.4023189027080507</c:v>
                </c:pt>
                <c:pt idx="24">
                  <c:v>4.3032748661318507</c:v>
                </c:pt>
                <c:pt idx="25">
                  <c:v>4.3421936455089156</c:v>
                </c:pt>
                <c:pt idx="26">
                  <c:v>4.4283612920590647</c:v>
                </c:pt>
                <c:pt idx="27">
                  <c:v>4.4171268969313671</c:v>
                </c:pt>
                <c:pt idx="28">
                  <c:v>4.4062503993282949</c:v>
                </c:pt>
                <c:pt idx="29">
                  <c:v>1.7088154639431397</c:v>
                </c:pt>
                <c:pt idx="30">
                  <c:v>1.8682458834445048</c:v>
                </c:pt>
                <c:pt idx="31">
                  <c:v>2.7726526002182017</c:v>
                </c:pt>
                <c:pt idx="32">
                  <c:v>2.0820967768277483</c:v>
                </c:pt>
                <c:pt idx="33">
                  <c:v>4.1924805580232256</c:v>
                </c:pt>
                <c:pt idx="34">
                  <c:v>2.1563364385642765</c:v>
                </c:pt>
                <c:pt idx="35">
                  <c:v>2.1497703220167965</c:v>
                </c:pt>
                <c:pt idx="36">
                  <c:v>3.32025893899874</c:v>
                </c:pt>
                <c:pt idx="37">
                  <c:v>3.3979939963429326</c:v>
                </c:pt>
                <c:pt idx="38">
                  <c:v>3.4747636054825808</c:v>
                </c:pt>
              </c:numCache>
            </c:numRef>
          </c:xVal>
          <c:yVal>
            <c:numRef>
              <c:f>'MFP-rsum'!$BM$2:$BM$40</c:f>
              <c:numCache>
                <c:formatCode>General</c:formatCode>
                <c:ptCount val="39"/>
                <c:pt idx="0">
                  <c:v>0.44351715976809863</c:v>
                </c:pt>
                <c:pt idx="1">
                  <c:v>0.31005420796575117</c:v>
                </c:pt>
                <c:pt idx="2">
                  <c:v>0.27966508792953987</c:v>
                </c:pt>
                <c:pt idx="3">
                  <c:v>0.25364604325163281</c:v>
                </c:pt>
                <c:pt idx="4">
                  <c:v>0.24527566110138047</c:v>
                </c:pt>
                <c:pt idx="5">
                  <c:v>0.4150665206068388</c:v>
                </c:pt>
                <c:pt idx="6">
                  <c:v>0.2677804167426549</c:v>
                </c:pt>
                <c:pt idx="7">
                  <c:v>0.23191659034190587</c:v>
                </c:pt>
                <c:pt idx="8">
                  <c:v>0.40447114487547259</c:v>
                </c:pt>
                <c:pt idx="9">
                  <c:v>0.30623487956556078</c:v>
                </c:pt>
                <c:pt idx="10">
                  <c:v>0.27854505914169592</c:v>
                </c:pt>
                <c:pt idx="11">
                  <c:v>0.25307888716651805</c:v>
                </c:pt>
                <c:pt idx="12">
                  <c:v>0.26334870930589072</c:v>
                </c:pt>
                <c:pt idx="13">
                  <c:v>0.23056472188097921</c:v>
                </c:pt>
                <c:pt idx="14">
                  <c:v>0.19905191239018427</c:v>
                </c:pt>
                <c:pt idx="15">
                  <c:v>0.24418354263617689</c:v>
                </c:pt>
                <c:pt idx="16">
                  <c:v>0.20421692333539934</c:v>
                </c:pt>
                <c:pt idx="17">
                  <c:v>0.25218650230768064</c:v>
                </c:pt>
                <c:pt idx="18">
                  <c:v>0.23863286914181275</c:v>
                </c:pt>
                <c:pt idx="19">
                  <c:v>0.23840548196432468</c:v>
                </c:pt>
                <c:pt idx="20">
                  <c:v>0.18002754073948021</c:v>
                </c:pt>
                <c:pt idx="21">
                  <c:v>0.24072311291726189</c:v>
                </c:pt>
                <c:pt idx="22">
                  <c:v>0.42900224494995404</c:v>
                </c:pt>
                <c:pt idx="23">
                  <c:v>0.33463444897360917</c:v>
                </c:pt>
                <c:pt idx="24">
                  <c:v>0.38199376592330547</c:v>
                </c:pt>
                <c:pt idx="25">
                  <c:v>0.40987658295684953</c:v>
                </c:pt>
                <c:pt idx="26">
                  <c:v>0.43187410912122187</c:v>
                </c:pt>
                <c:pt idx="27">
                  <c:v>0.42712224670269727</c:v>
                </c:pt>
                <c:pt idx="28">
                  <c:v>0.422523862534678</c:v>
                </c:pt>
                <c:pt idx="29">
                  <c:v>0.25193987866994549</c:v>
                </c:pt>
                <c:pt idx="30">
                  <c:v>0.25137608350806889</c:v>
                </c:pt>
                <c:pt idx="31">
                  <c:v>0.29079827298894118</c:v>
                </c:pt>
                <c:pt idx="32">
                  <c:v>0.29947829454524799</c:v>
                </c:pt>
                <c:pt idx="33">
                  <c:v>0.372391313567767</c:v>
                </c:pt>
                <c:pt idx="34">
                  <c:v>0.22248555925638236</c:v>
                </c:pt>
                <c:pt idx="35">
                  <c:v>0.22513935936671312</c:v>
                </c:pt>
                <c:pt idx="36">
                  <c:v>0.27155441257725826</c:v>
                </c:pt>
                <c:pt idx="37">
                  <c:v>0.26596295891484367</c:v>
                </c:pt>
                <c:pt idx="38">
                  <c:v>0.2607032590276197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9-4678-A5DE-EEB5A797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18463"/>
        <c:axId val="139235263"/>
      </c:scatterChart>
      <c:valAx>
        <c:axId val="13921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c_p,vol [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MJ∙m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US" sz="12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35263"/>
        <c:crosses val="autoZero"/>
        <c:crossBetween val="midCat"/>
      </c:valAx>
      <c:valAx>
        <c:axId val="139235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/>
                  <a:t>F (arbitrary 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21846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41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19" Type="http://schemas.openxmlformats.org/officeDocument/2006/relationships/chart" Target="../charts/chart40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235989</xdr:colOff>
      <xdr:row>28</xdr:row>
      <xdr:rowOff>41233</xdr:rowOff>
    </xdr:from>
    <xdr:to>
      <xdr:col>54</xdr:col>
      <xdr:colOff>557814</xdr:colOff>
      <xdr:row>47</xdr:row>
      <xdr:rowOff>56710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523C544-1E20-2DF9-AC8A-972F53158E00}"/>
            </a:ext>
          </a:extLst>
        </xdr:cNvPr>
        <xdr:cNvGrpSpPr/>
      </xdr:nvGrpSpPr>
      <xdr:grpSpPr>
        <a:xfrm>
          <a:off x="20769168" y="5905912"/>
          <a:ext cx="5084325" cy="3376441"/>
          <a:chOff x="8144410" y="6289687"/>
          <a:chExt cx="4810123" cy="4060030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CF09FEB-1FA9-480A-C5DE-51FC2DAFC484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CA472D1-33F3-7C82-4BC0-9FAC0EE4D805}"/>
              </a:ext>
            </a:extLst>
          </xdr:cNvPr>
          <xdr:cNvSpPr txBox="1"/>
        </xdr:nvSpPr>
        <xdr:spPr>
          <a:xfrm>
            <a:off x="8939199" y="6854294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47</xdr:col>
      <xdr:colOff>482734</xdr:colOff>
      <xdr:row>7</xdr:row>
      <xdr:rowOff>89503</xdr:rowOff>
    </xdr:from>
    <xdr:to>
      <xdr:col>55</xdr:col>
      <xdr:colOff>119063</xdr:colOff>
      <xdr:row>26</xdr:row>
      <xdr:rowOff>53426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9C7EDF8-A118-420A-B2B2-B4AF7C4A5AEB}"/>
            </a:ext>
          </a:extLst>
        </xdr:cNvPr>
        <xdr:cNvGrpSpPr/>
      </xdr:nvGrpSpPr>
      <xdr:grpSpPr>
        <a:xfrm>
          <a:off x="21015913" y="2239432"/>
          <a:ext cx="5079186" cy="3324887"/>
          <a:chOff x="3362300" y="2635753"/>
          <a:chExt cx="4810123" cy="4060030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CC388E5E-E967-402D-3D3A-4BA64B28C3E3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6216EDF-3F3A-28F4-64E2-187AB87F3838}"/>
              </a:ext>
            </a:extLst>
          </xdr:cNvPr>
          <xdr:cNvSpPr txBox="1"/>
        </xdr:nvSpPr>
        <xdr:spPr>
          <a:xfrm>
            <a:off x="4452390" y="3575186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48</xdr:col>
      <xdr:colOff>603330</xdr:colOff>
      <xdr:row>1</xdr:row>
      <xdr:rowOff>53646</xdr:rowOff>
    </xdr:from>
    <xdr:to>
      <xdr:col>56</xdr:col>
      <xdr:colOff>325302</xdr:colOff>
      <xdr:row>15</xdr:row>
      <xdr:rowOff>102637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E4B53EF-C4C7-4F27-BE99-0D62AD6E3361}"/>
            </a:ext>
          </a:extLst>
        </xdr:cNvPr>
        <xdr:cNvGrpSpPr/>
      </xdr:nvGrpSpPr>
      <xdr:grpSpPr>
        <a:xfrm>
          <a:off x="21816866" y="230539"/>
          <a:ext cx="5164829" cy="3437169"/>
          <a:chOff x="-2264684" y="-522040"/>
          <a:chExt cx="4810123" cy="4060030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56E9A262-AA26-219F-C226-319AE6C5F612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C3F07C29-BB2A-2140-0636-1F06E10E2DFF}"/>
              </a:ext>
            </a:extLst>
          </xdr:cNvPr>
          <xdr:cNvSpPr txBox="1"/>
        </xdr:nvSpPr>
        <xdr:spPr>
          <a:xfrm>
            <a:off x="1430664" y="2643791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311944</xdr:colOff>
      <xdr:row>18</xdr:row>
      <xdr:rowOff>61912</xdr:rowOff>
    </xdr:from>
    <xdr:to>
      <xdr:col>63</xdr:col>
      <xdr:colOff>26194</xdr:colOff>
      <xdr:row>29</xdr:row>
      <xdr:rowOff>47625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E2F56B7-6256-3C5D-93CB-5E761269E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300037</xdr:colOff>
      <xdr:row>29</xdr:row>
      <xdr:rowOff>85725</xdr:rowOff>
    </xdr:from>
    <xdr:to>
      <xdr:col>63</xdr:col>
      <xdr:colOff>14287</xdr:colOff>
      <xdr:row>40</xdr:row>
      <xdr:rowOff>71438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A9583368-935A-486A-BA46-18DB2A9E63AA}"/>
            </a:ext>
          </a:extLst>
        </xdr:cNvPr>
        <xdr:cNvGrpSpPr/>
      </xdr:nvGrpSpPr>
      <xdr:grpSpPr>
        <a:xfrm>
          <a:off x="26276073" y="6127296"/>
          <a:ext cx="5157107" cy="1931535"/>
          <a:chOff x="-503286" y="1975389"/>
          <a:chExt cx="4810123" cy="4060030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AD491C97-FE4F-EB7F-A9A0-90D895C506B8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902F72A9-EAE6-DB50-54CB-EDE2B540D909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40</xdr:row>
      <xdr:rowOff>71438</xdr:rowOff>
    </xdr:from>
    <xdr:to>
      <xdr:col>63</xdr:col>
      <xdr:colOff>59531</xdr:colOff>
      <xdr:row>51</xdr:row>
      <xdr:rowOff>57151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ACC2CDB-01AC-4E8A-884B-3E48F23C15EF}"/>
            </a:ext>
          </a:extLst>
        </xdr:cNvPr>
        <xdr:cNvGrpSpPr/>
      </xdr:nvGrpSpPr>
      <xdr:grpSpPr>
        <a:xfrm>
          <a:off x="26321317" y="8058831"/>
          <a:ext cx="5157107" cy="1931534"/>
          <a:chOff x="-503286" y="1975389"/>
          <a:chExt cx="4810123" cy="4060030"/>
        </a:xfrm>
      </xdr:grpSpPr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92839B2A-F993-F6EF-9D31-F44F00F436BE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5B43E84-25EC-016E-CEAF-299E823E03E0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2</xdr:col>
      <xdr:colOff>216404</xdr:colOff>
      <xdr:row>65</xdr:row>
      <xdr:rowOff>55641</xdr:rowOff>
    </xdr:from>
    <xdr:to>
      <xdr:col>23</xdr:col>
      <xdr:colOff>521844</xdr:colOff>
      <xdr:row>94</xdr:row>
      <xdr:rowOff>172592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1C5394C-C59C-4FFD-907A-E8E84AC64A3A}"/>
            </a:ext>
          </a:extLst>
        </xdr:cNvPr>
        <xdr:cNvGrpSpPr/>
      </xdr:nvGrpSpPr>
      <xdr:grpSpPr>
        <a:xfrm>
          <a:off x="3740654" y="12465355"/>
          <a:ext cx="5067940" cy="5246844"/>
          <a:chOff x="20030126" y="4396007"/>
          <a:chExt cx="5212083" cy="599065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82786685-D688-EC12-5636-ABC32D4880D7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69ACA880-114E-43AD-9B8A-8B8F47E29011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2E72AC51-D60E-D1B1-F0BA-2A1E3739EF1C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F56C1124-91C0-435E-BD53-6D6B7FEFF279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DB53E1C3-0157-B5F9-5CEE-E9895D70A8E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5C4C378D-A299-EB9B-CAF4-5782935FCB16}"/>
                  </a:ext>
                </a:extLst>
              </xdr:cNvPr>
              <xdr:cNvSpPr txBox="1"/>
            </xdr:nvSpPr>
            <xdr:spPr>
              <a:xfrm>
                <a:off x="3560756" y="-5435232"/>
                <a:ext cx="596787" cy="4358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9C587C0-9241-4075-9C87-8B3A0E4377D1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FCB6BFC1-66E4-4AFC-8E21-AE0CAC8233AE}"/>
              </a:ext>
            </a:extLst>
          </xdr:cNvPr>
          <xdr:cNvSpPr txBox="1"/>
        </xdr:nvSpPr>
        <xdr:spPr>
          <a:xfrm>
            <a:off x="24616580" y="9759786"/>
            <a:ext cx="39935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1B7FC57D-D37C-4C39-8FE2-C9235B047C47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207510</xdr:colOff>
      <xdr:row>96</xdr:row>
      <xdr:rowOff>114981</xdr:rowOff>
    </xdr:from>
    <xdr:to>
      <xdr:col>24</xdr:col>
      <xdr:colOff>109538</xdr:colOff>
      <xdr:row>115</xdr:row>
      <xdr:rowOff>134793</xdr:rowOff>
    </xdr:to>
    <xdr:graphicFrame macro="">
      <xdr:nvGraphicFramePr>
        <xdr:cNvPr id="2" name="Chart 17">
          <a:extLst>
            <a:ext uri="{FF2B5EF4-FFF2-40B4-BE49-F238E27FC236}">
              <a16:creationId xmlns:a16="http://schemas.microsoft.com/office/drawing/2014/main" id="{F37424CD-C976-BCC8-A9EE-50BDBD3DB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281215</xdr:colOff>
      <xdr:row>43</xdr:row>
      <xdr:rowOff>61233</xdr:rowOff>
    </xdr:from>
    <xdr:to>
      <xdr:col>24</xdr:col>
      <xdr:colOff>185965</xdr:colOff>
      <xdr:row>62</xdr:row>
      <xdr:rowOff>85043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BE30A13-1C1C-4CAB-87F5-3232444989F5}"/>
            </a:ext>
          </a:extLst>
        </xdr:cNvPr>
        <xdr:cNvGrpSpPr/>
      </xdr:nvGrpSpPr>
      <xdr:grpSpPr>
        <a:xfrm>
          <a:off x="3805465" y="8579304"/>
          <a:ext cx="5347607" cy="3384775"/>
          <a:chOff x="2928938" y="2333627"/>
          <a:chExt cx="4810123" cy="4060030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40EB6078-9027-6D4B-9C51-51F0C7990A7B}"/>
              </a:ext>
            </a:extLst>
          </xdr:cNvPr>
          <xdr:cNvGrpSpPr/>
        </xdr:nvGrpSpPr>
        <xdr:grpSpPr>
          <a:xfrm>
            <a:off x="2928938" y="2333627"/>
            <a:ext cx="4810123" cy="4060030"/>
            <a:chOff x="2928938" y="2333627"/>
            <a:chExt cx="4810123" cy="4060030"/>
          </a:xfrm>
        </xdr:grpSpPr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BB8880BC-30DF-5745-1286-DBC6B7EE104A}"/>
                </a:ext>
              </a:extLst>
            </xdr:cNvPr>
            <xdr:cNvGraphicFramePr>
              <a:graphicFrameLocks/>
            </xdr:cNvGraphicFramePr>
          </xdr:nvGraphicFramePr>
          <xdr:xfrm>
            <a:off x="2928938" y="2333627"/>
            <a:ext cx="4810123" cy="4060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239DC1D-F34F-A71E-8D4F-741020507D28}"/>
                </a:ext>
              </a:extLst>
            </xdr:cNvPr>
            <xdr:cNvSpPr txBox="1"/>
          </xdr:nvSpPr>
          <xdr:spPr>
            <a:xfrm>
              <a:off x="3690938" y="4000499"/>
              <a:ext cx="1012032" cy="2619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Exp. Min</a:t>
              </a:r>
            </a:p>
          </xdr:txBody>
        </xdr:sp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5F791-380B-BC5E-9BDC-A5395FA79125}"/>
              </a:ext>
            </a:extLst>
          </xdr:cNvPr>
          <xdr:cNvSpPr txBox="1"/>
        </xdr:nvSpPr>
        <xdr:spPr>
          <a:xfrm>
            <a:off x="7015263" y="3286127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77EB681-48ED-A129-CF49-74E03F472898}"/>
              </a:ext>
            </a:extLst>
          </xdr:cNvPr>
          <xdr:cNvSpPr txBox="1"/>
        </xdr:nvSpPr>
        <xdr:spPr>
          <a:xfrm>
            <a:off x="6272214" y="2486028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8"/>
          <a:ext cx="0" cy="0"/>
          <a:chOff x="0" y="8"/>
          <a:chExt cx="0" cy="0"/>
        </a:xfrm>
      </cdr:grpSpPr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0.14917</cdr:x>
      <cdr:y>0.04194</cdr:y>
    </cdr:from>
    <cdr:to>
      <cdr:x>0.44307</cdr:x>
      <cdr:y>0.25476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797703" y="141957"/>
          <a:ext cx="1571661" cy="720348"/>
          <a:chOff x="717550" y="170258"/>
          <a:chExt cx="1413668" cy="864057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C7923486-1DC5-1085-78AF-5DFCFCCF409A}"/>
              </a:ext>
            </a:extLst>
          </cdr:cNvPr>
          <cdr:cNvSpPr txBox="1"/>
        </cdr:nvSpPr>
        <cdr:spPr>
          <a:xfrm xmlns:a="http://schemas.openxmlformats.org/drawingml/2006/main">
            <a:off x="717550" y="772378"/>
            <a:ext cx="1012032" cy="26193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9A97FD49-A895-18FD-3C26-A57A5863B850}"/>
              </a:ext>
            </a:extLst>
          </cdr:cNvPr>
          <cdr:cNvSpPr txBox="1"/>
        </cdr:nvSpPr>
        <cdr:spPr>
          <a:xfrm xmlns:a="http://schemas.openxmlformats.org/drawingml/2006/main">
            <a:off x="717550" y="170258"/>
            <a:ext cx="1413668" cy="22304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Non-Actinides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2155032</xdr:colOff>
      <xdr:row>13</xdr:row>
      <xdr:rowOff>119063</xdr:rowOff>
    </xdr:from>
    <xdr:to>
      <xdr:col>21</xdr:col>
      <xdr:colOff>583407</xdr:colOff>
      <xdr:row>32</xdr:row>
      <xdr:rowOff>142874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914BA1-1892-439B-A2B7-91CC50DACC52}"/>
            </a:ext>
          </a:extLst>
        </xdr:cNvPr>
        <xdr:cNvGrpSpPr/>
      </xdr:nvGrpSpPr>
      <xdr:grpSpPr>
        <a:xfrm>
          <a:off x="2155032" y="3436391"/>
          <a:ext cx="5413375" cy="3560104"/>
          <a:chOff x="2928938" y="2333627"/>
          <a:chExt cx="4810123" cy="406003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697E8DB2-F796-F52D-F7F9-FD1051AF027E}"/>
              </a:ext>
            </a:extLst>
          </xdr:cNvPr>
          <xdr:cNvGrpSpPr/>
        </xdr:nvGrpSpPr>
        <xdr:grpSpPr>
          <a:xfrm>
            <a:off x="2928938" y="2333627"/>
            <a:ext cx="4810123" cy="4060030"/>
            <a:chOff x="2928938" y="2333627"/>
            <a:chExt cx="4810123" cy="406003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2D832B-E71B-4CC7-FA95-B5F405987FFF}"/>
                </a:ext>
              </a:extLst>
            </xdr:cNvPr>
            <xdr:cNvGraphicFramePr>
              <a:graphicFrameLocks/>
            </xdr:cNvGraphicFramePr>
          </xdr:nvGraphicFramePr>
          <xdr:xfrm>
            <a:off x="2928938" y="2333627"/>
            <a:ext cx="4810123" cy="40600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636142C-6477-A265-9F05-5A72E2A55790}"/>
                </a:ext>
              </a:extLst>
            </xdr:cNvPr>
            <xdr:cNvSpPr txBox="1"/>
          </xdr:nvSpPr>
          <xdr:spPr>
            <a:xfrm>
              <a:off x="3690938" y="4000499"/>
              <a:ext cx="1012032" cy="2619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50">
                  <a:latin typeface="Times New Roman" panose="02020603050405020304" pitchFamily="18" charset="0"/>
                  <a:cs typeface="Times New Roman" panose="02020603050405020304" pitchFamily="18" charset="0"/>
                </a:rPr>
                <a:t>T = T</a:t>
              </a:r>
              <a:r>
                <a:rPr lang="en-US" sz="1050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Exp. Min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A5C8AB4-8495-B795-DE25-847C6E4B5188}"/>
              </a:ext>
            </a:extLst>
          </xdr:cNvPr>
          <xdr:cNvSpPr txBox="1"/>
        </xdr:nvSpPr>
        <xdr:spPr>
          <a:xfrm>
            <a:off x="7015263" y="3286127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-15%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8A1F167-EE1A-A58D-2E35-30629AB6BFB6}"/>
              </a:ext>
            </a:extLst>
          </xdr:cNvPr>
          <xdr:cNvSpPr txBox="1"/>
        </xdr:nvSpPr>
        <xdr:spPr>
          <a:xfrm>
            <a:off x="6272214" y="2486028"/>
            <a:ext cx="595311" cy="273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+15%</a:t>
            </a:r>
            <a:endParaRPr lang="en-US" sz="1050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41</xdr:col>
      <xdr:colOff>512419</xdr:colOff>
      <xdr:row>23</xdr:row>
      <xdr:rowOff>50927</xdr:rowOff>
    </xdr:from>
    <xdr:to>
      <xdr:col>51</xdr:col>
      <xdr:colOff>541939</xdr:colOff>
      <xdr:row>46</xdr:row>
      <xdr:rowOff>104335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48E5DC3-9F6A-4D34-9225-2765C8E205DA}"/>
            </a:ext>
          </a:extLst>
        </xdr:cNvPr>
        <xdr:cNvGrpSpPr/>
      </xdr:nvGrpSpPr>
      <xdr:grpSpPr>
        <a:xfrm>
          <a:off x="17153798" y="5229461"/>
          <a:ext cx="6926934" cy="4334184"/>
          <a:chOff x="6484317" y="5393647"/>
          <a:chExt cx="6470216" cy="495607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90AC281-0B13-8275-0048-FFF0CB91B147}"/>
              </a:ext>
            </a:extLst>
          </xdr:cNvPr>
          <xdr:cNvGraphicFramePr>
            <a:graphicFrameLocks/>
          </xdr:cNvGraphicFramePr>
        </xdr:nvGraphicFramePr>
        <xdr:xfrm>
          <a:off x="8144410" y="6289687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1F80A87-58B0-97E9-8E15-38A847884580}"/>
              </a:ext>
            </a:extLst>
          </xdr:cNvPr>
          <xdr:cNvSpPr txBox="1"/>
        </xdr:nvSpPr>
        <xdr:spPr>
          <a:xfrm>
            <a:off x="6484317" y="5393647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43</xdr:col>
      <xdr:colOff>272661</xdr:colOff>
      <xdr:row>7</xdr:row>
      <xdr:rowOff>41878</xdr:rowOff>
    </xdr:from>
    <xdr:to>
      <xdr:col>51</xdr:col>
      <xdr:colOff>357187</xdr:colOff>
      <xdr:row>26</xdr:row>
      <xdr:rowOff>5801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4810481-97DF-4ED5-9FE3-BB98E91E8EF8}"/>
            </a:ext>
          </a:extLst>
        </xdr:cNvPr>
        <xdr:cNvGrpSpPr/>
      </xdr:nvGrpSpPr>
      <xdr:grpSpPr>
        <a:xfrm>
          <a:off x="18293523" y="2242481"/>
          <a:ext cx="5602457" cy="3500217"/>
          <a:chOff x="2939356" y="2635753"/>
          <a:chExt cx="5233067" cy="406003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446ACED9-1D59-4DF6-BD54-3855744BBD96}"/>
              </a:ext>
            </a:extLst>
          </xdr:cNvPr>
          <xdr:cNvGraphicFramePr>
            <a:graphicFrameLocks/>
          </xdr:cNvGraphicFramePr>
        </xdr:nvGraphicFramePr>
        <xdr:xfrm>
          <a:off x="3362300" y="2635753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A71C964-9A33-4688-4BAC-1E3191715906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37</xdr:col>
      <xdr:colOff>226299</xdr:colOff>
      <xdr:row>4</xdr:row>
      <xdr:rowOff>21896</xdr:rowOff>
    </xdr:from>
    <xdr:to>
      <xdr:col>47</xdr:col>
      <xdr:colOff>90378</xdr:colOff>
      <xdr:row>26</xdr:row>
      <xdr:rowOff>116379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6476065-D56E-4108-99B5-98B5A157EF3D}"/>
            </a:ext>
          </a:extLst>
        </xdr:cNvPr>
        <xdr:cNvGrpSpPr/>
      </xdr:nvGrpSpPr>
      <xdr:grpSpPr>
        <a:xfrm>
          <a:off x="14108713" y="766379"/>
          <a:ext cx="6761493" cy="5086897"/>
          <a:chOff x="-2264684" y="-522040"/>
          <a:chExt cx="6216072" cy="5792849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4A419A5-0AB8-0535-50A1-58DD340AB1F7}"/>
              </a:ext>
            </a:extLst>
          </xdr:cNvPr>
          <xdr:cNvGraphicFramePr>
            <a:graphicFrameLocks/>
          </xdr:cNvGraphicFramePr>
        </xdr:nvGraphicFramePr>
        <xdr:xfrm>
          <a:off x="-2264684" y="-522040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FA55271-D129-0FDE-F3EA-F291AB3A097F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311944</xdr:colOff>
      <xdr:row>18</xdr:row>
      <xdr:rowOff>61912</xdr:rowOff>
    </xdr:from>
    <xdr:to>
      <xdr:col>63</xdr:col>
      <xdr:colOff>26194</xdr:colOff>
      <xdr:row>29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99F779-7F8C-4DF0-A694-1D3C3C3FD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300037</xdr:colOff>
      <xdr:row>29</xdr:row>
      <xdr:rowOff>85725</xdr:rowOff>
    </xdr:from>
    <xdr:to>
      <xdr:col>63</xdr:col>
      <xdr:colOff>14287</xdr:colOff>
      <xdr:row>40</xdr:row>
      <xdr:rowOff>71438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43C9F21-0C21-4802-B497-6FA89AE47A15}"/>
            </a:ext>
          </a:extLst>
        </xdr:cNvPr>
        <xdr:cNvGrpSpPr/>
      </xdr:nvGrpSpPr>
      <xdr:grpSpPr>
        <a:xfrm>
          <a:off x="26597796" y="6380984"/>
          <a:ext cx="5232181" cy="2033040"/>
          <a:chOff x="-503286" y="1975389"/>
          <a:chExt cx="4810123" cy="4060030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205EF77D-AC24-BA9D-1946-FA3931365A86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BECAB1F-889C-3B5D-FC09-0DCBA3A87E14}"/>
              </a:ext>
            </a:extLst>
          </xdr:cNvPr>
          <xdr:cNvSpPr txBox="1"/>
        </xdr:nvSpPr>
        <xdr:spPr>
          <a:xfrm>
            <a:off x="2939356" y="5008872"/>
            <a:ext cx="1012032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55</xdr:col>
      <xdr:colOff>345281</xdr:colOff>
      <xdr:row>40</xdr:row>
      <xdr:rowOff>71438</xdr:rowOff>
    </xdr:from>
    <xdr:to>
      <xdr:col>63</xdr:col>
      <xdr:colOff>59531</xdr:colOff>
      <xdr:row>51</xdr:row>
      <xdr:rowOff>57151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DD976D1-FA76-463B-AA2A-A89D380B01A4}"/>
            </a:ext>
          </a:extLst>
        </xdr:cNvPr>
        <xdr:cNvGrpSpPr/>
      </xdr:nvGrpSpPr>
      <xdr:grpSpPr>
        <a:xfrm>
          <a:off x="26643040" y="8414024"/>
          <a:ext cx="5232181" cy="2033041"/>
          <a:chOff x="-503286" y="1975389"/>
          <a:chExt cx="4810123" cy="4060030"/>
        </a:xfrm>
      </xdr:grpSpPr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1BE8716C-65EE-4E26-02D0-EE9A0E31486A}"/>
              </a:ext>
            </a:extLst>
          </xdr:cNvPr>
          <xdr:cNvGraphicFramePr>
            <a:graphicFrameLocks/>
          </xdr:cNvGraphicFramePr>
        </xdr:nvGraphicFramePr>
        <xdr:xfrm>
          <a:off x="-503286" y="1975389"/>
          <a:ext cx="4810123" cy="4060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68CE21E-C95C-5A91-1E8A-8A356132996E}"/>
              </a:ext>
            </a:extLst>
          </xdr:cNvPr>
          <xdr:cNvSpPr txBox="1"/>
        </xdr:nvSpPr>
        <xdr:spPr>
          <a:xfrm>
            <a:off x="3064620" y="4799831"/>
            <a:ext cx="1012032" cy="261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latin typeface="Times New Roman" panose="02020603050405020304" pitchFamily="18" charset="0"/>
                <a:cs typeface="Times New Roman" panose="02020603050405020304" pitchFamily="18" charset="0"/>
              </a:rPr>
              <a:t>T = T</a:t>
            </a:r>
            <a:r>
              <a:rPr lang="en-US" sz="1050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Exp. Min</a:t>
            </a:r>
          </a:p>
        </xdr:txBody>
      </xdr:sp>
    </xdr:grpSp>
    <xdr:clientData/>
  </xdr:twoCellAnchor>
  <xdr:twoCellAnchor>
    <xdr:from>
      <xdr:col>33</xdr:col>
      <xdr:colOff>202797</xdr:colOff>
      <xdr:row>31</xdr:row>
      <xdr:rowOff>5748</xdr:rowOff>
    </xdr:from>
    <xdr:to>
      <xdr:col>40</xdr:col>
      <xdr:colOff>510505</xdr:colOff>
      <xdr:row>60</xdr:row>
      <xdr:rowOff>120431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282FE42-FB2F-4DBB-8DF9-1F81F3866C08}"/>
            </a:ext>
          </a:extLst>
        </xdr:cNvPr>
        <xdr:cNvGrpSpPr/>
      </xdr:nvGrpSpPr>
      <xdr:grpSpPr>
        <a:xfrm>
          <a:off x="11326245" y="6673248"/>
          <a:ext cx="5135898" cy="5512183"/>
          <a:chOff x="20030126" y="4396007"/>
          <a:chExt cx="5212083" cy="5990653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5719863F-B57A-6F7D-B7D1-0C4A9BB1ED0C}"/>
              </a:ext>
            </a:extLst>
          </xdr:cNvPr>
          <xdr:cNvGrpSpPr/>
        </xdr:nvGrpSpPr>
        <xdr:grpSpPr>
          <a:xfrm>
            <a:off x="20030126" y="4396007"/>
            <a:ext cx="5212083" cy="5990653"/>
            <a:chOff x="18555958" y="4187989"/>
            <a:chExt cx="4675566" cy="5990653"/>
          </a:xfrm>
        </xdr:grpSpPr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34834665-B581-A70F-77C5-9A3DD8A1A5D5}"/>
                </a:ext>
              </a:extLst>
            </xdr:cNvPr>
            <xdr:cNvGraphicFramePr>
              <a:graphicFrameLocks/>
            </xdr:cNvGraphicFramePr>
          </xdr:nvGraphicFramePr>
          <xdr:xfrm>
            <a:off x="18555961" y="4187989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007B5653-E3FC-C3B3-4EB1-ADD465AE8475}"/>
                </a:ext>
              </a:extLst>
            </xdr:cNvPr>
            <xdr:cNvGraphicFramePr>
              <a:graphicFrameLocks/>
            </xdr:cNvGraphicFramePr>
          </xdr:nvGraphicFramePr>
          <xdr:xfrm>
            <a:off x="18555958" y="6162513"/>
            <a:ext cx="4675563" cy="20330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4F96D47-37F0-3D85-79B3-BA4B3D3E9C03}"/>
                </a:ext>
              </a:extLst>
            </xdr:cNvPr>
            <xdr:cNvGrpSpPr/>
          </xdr:nvGrpSpPr>
          <xdr:grpSpPr>
            <a:xfrm>
              <a:off x="18555960" y="4292449"/>
              <a:ext cx="4675562" cy="5886193"/>
              <a:chOff x="-438722" y="-5435232"/>
              <a:chExt cx="4875736" cy="11754870"/>
            </a:xfrm>
          </xdr:grpSpPr>
          <xdr:graphicFrame macro="">
            <xdr:nvGraphicFramePr>
              <xdr:cNvPr id="32" name="Chart 31">
                <a:extLst>
                  <a:ext uri="{FF2B5EF4-FFF2-40B4-BE49-F238E27FC236}">
                    <a16:creationId xmlns:a16="http://schemas.microsoft.com/office/drawing/2014/main" id="{0A3E6DC4-788D-8660-DAB2-0C14631A3E4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438722" y="2259608"/>
              <a:ext cx="4875736" cy="406003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  <xdr:sp macro="" textlink="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7FF6D05F-59AB-DD7F-986B-5C5B9BC93D44}"/>
                  </a:ext>
                </a:extLst>
              </xdr:cNvPr>
              <xdr:cNvSpPr txBox="1"/>
            </xdr:nvSpPr>
            <xdr:spPr>
              <a:xfrm>
                <a:off x="3560756" y="-5435232"/>
                <a:ext cx="596787" cy="4358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 = T</a:t>
                </a:r>
                <a:r>
                  <a:rPr lang="en-US" sz="1050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</a:p>
            </xdr:txBody>
          </xdr:sp>
        </xdr:grp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D008C2D0-B605-5146-14FA-1B6F01DE0764}"/>
              </a:ext>
            </a:extLst>
          </xdr:cNvPr>
          <xdr:cNvSpPr txBox="1"/>
        </xdr:nvSpPr>
        <xdr:spPr>
          <a:xfrm>
            <a:off x="24616580" y="5808334"/>
            <a:ext cx="43539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720F7DC-5558-8F79-99AF-AF51DDE46F6A}"/>
              </a:ext>
            </a:extLst>
          </xdr:cNvPr>
          <xdr:cNvSpPr txBox="1"/>
        </xdr:nvSpPr>
        <xdr:spPr>
          <a:xfrm>
            <a:off x="24616580" y="9759786"/>
            <a:ext cx="399353" cy="311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9B1432CA-E5BA-E567-D558-D546940579F7}"/>
              </a:ext>
            </a:extLst>
          </xdr:cNvPr>
          <xdr:cNvSpPr txBox="1"/>
        </xdr:nvSpPr>
        <xdr:spPr>
          <a:xfrm>
            <a:off x="24616580" y="7774535"/>
            <a:ext cx="447597" cy="3212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endParaRPr lang="en-US" sz="120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0.14917</cdr:x>
      <cdr:y>0.04194</cdr:y>
    </cdr:from>
    <cdr:to>
      <cdr:x>0.44307</cdr:x>
      <cdr:y>0.25476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807513" y="149311"/>
          <a:ext cx="1590991" cy="757661"/>
          <a:chOff x="717550" y="170258"/>
          <a:chExt cx="1413668" cy="864057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C7923486-1DC5-1085-78AF-5DFCFCCF409A}"/>
              </a:ext>
            </a:extLst>
          </cdr:cNvPr>
          <cdr:cNvSpPr txBox="1"/>
        </cdr:nvSpPr>
        <cdr:spPr>
          <a:xfrm xmlns:a="http://schemas.openxmlformats.org/drawingml/2006/main">
            <a:off x="717550" y="772378"/>
            <a:ext cx="1012032" cy="26193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9A97FD49-A895-18FD-3C26-A57A5863B850}"/>
              </a:ext>
            </a:extLst>
          </cdr:cNvPr>
          <cdr:cNvSpPr txBox="1"/>
        </cdr:nvSpPr>
        <cdr:spPr>
          <a:xfrm xmlns:a="http://schemas.openxmlformats.org/drawingml/2006/main">
            <a:off x="717550" y="170258"/>
            <a:ext cx="1413668" cy="22304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Times New Roman" panose="02020603050405020304" pitchFamily="18" charset="0"/>
                <a:cs typeface="Times New Roman" panose="02020603050405020304" pitchFamily="18" charset="0"/>
              </a:rPr>
              <a:t>Non-Actinides</a:t>
            </a:r>
            <a:endParaRPr lang="en-US" sz="1050" b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6"/>
          <a:ext cx="0" cy="0"/>
          <a:chOff x="0" y="16"/>
          <a:chExt cx="0" cy="0"/>
        </a:xfrm>
      </cdr:grpSpPr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17"/>
          <a:ext cx="0" cy="0"/>
          <a:chOff x="0" y="17"/>
          <a:chExt cx="0" cy="0"/>
        </a:xfrm>
      </cdr:grpSpPr>
    </cdr:grp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4.66609E-6</cdr:y>
    </cdr:from>
    <cdr:to>
      <cdr:x>0</cdr:x>
      <cdr:y>4.66609E-6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F42A1139-F588-9B7A-8619-10292F4AC6F7}"/>
            </a:ext>
          </a:extLst>
        </cdr:cNvPr>
        <cdr:cNvGrpSpPr/>
      </cdr:nvGrpSpPr>
      <cdr:grpSpPr>
        <a:xfrm xmlns:a="http://schemas.openxmlformats.org/drawingml/2006/main">
          <a:off x="0" y="9"/>
          <a:ext cx="0" cy="0"/>
          <a:chOff x="0" y="9"/>
          <a:chExt cx="0" cy="0"/>
        </a:xfrm>
      </cdr:grpSpPr>
    </cdr:grp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115094</xdr:colOff>
      <xdr:row>13</xdr:row>
      <xdr:rowOff>111125</xdr:rowOff>
    </xdr:from>
    <xdr:to>
      <xdr:col>77</xdr:col>
      <xdr:colOff>508000</xdr:colOff>
      <xdr:row>26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F5F33-710B-4BB6-8437-6D78B2AD0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70</xdr:col>
      <xdr:colOff>593660</xdr:colOff>
      <xdr:row>27</xdr:row>
      <xdr:rowOff>10583</xdr:rowOff>
    </xdr:from>
    <xdr:to>
      <xdr:col>77</xdr:col>
      <xdr:colOff>246063</xdr:colOff>
      <xdr:row>42</xdr:row>
      <xdr:rowOff>39686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E6B5B-D532-4D36-A0AF-2F52F78DF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69</xdr:col>
      <xdr:colOff>26458</xdr:colOff>
      <xdr:row>47</xdr:row>
      <xdr:rowOff>3969</xdr:rowOff>
    </xdr:from>
    <xdr:to>
      <xdr:col>75</xdr:col>
      <xdr:colOff>203728</xdr:colOff>
      <xdr:row>62</xdr:row>
      <xdr:rowOff>80936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C8265-FC48-4398-89EB-D951BDDFF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85987</xdr:colOff>
      <xdr:row>34</xdr:row>
      <xdr:rowOff>141553</xdr:rowOff>
    </xdr:from>
    <xdr:to>
      <xdr:col>83</xdr:col>
      <xdr:colOff>392906</xdr:colOff>
      <xdr:row>46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FAF78C-A392-4A10-8066-28772EA2A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79</xdr:col>
      <xdr:colOff>250032</xdr:colOff>
      <xdr:row>24</xdr:row>
      <xdr:rowOff>23811</xdr:rowOff>
    </xdr:from>
    <xdr:to>
      <xdr:col>83</xdr:col>
      <xdr:colOff>404812</xdr:colOff>
      <xdr:row>33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1CC6F9-15C2-4FFD-8D6D-461E65E90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77</xdr:col>
      <xdr:colOff>118914</xdr:colOff>
      <xdr:row>17</xdr:row>
      <xdr:rowOff>136408</xdr:rowOff>
    </xdr:from>
    <xdr:to>
      <xdr:col>85</xdr:col>
      <xdr:colOff>3969</xdr:colOff>
      <xdr:row>30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82ACC7-7D39-440E-862D-31DF6A1CF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111026</xdr:colOff>
      <xdr:row>1</xdr:row>
      <xdr:rowOff>47134</xdr:rowOff>
    </xdr:from>
    <xdr:to>
      <xdr:col>77</xdr:col>
      <xdr:colOff>381000</xdr:colOff>
      <xdr:row>13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FA5A82-F8D0-4069-AB07-2D9A3DA9D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79</xdr:col>
      <xdr:colOff>88525</xdr:colOff>
      <xdr:row>0</xdr:row>
      <xdr:rowOff>235326</xdr:rowOff>
    </xdr:from>
    <xdr:to>
      <xdr:col>86</xdr:col>
      <xdr:colOff>71437</xdr:colOff>
      <xdr:row>11</xdr:row>
      <xdr:rowOff>107156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DFA02D-1078-471B-93AF-E79F6B09B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79</xdr:col>
      <xdr:colOff>93587</xdr:colOff>
      <xdr:row>11</xdr:row>
      <xdr:rowOff>191935</xdr:rowOff>
    </xdr:from>
    <xdr:to>
      <xdr:col>86</xdr:col>
      <xdr:colOff>488156</xdr:colOff>
      <xdr:row>22</xdr:row>
      <xdr:rowOff>71438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9F2423-AA5A-4B61-9F55-39B33613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77</xdr:col>
      <xdr:colOff>74082</xdr:colOff>
      <xdr:row>3</xdr:row>
      <xdr:rowOff>195793</xdr:rowOff>
    </xdr:from>
    <xdr:to>
      <xdr:col>84</xdr:col>
      <xdr:colOff>559593</xdr:colOff>
      <xdr:row>14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BEDA712-B4A4-4AE2-B54A-BA43FB89C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79376</xdr:colOff>
      <xdr:row>44</xdr:row>
      <xdr:rowOff>31750</xdr:rowOff>
    </xdr:from>
    <xdr:to>
      <xdr:col>44</xdr:col>
      <xdr:colOff>793750</xdr:colOff>
      <xdr:row>62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B47B870-F1AE-4247-A578-0F04D048E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428625</xdr:colOff>
      <xdr:row>40</xdr:row>
      <xdr:rowOff>142875</xdr:rowOff>
    </xdr:from>
    <xdr:to>
      <xdr:col>60</xdr:col>
      <xdr:colOff>490912</xdr:colOff>
      <xdr:row>54</xdr:row>
      <xdr:rowOff>141705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5A16C2-C66B-452F-B78D-F2801B7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45</xdr:col>
      <xdr:colOff>47625</xdr:colOff>
      <xdr:row>44</xdr:row>
      <xdr:rowOff>31750</xdr:rowOff>
    </xdr:from>
    <xdr:to>
      <xdr:col>51</xdr:col>
      <xdr:colOff>873124</xdr:colOff>
      <xdr:row>62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37D8AB-FA5F-485F-9D65-576C5E14A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254000</xdr:colOff>
      <xdr:row>47</xdr:row>
      <xdr:rowOff>142875</xdr:rowOff>
    </xdr:from>
    <xdr:to>
      <xdr:col>35</xdr:col>
      <xdr:colOff>1222374</xdr:colOff>
      <xdr:row>65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F34A8D-4A81-44F5-9C05-94840C34F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95250</xdr:colOff>
      <xdr:row>62</xdr:row>
      <xdr:rowOff>107950</xdr:rowOff>
    </xdr:from>
    <xdr:to>
      <xdr:col>44</xdr:col>
      <xdr:colOff>800100</xdr:colOff>
      <xdr:row>86</xdr:row>
      <xdr:rowOff>28574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707FCCD-2820-4423-9550-03A5D817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304800</xdr:colOff>
      <xdr:row>62</xdr:row>
      <xdr:rowOff>38100</xdr:rowOff>
    </xdr:from>
    <xdr:to>
      <xdr:col>35</xdr:col>
      <xdr:colOff>1200150</xdr:colOff>
      <xdr:row>85</xdr:row>
      <xdr:rowOff>149224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0EA1855-F5E8-4C56-9ED3-DFE8D6204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865187</xdr:colOff>
      <xdr:row>22</xdr:row>
      <xdr:rowOff>104775</xdr:rowOff>
    </xdr:from>
    <xdr:to>
      <xdr:col>59</xdr:col>
      <xdr:colOff>992187</xdr:colOff>
      <xdr:row>36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BB9799-8C60-41A7-9124-C039FC9D9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865187</xdr:colOff>
      <xdr:row>10</xdr:row>
      <xdr:rowOff>247650</xdr:rowOff>
    </xdr:from>
    <xdr:to>
      <xdr:col>59</xdr:col>
      <xdr:colOff>992187</xdr:colOff>
      <xdr:row>22</xdr:row>
      <xdr:rowOff>69850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75AEC3C-0967-4670-AE63-A5A1D8F9B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460375</xdr:colOff>
      <xdr:row>6</xdr:row>
      <xdr:rowOff>31750</xdr:rowOff>
    </xdr:from>
    <xdr:to>
      <xdr:col>53</xdr:col>
      <xdr:colOff>423635</xdr:colOff>
      <xdr:row>19</xdr:row>
      <xdr:rowOff>110526</xdr:rowOff>
    </xdr:to>
    <xdr:graphicFrame macro="">
      <xdr:nvGraphicFramePr>
        <xdr:cNvPr id="21" name="Chart 17">
          <a:extLst>
            <a:ext uri="{FF2B5EF4-FFF2-40B4-BE49-F238E27FC236}">
              <a16:creationId xmlns:a16="http://schemas.microsoft.com/office/drawing/2014/main" id="{DF5A6489-2AC9-40E3-B86F-FFF767DBC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206375</xdr:colOff>
      <xdr:row>21</xdr:row>
      <xdr:rowOff>95250</xdr:rowOff>
    </xdr:from>
    <xdr:to>
      <xdr:col>54</xdr:col>
      <xdr:colOff>153760</xdr:colOff>
      <xdr:row>38</xdr:row>
      <xdr:rowOff>189901</xdr:rowOff>
    </xdr:to>
    <xdr:graphicFrame macro="">
      <xdr:nvGraphicFramePr>
        <xdr:cNvPr id="22" name="Chart 17">
          <a:extLst>
            <a:ext uri="{FF2B5EF4-FFF2-40B4-BE49-F238E27FC236}">
              <a16:creationId xmlns:a16="http://schemas.microsoft.com/office/drawing/2014/main" id="{F839CA1E-B103-4283-AB28-5FAFA964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sMetal_Peaks_Stu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P-rsum (2)"/>
      <sheetName val="MFP-rsum"/>
      <sheetName val="MFP-PDF_Avg_Original"/>
      <sheetName val="MFP-PDF_All (3)"/>
      <sheetName val="MFP-PDF_Avg"/>
      <sheetName val="MFP-PDF_All (2)"/>
      <sheetName val="Sheet4"/>
      <sheetName val="MFP-PDF_Avg (2)"/>
      <sheetName val="Sheet1"/>
      <sheetName val="AvgSchemeTest"/>
    </sheetNames>
    <sheetDataSet>
      <sheetData sheetId="0" refreshError="1"/>
      <sheetData sheetId="1">
        <row r="2">
          <cell r="AD2">
            <v>0.80248523098591562</v>
          </cell>
          <cell r="AF2">
            <v>0.72246877793114617</v>
          </cell>
          <cell r="AG2">
            <v>0.90368250947301099</v>
          </cell>
          <cell r="AJ2">
            <v>7500138.0307092983</v>
          </cell>
          <cell r="AM2">
            <v>2.0900000000000005E-10</v>
          </cell>
          <cell r="AQ2">
            <v>3.5020163515113658E-10</v>
          </cell>
          <cell r="AV2">
            <v>4269.1087370242376</v>
          </cell>
          <cell r="AY2">
            <v>64.2</v>
          </cell>
          <cell r="BA2">
            <v>107.57389941006203</v>
          </cell>
          <cell r="BG2">
            <v>4.5513588360128237E-10</v>
          </cell>
        </row>
        <row r="3">
          <cell r="AD3">
            <v>0.53093354166666662</v>
          </cell>
          <cell r="AF3">
            <v>0.49109756053584946</v>
          </cell>
          <cell r="AG3">
            <v>0.59812175800891498</v>
          </cell>
          <cell r="AH3">
            <v>0.53220717521206062</v>
          </cell>
          <cell r="AJ3">
            <v>5067818.8301188033</v>
          </cell>
          <cell r="AM3">
            <v>2.3499999999999996E-10</v>
          </cell>
          <cell r="AQ3">
            <v>3.6556534571800534E-10</v>
          </cell>
          <cell r="AV3">
            <v>3244.1979935953195</v>
          </cell>
          <cell r="AY3">
            <v>70.2</v>
          </cell>
          <cell r="BA3">
            <v>109.20292455065521</v>
          </cell>
          <cell r="BG3">
            <v>3.6428468840931505E-10</v>
          </cell>
        </row>
        <row r="4">
          <cell r="AD4">
            <v>0.36108717500000004</v>
          </cell>
          <cell r="AF4">
            <v>0.32961603483108115</v>
          </cell>
          <cell r="AG4">
            <v>0.40376310518547792</v>
          </cell>
          <cell r="AH4">
            <v>0.3607730892591835</v>
          </cell>
          <cell r="AJ4">
            <v>3473884.1112260493</v>
          </cell>
          <cell r="AM4">
            <v>2.710000000000001E-10</v>
          </cell>
          <cell r="AQ4">
            <v>4.2816386420947E-10</v>
          </cell>
          <cell r="AV4">
            <v>2869.8038485242841</v>
          </cell>
          <cell r="AY4">
            <v>66.900000000000006</v>
          </cell>
          <cell r="BA4">
            <v>105.69801666278057</v>
          </cell>
          <cell r="BG4">
            <v>3.8914296812648964E-10</v>
          </cell>
        </row>
        <row r="5">
          <cell r="AD5">
            <v>0.32557537815126053</v>
          </cell>
          <cell r="AF5">
            <v>0.29579640687862813</v>
          </cell>
          <cell r="AJ5">
            <v>2927863.2846601852</v>
          </cell>
          <cell r="AY5">
            <v>69.5</v>
          </cell>
        </row>
        <row r="6">
          <cell r="AD6">
            <v>0.301421612691466</v>
          </cell>
          <cell r="AF6">
            <v>0.28095436645910149</v>
          </cell>
          <cell r="AJ6">
            <v>1975018.424181133</v>
          </cell>
          <cell r="AY6">
            <v>74.099999999999994</v>
          </cell>
        </row>
        <row r="7">
          <cell r="AD7">
            <v>0.40225025742942672</v>
          </cell>
          <cell r="AF7">
            <v>0.37226977205251366</v>
          </cell>
          <cell r="AG7">
            <v>0.467412663978306</v>
          </cell>
          <cell r="AH7">
            <v>0.40224439226966308</v>
          </cell>
          <cell r="AJ7">
            <v>3501264.0476249694</v>
          </cell>
          <cell r="AM7">
            <v>2.5700000000000004E-10</v>
          </cell>
          <cell r="AQ7">
            <v>3.9139936572305044E-10</v>
          </cell>
          <cell r="AV7">
            <v>3110.478857915858</v>
          </cell>
          <cell r="AY7">
            <v>65.02</v>
          </cell>
          <cell r="BA7">
            <v>99.022516573201301</v>
          </cell>
          <cell r="BG7">
            <v>5.0986492855295244E-10</v>
          </cell>
        </row>
        <row r="8">
          <cell r="AD8">
            <v>0.30415923375652942</v>
          </cell>
          <cell r="AF8">
            <v>0.28617343538334455</v>
          </cell>
          <cell r="AG8">
            <v>0.346144472817148</v>
          </cell>
          <cell r="AH8">
            <v>0.30612615309310248</v>
          </cell>
          <cell r="AJ8">
            <v>2836087.8612926682</v>
          </cell>
          <cell r="AM8">
            <v>2.8300000000000001E-10</v>
          </cell>
          <cell r="AQ8">
            <v>4.3125848172746209E-10</v>
          </cell>
          <cell r="AV8">
            <v>2657.1618000655158</v>
          </cell>
          <cell r="AY8">
            <v>69.62</v>
          </cell>
          <cell r="BA8">
            <v>106.09263426807742</v>
          </cell>
          <cell r="BG8">
            <v>3.7944326183477726E-10</v>
          </cell>
        </row>
        <row r="9">
          <cell r="AD9">
            <v>0.25593314786786775</v>
          </cell>
          <cell r="AF9">
            <v>0.2397757949166118</v>
          </cell>
          <cell r="AG9">
            <v>0.28781059971565698</v>
          </cell>
          <cell r="AH9">
            <v>0.25652333922633108</v>
          </cell>
          <cell r="AJ9">
            <v>2090572.0400192747</v>
          </cell>
          <cell r="AM9">
            <v>3.1899999999999998E-10</v>
          </cell>
          <cell r="AQ9">
            <v>4.4152298321701493E-10</v>
          </cell>
          <cell r="AV9">
            <v>2210.6377568228363</v>
          </cell>
          <cell r="AY9">
            <v>73.599999999999994</v>
          </cell>
          <cell r="BA9">
            <v>101.86862559489748</v>
          </cell>
          <cell r="BG9">
            <v>4.5335791979318428E-10</v>
          </cell>
        </row>
        <row r="10">
          <cell r="AD10">
            <v>0.51944334083333332</v>
          </cell>
          <cell r="AH10">
            <v>0.51979938659180325</v>
          </cell>
          <cell r="AJ10">
            <v>5635429.4347171905</v>
          </cell>
          <cell r="AM10">
            <v>1.6699999999999999E-10</v>
          </cell>
          <cell r="AQ10">
            <v>2.5678418596676501E-10</v>
          </cell>
          <cell r="AV10">
            <v>3917.5733473420601</v>
          </cell>
          <cell r="AY10">
            <v>87.9</v>
          </cell>
          <cell r="BA10">
            <v>135.15766435017156</v>
          </cell>
        </row>
        <row r="11">
          <cell r="AD11">
            <v>0.55165642193242059</v>
          </cell>
          <cell r="AH11">
            <v>0.55165642193242048</v>
          </cell>
          <cell r="AJ11">
            <v>4376776.1290409379</v>
          </cell>
          <cell r="AM11">
            <v>2.0499999999999996E-10</v>
          </cell>
          <cell r="AQ11">
            <v>2.4179714709519052E-10</v>
          </cell>
          <cell r="AV11">
            <v>2566.1164547331541</v>
          </cell>
          <cell r="AY11">
            <v>94.9</v>
          </cell>
          <cell r="BA11">
            <v>111.93438663089556</v>
          </cell>
          <cell r="BG11">
            <v>4.369716780765129E-10</v>
          </cell>
        </row>
        <row r="12">
          <cell r="AD12">
            <v>0.42810664299445522</v>
          </cell>
          <cell r="AH12">
            <v>0.42810664299445522</v>
          </cell>
          <cell r="AJ12">
            <v>4251969.9503061362</v>
          </cell>
          <cell r="AM12">
            <v>2.3299999999999997E-10</v>
          </cell>
          <cell r="AQ12">
            <v>3.0739804614922655E-10</v>
          </cell>
          <cell r="AV12">
            <v>2256.4072031288506</v>
          </cell>
          <cell r="AY12">
            <v>99.914000000000001</v>
          </cell>
          <cell r="BA12">
            <v>131.8170316864971</v>
          </cell>
          <cell r="BG12">
            <v>6.843135125098611E-10</v>
          </cell>
        </row>
        <row r="13">
          <cell r="AD13">
            <v>0.31989463805530149</v>
          </cell>
          <cell r="AH13">
            <v>0.31989463805530149</v>
          </cell>
          <cell r="AJ13">
            <v>3336418.376259014</v>
          </cell>
          <cell r="AM13">
            <v>2.5100000000000012E-10</v>
          </cell>
          <cell r="AQ13">
            <v>3.0633262750424528E-10</v>
          </cell>
          <cell r="AV13">
            <v>1706.9195730176784</v>
          </cell>
          <cell r="AY13">
            <v>99</v>
          </cell>
          <cell r="BA13">
            <v>120.82442280047917</v>
          </cell>
          <cell r="BG13">
            <v>6.1875642429403127E-10</v>
          </cell>
        </row>
        <row r="14">
          <cell r="AD14">
            <v>0.28861057804145579</v>
          </cell>
          <cell r="AF14">
            <v>0.26994066201236538</v>
          </cell>
          <cell r="AG14">
            <v>0.33370075449931308</v>
          </cell>
          <cell r="AJ14">
            <v>2578106.0402255282</v>
          </cell>
          <cell r="AQ14">
            <v>4.004371592485416E-10</v>
          </cell>
          <cell r="AV14">
            <v>3325.369452890061</v>
          </cell>
          <cell r="AY14">
            <v>92.048000000000002</v>
          </cell>
          <cell r="BA14">
            <v>145.68948472138237</v>
          </cell>
          <cell r="BG14">
            <v>6.1827251968353004E-10</v>
          </cell>
        </row>
        <row r="15">
          <cell r="AD15">
            <v>0.37311089961278132</v>
          </cell>
          <cell r="AF15">
            <v>0.37024310108699077</v>
          </cell>
          <cell r="AG15">
            <v>0.40039499504213499</v>
          </cell>
          <cell r="AJ15">
            <v>2281252.1331538479</v>
          </cell>
          <cell r="AY15">
            <v>102.533</v>
          </cell>
          <cell r="BG15">
            <v>7.7916751857846874E-10</v>
          </cell>
        </row>
        <row r="16">
          <cell r="AD16">
            <v>0.33599408249358714</v>
          </cell>
          <cell r="AF16">
            <v>0.32666098973626656</v>
          </cell>
          <cell r="AG16">
            <v>0.36759447686851399</v>
          </cell>
          <cell r="AJ16">
            <v>2019673.1502314182</v>
          </cell>
          <cell r="AQ16">
            <v>3.3553552242144542E-10</v>
          </cell>
          <cell r="AV16">
            <v>2102.0122177701733</v>
          </cell>
          <cell r="AY16">
            <v>104.6</v>
          </cell>
          <cell r="BG16">
            <v>7.4001853993764589E-10</v>
          </cell>
        </row>
        <row r="17">
          <cell r="AD17">
            <v>0.70252146004029536</v>
          </cell>
          <cell r="AF17">
            <v>0.43236429370237983</v>
          </cell>
          <cell r="AH17">
            <v>0.69828459522735364</v>
          </cell>
          <cell r="AJ17">
            <v>2539896.4555242937</v>
          </cell>
          <cell r="AM17">
            <v>3.3300000000000009E-10</v>
          </cell>
          <cell r="AQ17">
            <v>2.4428327814458135E-10</v>
          </cell>
          <cell r="AV17">
            <v>1332.8843910654564</v>
          </cell>
          <cell r="AY17">
            <v>155.6</v>
          </cell>
          <cell r="BA17">
            <v>114.14557981770825</v>
          </cell>
        </row>
        <row r="18">
          <cell r="AD18">
            <v>0.56673048612652599</v>
          </cell>
          <cell r="AH18">
            <v>0.53083304545912946</v>
          </cell>
          <cell r="AJ18">
            <v>1883224.6107082034</v>
          </cell>
          <cell r="AM18">
            <v>3.6899999999999997E-10</v>
          </cell>
          <cell r="AQ18">
            <v>2.8444875708406813E-10</v>
          </cell>
          <cell r="AV18">
            <v>1361.7772257843667</v>
          </cell>
          <cell r="AY18">
            <v>141</v>
          </cell>
          <cell r="BA18">
            <v>108.69180148740814</v>
          </cell>
        </row>
        <row r="19">
          <cell r="AY19">
            <v>123</v>
          </cell>
        </row>
        <row r="20">
          <cell r="AY20">
            <v>168</v>
          </cell>
        </row>
        <row r="21">
          <cell r="AY21">
            <v>174</v>
          </cell>
        </row>
        <row r="22">
          <cell r="AY22">
            <v>150</v>
          </cell>
        </row>
        <row r="23">
          <cell r="AD23">
            <v>0.33375408853502531</v>
          </cell>
          <cell r="AJ23">
            <v>2227290.4609544491</v>
          </cell>
          <cell r="AV23">
            <v>3031.5021274627966</v>
          </cell>
          <cell r="AY23">
            <v>79.503360000000001</v>
          </cell>
          <cell r="BA23">
            <v>122.46486458212317</v>
          </cell>
          <cell r="BG23">
            <v>1.0517297026523455E-9</v>
          </cell>
        </row>
        <row r="24">
          <cell r="AD24">
            <v>0.71488518084414443</v>
          </cell>
          <cell r="AF24">
            <v>0.60953584013575091</v>
          </cell>
          <cell r="AG24">
            <v>1.28305844543897</v>
          </cell>
          <cell r="AH24">
            <v>0.62426158899966577</v>
          </cell>
          <cell r="AJ24">
            <v>6652079.2470877897</v>
          </cell>
          <cell r="AM24">
            <v>1.7003600000000001E-10</v>
          </cell>
          <cell r="AQ24">
            <v>2.9961734518972644E-10</v>
          </cell>
          <cell r="AV24">
            <v>4489.23185837235</v>
          </cell>
          <cell r="AY24">
            <v>72.25800000000001</v>
          </cell>
          <cell r="BA24">
            <v>127.32450850831152</v>
          </cell>
          <cell r="BG24">
            <v>3.8338347353322035E-9</v>
          </cell>
        </row>
        <row r="25">
          <cell r="AD25">
            <v>0.54326858976638281</v>
          </cell>
          <cell r="AF25">
            <v>0.48209294921946866</v>
          </cell>
          <cell r="AG25">
            <v>0.85046707066330796</v>
          </cell>
          <cell r="AH25">
            <v>0.39969771709442198</v>
          </cell>
          <cell r="AJ25">
            <v>4886411.1374480864</v>
          </cell>
          <cell r="AM25">
            <v>1.7512524999999998E-10</v>
          </cell>
          <cell r="AQ25">
            <v>3.4185873702814765E-10</v>
          </cell>
          <cell r="AV25">
            <v>3928.5026616668206</v>
          </cell>
          <cell r="AY25">
            <v>66.024000000000001</v>
          </cell>
          <cell r="BA25">
            <v>128.88422002850203</v>
          </cell>
          <cell r="BG25">
            <v>2.8369914793196441E-9</v>
          </cell>
        </row>
        <row r="26">
          <cell r="AD26">
            <v>0.51681594759710647</v>
          </cell>
          <cell r="AH26">
            <v>0.43510012746839721</v>
          </cell>
          <cell r="AJ26">
            <v>9658755.4388015848</v>
          </cell>
          <cell r="AM26">
            <v>1.7027145000000005E-10</v>
          </cell>
          <cell r="AQ26">
            <v>4.5395271003303991E-10</v>
          </cell>
          <cell r="AV26">
            <v>4749.3953484419217</v>
          </cell>
          <cell r="AY26">
            <v>82.635000000000005</v>
          </cell>
          <cell r="BA26">
            <v>220.30928962888524</v>
          </cell>
          <cell r="BG26">
            <v>6.5543423785317211E-9</v>
          </cell>
        </row>
        <row r="27">
          <cell r="AD27">
            <v>0.66880040429891452</v>
          </cell>
          <cell r="AH27">
            <v>0.58242618348722919</v>
          </cell>
          <cell r="AJ27">
            <v>8050713.0166514972</v>
          </cell>
          <cell r="AM27">
            <v>1.7351204000000004E-10</v>
          </cell>
          <cell r="AQ27">
            <v>3.6941149917364205E-10</v>
          </cell>
          <cell r="AV27">
            <v>4937.466210619561</v>
          </cell>
          <cell r="AY27">
            <v>73.469400000000007</v>
          </cell>
          <cell r="BA27">
            <v>156.41820128094841</v>
          </cell>
        </row>
        <row r="28">
          <cell r="AH28">
            <v>0.66180310738547476</v>
          </cell>
          <cell r="AM28">
            <v>1.7597899999999999E-10</v>
          </cell>
          <cell r="AQ28">
            <v>2.6219323241660306E-10</v>
          </cell>
          <cell r="AV28">
            <v>3795.8303809762697</v>
          </cell>
          <cell r="AY28">
            <v>70.599000000000004</v>
          </cell>
          <cell r="BA28">
            <v>105.18630072553975</v>
          </cell>
          <cell r="BG28">
            <v>3.2730306153599925E-9</v>
          </cell>
        </row>
        <row r="29">
          <cell r="AD29">
            <v>0.71187944439400763</v>
          </cell>
          <cell r="AH29">
            <v>0.63042335803936922</v>
          </cell>
          <cell r="AJ29">
            <v>5525866.2760937605</v>
          </cell>
          <cell r="AM29">
            <v>1.7534405000000001E-10</v>
          </cell>
          <cell r="AQ29">
            <v>2.4769981669004444E-10</v>
          </cell>
          <cell r="AV29">
            <v>3449.509084380104</v>
          </cell>
          <cell r="AY29">
            <v>71.578500000000005</v>
          </cell>
          <cell r="BA29">
            <v>101.11538617334517</v>
          </cell>
          <cell r="BG29">
            <v>3.304548673097048E-9</v>
          </cell>
        </row>
        <row r="30">
          <cell r="AD30">
            <v>0.68421941732878677</v>
          </cell>
          <cell r="AH30">
            <v>0.60277957505526136</v>
          </cell>
          <cell r="AJ30">
            <v>5177440.5902498215</v>
          </cell>
          <cell r="AM30">
            <v>1.7473239999999999E-10</v>
          </cell>
          <cell r="AQ30">
            <v>2.3305383798131233E-10</v>
          </cell>
          <cell r="AV30">
            <v>3132.7084908009401</v>
          </cell>
          <cell r="AY30">
            <v>72.558000000000007</v>
          </cell>
          <cell r="BA30">
            <v>96.776100919165899</v>
          </cell>
          <cell r="BG30">
            <v>3.352633671505172E-9</v>
          </cell>
        </row>
        <row r="31">
          <cell r="AD31">
            <v>0.31844809429710103</v>
          </cell>
          <cell r="AH31">
            <v>0.26536256928250768</v>
          </cell>
          <cell r="AJ31">
            <v>2466604.5183689054</v>
          </cell>
          <cell r="AM31">
            <v>2.2842400000000006E-10</v>
          </cell>
          <cell r="AQ31">
            <v>3.9568089407094871E-10</v>
          </cell>
          <cell r="AV31">
            <v>3532.8676528038841</v>
          </cell>
          <cell r="AY31">
            <v>86.14464000000001</v>
          </cell>
          <cell r="BA31">
            <v>149.22157117737191</v>
          </cell>
        </row>
        <row r="32">
          <cell r="AD32">
            <v>0.36878913157884635</v>
          </cell>
          <cell r="AH32">
            <v>0.28383633978433381</v>
          </cell>
          <cell r="AJ32">
            <v>2358413.9237225675</v>
          </cell>
          <cell r="AM32">
            <v>2.2510131898000011E-10</v>
          </cell>
          <cell r="AQ32">
            <v>3.6921059218577845E-10</v>
          </cell>
          <cell r="AV32">
            <v>3321.033763100063</v>
          </cell>
          <cell r="AY32">
            <v>74.557488799999987</v>
          </cell>
          <cell r="BA32">
            <v>122.288997312265</v>
          </cell>
        </row>
        <row r="33">
          <cell r="AH33">
            <v>0.33711022330844781</v>
          </cell>
          <cell r="AM33">
            <v>1.9348255000000005E-10</v>
          </cell>
          <cell r="AQ33">
            <v>4.7554516048842846E-10</v>
          </cell>
          <cell r="AV33">
            <v>4633.4649403519479</v>
          </cell>
          <cell r="AY33">
            <v>69.858500000000006</v>
          </cell>
          <cell r="BA33">
            <v>171.69957494348131</v>
          </cell>
        </row>
        <row r="34">
          <cell r="AD34">
            <v>0.40937294269104435</v>
          </cell>
          <cell r="AJ34">
            <v>2972199.4380712733</v>
          </cell>
          <cell r="AV34">
            <v>3647.3492314127866</v>
          </cell>
          <cell r="AY34">
            <v>68.606440000000006</v>
          </cell>
          <cell r="BA34">
            <v>120.0218356093734</v>
          </cell>
        </row>
        <row r="35">
          <cell r="AH35">
            <v>0.56745362404407373</v>
          </cell>
          <cell r="AM35">
            <v>1.7668000000000003E-10</v>
          </cell>
          <cell r="AQ35">
            <v>2.6946274087941797E-10</v>
          </cell>
          <cell r="AV35">
            <v>3505.1330931193306</v>
          </cell>
          <cell r="AY35">
            <v>66.600000000000009</v>
          </cell>
          <cell r="BA35">
            <v>101.57470309355466</v>
          </cell>
          <cell r="BG35">
            <v>8.4406168446792717E-10</v>
          </cell>
        </row>
        <row r="36">
          <cell r="AD36">
            <v>0.30071201279338977</v>
          </cell>
          <cell r="AF36">
            <v>0.2841819778633502</v>
          </cell>
          <cell r="AG36">
            <v>0.29301529878909899</v>
          </cell>
          <cell r="AH36">
            <v>0.24768639859495001</v>
          </cell>
          <cell r="AJ36">
            <v>1715696.7182316666</v>
          </cell>
          <cell r="AM36">
            <v>2.3736419999999999E-10</v>
          </cell>
          <cell r="AQ36">
            <v>2.292914368173461E-10</v>
          </cell>
          <cell r="AV36">
            <v>1402.3754205361033</v>
          </cell>
          <cell r="AY36">
            <v>99.360600000000005</v>
          </cell>
          <cell r="BA36">
            <v>95.981343172363822</v>
          </cell>
          <cell r="BG36">
            <v>1.8511567318115176E-9</v>
          </cell>
        </row>
        <row r="37">
          <cell r="AD37">
            <v>0.30324621782896993</v>
          </cell>
          <cell r="AF37">
            <v>0.28696722884280707</v>
          </cell>
          <cell r="AG37">
            <v>0.316517898560285</v>
          </cell>
          <cell r="AH37">
            <v>0.25155328115048259</v>
          </cell>
          <cell r="AJ37">
            <v>1954308.6049635103</v>
          </cell>
          <cell r="AM37">
            <v>2.3873015199999994E-10</v>
          </cell>
          <cell r="AQ37">
            <v>2.6162169932534978E-10</v>
          </cell>
          <cell r="AV37">
            <v>1611.4557750945648</v>
          </cell>
          <cell r="AY37">
            <v>97.109960000000001</v>
          </cell>
          <cell r="BA37">
            <v>106.42171733973825</v>
          </cell>
          <cell r="BG37">
            <v>1.3749528367298905E-9</v>
          </cell>
        </row>
        <row r="38">
          <cell r="AD38">
            <v>0.46048978694812209</v>
          </cell>
          <cell r="AH38">
            <v>0.25347401642401401</v>
          </cell>
          <cell r="AJ38">
            <v>3561520.7957820492</v>
          </cell>
          <cell r="AM38">
            <v>1.6982200000000003E-10</v>
          </cell>
          <cell r="AQ38">
            <v>3.3093601826261176E-10</v>
          </cell>
          <cell r="AV38">
            <v>2628.0818161314883</v>
          </cell>
          <cell r="AY38">
            <v>100.416</v>
          </cell>
          <cell r="BA38">
            <v>195.68295750761632</v>
          </cell>
        </row>
        <row r="39">
          <cell r="AD39">
            <v>0.47293540020198699</v>
          </cell>
          <cell r="AH39">
            <v>0.24265777297582219</v>
          </cell>
          <cell r="AJ39">
            <v>3283046.6227647751</v>
          </cell>
          <cell r="AM39">
            <v>1.68408E-10</v>
          </cell>
          <cell r="AQ39">
            <v>3.171208353723041E-10</v>
          </cell>
          <cell r="AV39">
            <v>2395.4780479310921</v>
          </cell>
          <cell r="AY39">
            <v>110.928</v>
          </cell>
          <cell r="BA39">
            <v>208.88306984335037</v>
          </cell>
        </row>
        <row r="40">
          <cell r="AD40">
            <v>0.48970392040175686</v>
          </cell>
          <cell r="AH40">
            <v>0.23920093487850599</v>
          </cell>
          <cell r="AJ40">
            <v>3117014.0748641295</v>
          </cell>
          <cell r="AM40">
            <v>1.6994999999999999E-10</v>
          </cell>
          <cell r="AQ40">
            <v>3.1210834180383304E-10</v>
          </cell>
          <cell r="AV40">
            <v>2231.6285138229914</v>
          </cell>
          <cell r="AY40">
            <v>121.44</v>
          </cell>
          <cell r="BA40">
            <v>223.02110637633118</v>
          </cell>
        </row>
        <row r="41">
          <cell r="AD41">
            <v>0.60645622271550126</v>
          </cell>
          <cell r="AH41">
            <v>0.60645622271550126</v>
          </cell>
          <cell r="AJ41">
            <v>3869588.2095969468</v>
          </cell>
          <cell r="AM41">
            <v>3.1000000000000002E-10</v>
          </cell>
          <cell r="AQ41">
            <v>2.8676430958411341E-10</v>
          </cell>
          <cell r="AV41">
            <v>1297.8397624081001</v>
          </cell>
          <cell r="AY41">
            <v>75.38</v>
          </cell>
          <cell r="BA41">
            <v>69.72997953693698</v>
          </cell>
          <cell r="BG41">
            <v>1.2781802750592626E-9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5AC3-5B6E-4080-B5D4-B9E07624D314}">
  <dimension ref="A4:AK98"/>
  <sheetViews>
    <sheetView tabSelected="1" topLeftCell="A67" zoomScale="70" zoomScaleNormal="60" workbookViewId="0">
      <selection activeCell="Z89" sqref="Z89"/>
    </sheetView>
  </sheetViews>
  <sheetFormatPr defaultRowHeight="14.25"/>
  <cols>
    <col min="1" max="1" width="37.375" customWidth="1"/>
    <col min="4" max="17" width="9" hidden="1" customWidth="1"/>
    <col min="28" max="33" width="0" hidden="1" customWidth="1"/>
  </cols>
  <sheetData>
    <row r="4" spans="1:37">
      <c r="R4" t="s">
        <v>65</v>
      </c>
    </row>
    <row r="5" spans="1:37" s="1" customFormat="1" ht="85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66</v>
      </c>
      <c r="S5" s="1" t="s">
        <v>79</v>
      </c>
      <c r="T5" s="1" t="s">
        <v>67</v>
      </c>
      <c r="U5" s="1" t="s">
        <v>68</v>
      </c>
      <c r="V5" s="1" t="s">
        <v>77</v>
      </c>
      <c r="W5" s="1" t="s">
        <v>87</v>
      </c>
      <c r="X5" s="1" t="s">
        <v>69</v>
      </c>
      <c r="Y5" s="1" t="s">
        <v>78</v>
      </c>
      <c r="Z5" s="1" t="s">
        <v>87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17</v>
      </c>
      <c r="AI5" s="1" t="s">
        <v>18</v>
      </c>
      <c r="AJ5" s="1" t="s">
        <v>19</v>
      </c>
      <c r="AK5" s="1" t="s">
        <v>20</v>
      </c>
    </row>
    <row r="6" spans="1:37" s="2" customFormat="1">
      <c r="A6" s="2" t="s">
        <v>23</v>
      </c>
      <c r="B6" s="2">
        <v>723</v>
      </c>
      <c r="C6" s="2">
        <v>882</v>
      </c>
      <c r="D6" s="2">
        <v>0.36678342471560199</v>
      </c>
      <c r="F6" s="2">
        <v>0.39875169128872301</v>
      </c>
      <c r="H6" s="2">
        <v>0.695358716399609</v>
      </c>
      <c r="J6" s="2">
        <v>0.78147754931424596</v>
      </c>
      <c r="Q6" s="2">
        <v>1.3452379426836001</v>
      </c>
      <c r="R6" s="2">
        <v>0.35881390033581001</v>
      </c>
      <c r="T6" s="2">
        <v>0.39008755569515502</v>
      </c>
      <c r="V6" s="2">
        <v>0.67741220740497099</v>
      </c>
      <c r="W6" s="2">
        <f t="shared" ref="W6:W30" si="0">ABS(($AH6-V6)/$AH6)</f>
        <v>0.11985885261520829</v>
      </c>
      <c r="Y6" s="2">
        <v>0.74096562545436895</v>
      </c>
      <c r="Z6" s="2">
        <f t="shared" ref="Z6:Z30" si="1">ABS(($AH6-Y6)/$AH6)</f>
        <v>3.7285822972737193E-2</v>
      </c>
      <c r="AG6" s="2">
        <v>1.3016118610924901</v>
      </c>
      <c r="AH6" s="2">
        <v>0.76966314939120895</v>
      </c>
      <c r="AI6" s="2" t="s">
        <v>24</v>
      </c>
    </row>
    <row r="7" spans="1:37" s="2" customFormat="1">
      <c r="A7" s="2" t="s">
        <v>25</v>
      </c>
      <c r="B7" s="2">
        <v>723</v>
      </c>
      <c r="C7" s="2">
        <v>832</v>
      </c>
      <c r="D7" s="2">
        <v>-0.137604798898426</v>
      </c>
      <c r="F7" s="2">
        <v>-3.02773841369459E-2</v>
      </c>
      <c r="H7" s="2">
        <v>0.566700784352692</v>
      </c>
      <c r="J7" s="2">
        <v>0.748207688416204</v>
      </c>
      <c r="Q7" s="2">
        <v>1.33602626850166</v>
      </c>
      <c r="R7" s="2">
        <v>-0.13553534323826999</v>
      </c>
      <c r="T7" s="2">
        <v>-2.9822038796677799E-2</v>
      </c>
      <c r="V7" s="2">
        <v>0.55550594201447301</v>
      </c>
      <c r="W7" s="2">
        <f t="shared" si="0"/>
        <v>0.22326749517467082</v>
      </c>
      <c r="Y7" s="2">
        <v>0.72228652104409496</v>
      </c>
      <c r="Z7" s="2">
        <f t="shared" si="1"/>
        <v>9.9323450216774797E-3</v>
      </c>
      <c r="AG7" s="2">
        <v>1.3058003888249301</v>
      </c>
      <c r="AH7" s="2">
        <v>0.71518307597979902</v>
      </c>
      <c r="AI7" s="2" t="s">
        <v>26</v>
      </c>
    </row>
    <row r="8" spans="1:37" s="2" customFormat="1">
      <c r="A8" s="2" t="s">
        <v>27</v>
      </c>
      <c r="B8" s="2">
        <v>750</v>
      </c>
      <c r="C8" s="2">
        <v>802</v>
      </c>
      <c r="D8" s="2">
        <v>0.12623784991613901</v>
      </c>
      <c r="F8" s="2">
        <v>0.13414681095127401</v>
      </c>
      <c r="H8" s="2">
        <v>0.114694475226989</v>
      </c>
      <c r="J8" s="2">
        <v>0.30786467925441302</v>
      </c>
      <c r="Q8" s="2">
        <v>0.45071801880511603</v>
      </c>
      <c r="R8" s="2">
        <v>0.12332464809185199</v>
      </c>
      <c r="T8" s="2">
        <v>0.13105109334640999</v>
      </c>
      <c r="V8" s="2">
        <v>0.112148952119888</v>
      </c>
      <c r="W8" s="2">
        <f t="shared" si="0"/>
        <v>0.55163114972141569</v>
      </c>
      <c r="Y8" s="2">
        <v>0.29987597191156701</v>
      </c>
      <c r="Z8" s="2">
        <f t="shared" si="1"/>
        <v>0.19889702231393963</v>
      </c>
      <c r="AG8" s="2">
        <v>0.44198046322358298</v>
      </c>
      <c r="AH8" s="2">
        <v>0.25012654659262501</v>
      </c>
      <c r="AI8" s="2" t="s">
        <v>28</v>
      </c>
    </row>
    <row r="9" spans="1:37" s="2" customFormat="1">
      <c r="A9" s="2" t="s">
        <v>29</v>
      </c>
      <c r="B9" s="2">
        <v>750</v>
      </c>
      <c r="C9" s="2">
        <v>869.15</v>
      </c>
      <c r="D9" s="2">
        <v>0.11100366714123699</v>
      </c>
      <c r="F9" s="2">
        <v>0.12242465499234</v>
      </c>
      <c r="H9" s="2">
        <v>0.111139071000262</v>
      </c>
      <c r="J9" s="2">
        <v>0.310718199018926</v>
      </c>
      <c r="Q9" s="2">
        <v>0.45854797115295398</v>
      </c>
      <c r="R9" s="2">
        <v>0.10497931806875101</v>
      </c>
      <c r="T9" s="2">
        <v>0.11578047038342799</v>
      </c>
      <c r="V9" s="2">
        <v>0.105408277874666</v>
      </c>
      <c r="W9" s="2">
        <f t="shared" si="0"/>
        <v>0.49064414268364542</v>
      </c>
      <c r="Y9" s="2">
        <v>0.29112922787240902</v>
      </c>
      <c r="Z9" s="2">
        <f t="shared" si="1"/>
        <v>0.40680011515906872</v>
      </c>
      <c r="AG9" s="2">
        <v>0.43759543903402198</v>
      </c>
      <c r="AH9" s="2">
        <v>0.206944273557648</v>
      </c>
      <c r="AI9" s="2" t="s">
        <v>30</v>
      </c>
    </row>
    <row r="10" spans="1:37" s="2" customFormat="1">
      <c r="A10" s="2" t="s">
        <v>63</v>
      </c>
      <c r="B10" s="2">
        <v>723</v>
      </c>
      <c r="C10" s="2">
        <v>785.88122136744698</v>
      </c>
      <c r="D10" s="2">
        <v>0.114504036102581</v>
      </c>
      <c r="F10" s="2">
        <v>0.219935919588156</v>
      </c>
      <c r="H10" s="2">
        <v>0.464697572626251</v>
      </c>
      <c r="J10" s="2">
        <v>0.72737521160356799</v>
      </c>
      <c r="Q10" s="2">
        <v>1.3226159988600199</v>
      </c>
      <c r="R10" s="2">
        <v>0.113278487114039</v>
      </c>
      <c r="T10" s="2">
        <v>0.21758192183427999</v>
      </c>
      <c r="V10" s="2">
        <v>0.46141777072929802</v>
      </c>
      <c r="W10" s="2">
        <f t="shared" si="0"/>
        <v>0.63105706121482141</v>
      </c>
      <c r="Y10" s="2">
        <v>0.71241195168460603</v>
      </c>
      <c r="Z10" s="2">
        <f t="shared" si="1"/>
        <v>0.43036576448980257</v>
      </c>
      <c r="AG10" s="2">
        <v>1.30499880412229</v>
      </c>
      <c r="AH10" s="2">
        <v>1.2506480602355801</v>
      </c>
      <c r="AI10" s="2" t="s">
        <v>31</v>
      </c>
    </row>
    <row r="11" spans="1:37" s="2" customFormat="1">
      <c r="A11" s="2" t="s">
        <v>32</v>
      </c>
      <c r="B11" s="2">
        <v>723</v>
      </c>
      <c r="C11" s="2">
        <v>811.82663583714998</v>
      </c>
      <c r="D11" s="2">
        <v>-0.68451425498119201</v>
      </c>
      <c r="F11" s="2">
        <v>-0.44302642149352001</v>
      </c>
      <c r="H11" s="2">
        <v>0.11179705525042199</v>
      </c>
      <c r="J11" s="2">
        <v>0.59758237722471097</v>
      </c>
      <c r="Q11" s="2">
        <v>1.2528784410843901</v>
      </c>
      <c r="R11" s="2">
        <v>-0.67658390816328295</v>
      </c>
      <c r="T11" s="2">
        <v>-0.43789379913193399</v>
      </c>
      <c r="V11" s="2">
        <v>0.10753765071044399</v>
      </c>
      <c r="W11" s="2">
        <f t="shared" si="0"/>
        <v>0.9149838088820651</v>
      </c>
      <c r="Y11" s="2">
        <v>0.58317546813700505</v>
      </c>
      <c r="Z11" s="2">
        <f t="shared" si="1"/>
        <v>0.53895815347571407</v>
      </c>
      <c r="AG11" s="2">
        <v>1.2304065828778701</v>
      </c>
      <c r="AH11" s="2">
        <v>1.26490788750189</v>
      </c>
      <c r="AI11" s="2" t="s">
        <v>33</v>
      </c>
    </row>
    <row r="12" spans="1:37" s="2" customFormat="1">
      <c r="A12" s="2" t="s">
        <v>34</v>
      </c>
      <c r="B12" s="2">
        <v>878</v>
      </c>
      <c r="C12" s="2">
        <v>1023</v>
      </c>
      <c r="D12" s="2">
        <v>0.119718045156126</v>
      </c>
      <c r="F12" s="2">
        <v>0.139517137352687</v>
      </c>
      <c r="H12" s="2">
        <v>0.151086488956231</v>
      </c>
      <c r="J12" s="2">
        <v>0.38363120159952102</v>
      </c>
      <c r="Q12" s="2">
        <v>0.62595318277345302</v>
      </c>
      <c r="R12" s="2">
        <v>0.115742832125585</v>
      </c>
      <c r="T12" s="2">
        <v>0.134884499543867</v>
      </c>
      <c r="V12" s="2">
        <v>0.14300503155139799</v>
      </c>
      <c r="W12" s="2">
        <f t="shared" si="0"/>
        <v>0.72446699439430917</v>
      </c>
      <c r="Y12" s="2">
        <v>0.35966985442212901</v>
      </c>
      <c r="Z12" s="2">
        <f t="shared" si="1"/>
        <v>0.30701098458153026</v>
      </c>
      <c r="AG12" s="2">
        <v>0.59800658991397604</v>
      </c>
      <c r="AH12" s="2">
        <v>0.519012345679012</v>
      </c>
      <c r="AI12" s="2" t="s">
        <v>35</v>
      </c>
    </row>
    <row r="13" spans="1:37" s="2" customFormat="1">
      <c r="A13" s="2" t="s">
        <v>36</v>
      </c>
      <c r="B13" s="2">
        <v>878</v>
      </c>
      <c r="C13" s="2">
        <v>1073</v>
      </c>
      <c r="D13" s="2">
        <v>0.188513710493246</v>
      </c>
      <c r="F13" s="2">
        <v>0.19057901154554499</v>
      </c>
      <c r="H13" s="2">
        <v>0.15917342728042</v>
      </c>
      <c r="J13" s="2">
        <v>0.36475139172742499</v>
      </c>
      <c r="Q13" s="2">
        <v>0.57924146182158398</v>
      </c>
      <c r="R13" s="2">
        <v>0.18133469433076599</v>
      </c>
      <c r="T13" s="2">
        <v>0.18332134418259799</v>
      </c>
      <c r="V13" s="2">
        <v>0.151181269098529</v>
      </c>
      <c r="W13" s="2">
        <f t="shared" si="0"/>
        <v>0.7025362344464714</v>
      </c>
      <c r="Y13" s="2">
        <v>0.33864101447663503</v>
      </c>
      <c r="Z13" s="2">
        <f t="shared" si="1"/>
        <v>0.33369105883456979</v>
      </c>
      <c r="AG13" s="2">
        <v>0.54654293386803399</v>
      </c>
      <c r="AH13" s="2">
        <v>0.50823423423423297</v>
      </c>
      <c r="AI13" s="2" t="s">
        <v>37</v>
      </c>
    </row>
    <row r="14" spans="1:37" s="2" customFormat="1">
      <c r="A14" s="2" t="s">
        <v>38</v>
      </c>
      <c r="B14" s="2">
        <v>878</v>
      </c>
      <c r="C14" s="2">
        <v>1073</v>
      </c>
      <c r="D14" s="2">
        <v>0.234236731349861</v>
      </c>
      <c r="F14" s="2">
        <v>0.21977531622907001</v>
      </c>
      <c r="H14" s="2">
        <v>0.17464563703389399</v>
      </c>
      <c r="J14" s="2">
        <v>0.34979073769636099</v>
      </c>
      <c r="Q14" s="2">
        <v>0.53252974086971405</v>
      </c>
      <c r="R14" s="2">
        <v>0.22647802811295401</v>
      </c>
      <c r="T14" s="2">
        <v>0.21249562338332201</v>
      </c>
      <c r="V14" s="2">
        <v>0.16870277158194399</v>
      </c>
      <c r="W14" s="2">
        <f t="shared" si="0"/>
        <v>0.57854411096587843</v>
      </c>
      <c r="Y14" s="2">
        <v>0.328531464474764</v>
      </c>
      <c r="Z14" s="2">
        <f t="shared" si="1"/>
        <v>0.17925758339637776</v>
      </c>
      <c r="AG14" s="2">
        <v>0.504394808775251</v>
      </c>
      <c r="AH14" s="2">
        <v>0.40028571428571402</v>
      </c>
      <c r="AI14" s="2" t="s">
        <v>39</v>
      </c>
    </row>
    <row r="15" spans="1:37" s="2" customFormat="1">
      <c r="A15" s="2" t="s">
        <v>63</v>
      </c>
      <c r="B15" s="2">
        <v>735</v>
      </c>
      <c r="C15" s="2">
        <v>785.88122136744698</v>
      </c>
      <c r="D15" s="2">
        <v>0.114504036102581</v>
      </c>
      <c r="F15" s="2">
        <v>0.219935919588156</v>
      </c>
      <c r="H15" s="2">
        <v>0.464697572626251</v>
      </c>
      <c r="J15" s="2">
        <v>0.72737521160356799</v>
      </c>
      <c r="L15" s="2">
        <v>0.72737521160356799</v>
      </c>
      <c r="Q15" s="2">
        <v>1.3226159988600199</v>
      </c>
      <c r="R15" s="2">
        <v>0.113278487114039</v>
      </c>
      <c r="T15" s="2">
        <v>0.21758192183427999</v>
      </c>
      <c r="V15" s="2">
        <v>0.46141777072929802</v>
      </c>
      <c r="W15" s="2">
        <f t="shared" si="0"/>
        <v>0.63105706121482141</v>
      </c>
      <c r="Y15" s="2">
        <v>0.71241195168460603</v>
      </c>
      <c r="Z15" s="2">
        <f t="shared" si="1"/>
        <v>0.43036576448980257</v>
      </c>
      <c r="AB15" s="2">
        <v>0.71241195168460603</v>
      </c>
      <c r="AG15" s="2">
        <v>1.30499880412229</v>
      </c>
      <c r="AH15" s="2">
        <v>1.2506480602355801</v>
      </c>
      <c r="AI15" s="2" t="s">
        <v>43</v>
      </c>
    </row>
    <row r="16" spans="1:37">
      <c r="A16" t="s">
        <v>21</v>
      </c>
      <c r="B16">
        <v>723</v>
      </c>
      <c r="C16">
        <v>884</v>
      </c>
      <c r="D16">
        <v>1.1694200634609</v>
      </c>
      <c r="F16">
        <v>1.0901410687791799</v>
      </c>
      <c r="H16">
        <v>1.0169507557437001</v>
      </c>
      <c r="J16">
        <v>0.81942428879552098</v>
      </c>
      <c r="Q16">
        <v>1.35444961686554</v>
      </c>
      <c r="R16">
        <v>1.1438209784587701</v>
      </c>
      <c r="T16">
        <v>1.0662774334988001</v>
      </c>
      <c r="V16">
        <v>0.99333380791119696</v>
      </c>
      <c r="W16">
        <f t="shared" si="0"/>
        <v>9.5706388990070029E-2</v>
      </c>
      <c r="Y16">
        <v>0.77570441935694301</v>
      </c>
      <c r="Z16">
        <f t="shared" si="1"/>
        <v>0.14435179645751153</v>
      </c>
      <c r="AG16">
        <v>1.31056502017601</v>
      </c>
      <c r="AH16">
        <v>0.90656933088322</v>
      </c>
      <c r="AI16" t="s">
        <v>22</v>
      </c>
    </row>
    <row r="17" spans="1:37">
      <c r="A17" t="s">
        <v>80</v>
      </c>
      <c r="B17">
        <v>733</v>
      </c>
      <c r="C17">
        <v>884</v>
      </c>
      <c r="D17">
        <v>1.13216387095465</v>
      </c>
      <c r="E17">
        <v>1.65454641513861</v>
      </c>
      <c r="F17">
        <v>1.0327876010572901</v>
      </c>
      <c r="G17">
        <v>1.5087681980661101</v>
      </c>
      <c r="H17">
        <v>1.0025336872584101</v>
      </c>
      <c r="I17">
        <v>1.51848599870652</v>
      </c>
      <c r="J17">
        <v>0.77455398713730195</v>
      </c>
      <c r="K17">
        <v>1.19487504696948</v>
      </c>
      <c r="R17">
        <v>1.1128791954030901</v>
      </c>
      <c r="S17">
        <v>1.6155238078743901</v>
      </c>
      <c r="T17">
        <v>1.015195647886</v>
      </c>
      <c r="U17">
        <v>1.47318378151111</v>
      </c>
      <c r="V17">
        <v>0.98447068021154305</v>
      </c>
      <c r="W17">
        <f t="shared" si="0"/>
        <v>8.0050057556671564E-2</v>
      </c>
      <c r="X17">
        <v>1.4811883216902499</v>
      </c>
      <c r="Y17">
        <v>0.74095938136264805</v>
      </c>
      <c r="Z17">
        <f t="shared" si="1"/>
        <v>0.18710304067570496</v>
      </c>
      <c r="AA17">
        <v>1.1045267110139001</v>
      </c>
      <c r="AH17">
        <v>0.91150467825412496</v>
      </c>
      <c r="AI17" t="s">
        <v>22</v>
      </c>
      <c r="AJ17">
        <v>1.1000000000000001</v>
      </c>
      <c r="AK17" t="s">
        <v>81</v>
      </c>
    </row>
    <row r="18" spans="1:37">
      <c r="A18" t="s">
        <v>40</v>
      </c>
      <c r="B18">
        <v>1000</v>
      </c>
      <c r="D18">
        <v>0.67334764686844395</v>
      </c>
      <c r="F18">
        <v>0.67819466691103902</v>
      </c>
      <c r="H18">
        <v>0.64214260840362103</v>
      </c>
      <c r="J18">
        <v>0.46849389713973499</v>
      </c>
      <c r="Q18">
        <v>0.73423486406761396</v>
      </c>
      <c r="R18">
        <v>0.67334764686844395</v>
      </c>
      <c r="T18">
        <v>0.67819466691103902</v>
      </c>
      <c r="V18">
        <v>0.64214260840362103</v>
      </c>
      <c r="W18">
        <f t="shared" si="0"/>
        <v>8.2653416566255619E-2</v>
      </c>
      <c r="Y18">
        <v>0.46849389713973499</v>
      </c>
      <c r="Z18">
        <f t="shared" si="1"/>
        <v>0.33072300408609284</v>
      </c>
      <c r="AG18">
        <v>0.73423486406761396</v>
      </c>
      <c r="AH18">
        <f>AJ18</f>
        <v>0.7</v>
      </c>
      <c r="AJ18">
        <v>0.7</v>
      </c>
      <c r="AK18" t="s">
        <v>41</v>
      </c>
    </row>
    <row r="19" spans="1:37">
      <c r="A19" t="s">
        <v>42</v>
      </c>
      <c r="B19">
        <v>735</v>
      </c>
      <c r="C19">
        <v>742.4</v>
      </c>
      <c r="D19">
        <v>0.75544862184204498</v>
      </c>
      <c r="F19">
        <v>0.76389433451710798</v>
      </c>
      <c r="G19">
        <v>1.0241817148185799</v>
      </c>
      <c r="H19">
        <v>0.69546259777516795</v>
      </c>
      <c r="I19">
        <v>0.90509686778680298</v>
      </c>
      <c r="J19">
        <v>0.65005468660002197</v>
      </c>
      <c r="K19">
        <v>0.77295464205475894</v>
      </c>
      <c r="Q19">
        <v>1.09938713445514</v>
      </c>
      <c r="R19">
        <v>0.75296021086501197</v>
      </c>
      <c r="T19">
        <v>0.76137810377375004</v>
      </c>
      <c r="U19">
        <v>1.02039393259144</v>
      </c>
      <c r="V19">
        <v>0.69317885535811896</v>
      </c>
      <c r="W19">
        <f t="shared" si="0"/>
        <v>0.12261059938198271</v>
      </c>
      <c r="X19">
        <v>0.901758710144691</v>
      </c>
      <c r="Y19">
        <v>0.64594060152309996</v>
      </c>
      <c r="Z19">
        <f t="shared" si="1"/>
        <v>0.18240230090054177</v>
      </c>
      <c r="AA19">
        <v>0.76685545577098702</v>
      </c>
      <c r="AG19">
        <v>1.0964289094488999</v>
      </c>
      <c r="AH19">
        <v>0.79004699038973603</v>
      </c>
      <c r="AI19" t="s">
        <v>43</v>
      </c>
    </row>
    <row r="20" spans="1:37">
      <c r="A20" t="s">
        <v>44</v>
      </c>
      <c r="B20">
        <v>700</v>
      </c>
      <c r="C20">
        <v>722.73280584297004</v>
      </c>
      <c r="D20">
        <v>0.42631827664473099</v>
      </c>
      <c r="F20">
        <v>0.39868606871807999</v>
      </c>
      <c r="G20">
        <v>0.35511103946348299</v>
      </c>
      <c r="H20">
        <v>0.393698281764152</v>
      </c>
      <c r="I20">
        <v>0.387446362771657</v>
      </c>
      <c r="J20">
        <v>0.34234495476531401</v>
      </c>
      <c r="Q20">
        <v>0.47430495802771899</v>
      </c>
      <c r="R20">
        <v>0.42244769212502797</v>
      </c>
      <c r="T20">
        <v>0.395066359664209</v>
      </c>
      <c r="U20">
        <v>0.35163380774701902</v>
      </c>
      <c r="V20">
        <v>0.39011154382422603</v>
      </c>
      <c r="W20">
        <f t="shared" si="0"/>
        <v>0.17217061684187418</v>
      </c>
      <c r="X20">
        <v>0.38364039576138398</v>
      </c>
      <c r="Y20">
        <v>0.33784078052696798</v>
      </c>
      <c r="Z20">
        <f t="shared" si="1"/>
        <v>0.28309087650245585</v>
      </c>
      <c r="AG20">
        <v>0.47038278170179998</v>
      </c>
      <c r="AH20">
        <v>0.47124631205523398</v>
      </c>
      <c r="AI20" t="s">
        <v>45</v>
      </c>
    </row>
    <row r="21" spans="1:37">
      <c r="A21" t="s">
        <v>64</v>
      </c>
      <c r="B21">
        <v>958</v>
      </c>
      <c r="C21">
        <v>993.01377726750798</v>
      </c>
      <c r="D21">
        <v>0.67791489617634204</v>
      </c>
      <c r="F21">
        <v>0.672611656850293</v>
      </c>
      <c r="H21">
        <v>0.57197134962562102</v>
      </c>
      <c r="I21">
        <v>0.59758620590054001</v>
      </c>
      <c r="J21">
        <v>0.48604519668468199</v>
      </c>
      <c r="K21">
        <v>0.49336010899981603</v>
      </c>
      <c r="Q21">
        <v>0.74453172698894998</v>
      </c>
      <c r="R21">
        <v>0.66907210830001695</v>
      </c>
      <c r="T21">
        <v>0.66383804494381704</v>
      </c>
      <c r="V21">
        <v>0.56448951322319196</v>
      </c>
      <c r="W21">
        <f t="shared" si="0"/>
        <v>0.26308813123132935</v>
      </c>
      <c r="X21">
        <v>0.58988275122899803</v>
      </c>
      <c r="Y21">
        <v>0.47418605647421902</v>
      </c>
      <c r="Z21">
        <f t="shared" si="1"/>
        <v>0.38097462426675471</v>
      </c>
      <c r="AA21">
        <v>0.482836787450316</v>
      </c>
      <c r="AG21">
        <v>0.73580725099084798</v>
      </c>
      <c r="AH21">
        <v>0.76602038472580902</v>
      </c>
      <c r="AI21" t="s">
        <v>46</v>
      </c>
    </row>
    <row r="22" spans="1:37">
      <c r="A22" t="s">
        <v>47</v>
      </c>
      <c r="B22">
        <v>883</v>
      </c>
      <c r="C22">
        <v>965.57734204792996</v>
      </c>
      <c r="D22">
        <v>0.68568905380067602</v>
      </c>
      <c r="F22">
        <v>0.72519296761788798</v>
      </c>
      <c r="H22">
        <v>0.68631947375037605</v>
      </c>
      <c r="J22">
        <v>0.41038418590950398</v>
      </c>
      <c r="Q22">
        <v>0.68524115415680797</v>
      </c>
      <c r="R22">
        <v>0.667318271847822</v>
      </c>
      <c r="T22">
        <v>0.70576380828100305</v>
      </c>
      <c r="V22">
        <v>0.66793180176935196</v>
      </c>
      <c r="W22">
        <f t="shared" si="0"/>
        <v>1.8943204800358195E-2</v>
      </c>
      <c r="Y22">
        <v>0.38684120382342102</v>
      </c>
      <c r="Z22">
        <f t="shared" si="1"/>
        <v>0.40986607475716746</v>
      </c>
      <c r="AG22">
        <v>0.666853482175784</v>
      </c>
      <c r="AH22">
        <v>0.65551426087602205</v>
      </c>
      <c r="AI22" t="s">
        <v>48</v>
      </c>
    </row>
    <row r="23" spans="1:37">
      <c r="A23" t="s">
        <v>49</v>
      </c>
      <c r="B23">
        <v>1073.8</v>
      </c>
      <c r="C23">
        <v>1169.4386694386601</v>
      </c>
      <c r="D23">
        <v>0.48765040999654702</v>
      </c>
      <c r="F23">
        <v>0.49299200468391502</v>
      </c>
      <c r="H23">
        <v>0.48681288142144602</v>
      </c>
      <c r="J23">
        <v>0.310170753406454</v>
      </c>
      <c r="Q23">
        <v>0.486734668471486</v>
      </c>
      <c r="R23">
        <v>0.46764533545626702</v>
      </c>
      <c r="T23">
        <v>0.472767799804167</v>
      </c>
      <c r="V23">
        <v>0.466842165145266</v>
      </c>
      <c r="W23">
        <f t="shared" si="0"/>
        <v>0.11307557132498924</v>
      </c>
      <c r="Y23">
        <v>0.28504924771650703</v>
      </c>
      <c r="Z23">
        <f t="shared" si="1"/>
        <v>0.45845264191906016</v>
      </c>
      <c r="AG23">
        <v>0.46682997060488102</v>
      </c>
      <c r="AH23">
        <v>0.52636070227842102</v>
      </c>
      <c r="AI23" t="s">
        <v>50</v>
      </c>
    </row>
    <row r="24" spans="1:37">
      <c r="A24" t="s">
        <v>51</v>
      </c>
      <c r="B24">
        <v>1042.7</v>
      </c>
      <c r="C24">
        <v>1052.1638776687801</v>
      </c>
      <c r="D24">
        <v>0.37448385514297</v>
      </c>
      <c r="F24">
        <v>0.39772401672316798</v>
      </c>
      <c r="H24">
        <v>0.37423569928907002</v>
      </c>
      <c r="J24">
        <v>0.26186834835755002</v>
      </c>
      <c r="Q24">
        <v>0.37411661147486303</v>
      </c>
      <c r="R24">
        <v>0.37273883886439402</v>
      </c>
      <c r="T24">
        <v>0.39587070616242998</v>
      </c>
      <c r="V24">
        <v>0.37249183936476299</v>
      </c>
      <c r="W24">
        <f t="shared" si="0"/>
        <v>1.3588159152982771E-2</v>
      </c>
      <c r="Y24">
        <v>0.25964866776244899</v>
      </c>
      <c r="Z24">
        <f t="shared" si="1"/>
        <v>0.29346958142041618</v>
      </c>
      <c r="AG24">
        <v>0.37237545813401701</v>
      </c>
      <c r="AH24">
        <v>0.36749821512915098</v>
      </c>
      <c r="AI24" t="s">
        <v>52</v>
      </c>
    </row>
    <row r="25" spans="1:37">
      <c r="A25" t="s">
        <v>53</v>
      </c>
      <c r="B25">
        <v>1121.2</v>
      </c>
      <c r="C25">
        <v>1121.2</v>
      </c>
      <c r="D25">
        <v>1.3492011992525701</v>
      </c>
      <c r="F25">
        <v>1.4344247043755101</v>
      </c>
      <c r="H25">
        <v>1.3498414938304</v>
      </c>
      <c r="J25">
        <v>0.80194503019063301</v>
      </c>
      <c r="Q25">
        <v>1.35697644485796</v>
      </c>
      <c r="R25">
        <v>1.3492011992525701</v>
      </c>
      <c r="T25">
        <v>1.4344247043755101</v>
      </c>
      <c r="V25">
        <v>1.3498414938304</v>
      </c>
      <c r="W25">
        <f t="shared" si="0"/>
        <v>7.1577209460329097E-2</v>
      </c>
      <c r="Y25">
        <v>0.80194503019063301</v>
      </c>
      <c r="Z25">
        <f t="shared" si="1"/>
        <v>0.36337264669963548</v>
      </c>
      <c r="AG25">
        <v>1.35697644485796</v>
      </c>
      <c r="AH25">
        <v>1.2596773073498</v>
      </c>
      <c r="AI25" t="s">
        <v>54</v>
      </c>
    </row>
    <row r="26" spans="1:37">
      <c r="A26" t="s">
        <v>55</v>
      </c>
      <c r="B26">
        <v>1268</v>
      </c>
      <c r="C26">
        <v>1276.21082621082</v>
      </c>
      <c r="D26">
        <v>0.84228950917194001</v>
      </c>
      <c r="F26">
        <v>0.90253851323448497</v>
      </c>
      <c r="H26">
        <v>0.842268101058265</v>
      </c>
      <c r="J26">
        <v>0.53047695960528096</v>
      </c>
      <c r="Q26">
        <v>0.84054676311417098</v>
      </c>
      <c r="R26">
        <v>0.83982795077986605</v>
      </c>
      <c r="T26">
        <v>0.89990087946696196</v>
      </c>
      <c r="V26">
        <v>0.83980660523057205</v>
      </c>
      <c r="W26">
        <f t="shared" si="0"/>
        <v>0.28778768741476363</v>
      </c>
      <c r="Y26">
        <v>0.52656452655946195</v>
      </c>
      <c r="Z26">
        <f t="shared" si="1"/>
        <v>0.55343797387340166</v>
      </c>
      <c r="AG26">
        <v>0.83809041270268603</v>
      </c>
      <c r="AH26">
        <v>1.17915204552163</v>
      </c>
      <c r="AI26" t="s">
        <v>95</v>
      </c>
    </row>
    <row r="27" spans="1:37">
      <c r="A27" t="s">
        <v>56</v>
      </c>
      <c r="B27">
        <v>1131.2</v>
      </c>
      <c r="C27">
        <v>1130.5970149253701</v>
      </c>
      <c r="D27">
        <v>0.58239324717060903</v>
      </c>
      <c r="F27">
        <v>0.56777343170887595</v>
      </c>
      <c r="H27">
        <v>0.58268227937308503</v>
      </c>
      <c r="J27">
        <v>0.36409719101091298</v>
      </c>
      <c r="Q27">
        <v>0.58236909026073802</v>
      </c>
      <c r="R27">
        <v>0.58239324717060903</v>
      </c>
      <c r="T27">
        <v>0.56777343170887595</v>
      </c>
      <c r="V27">
        <v>0.58268227937308503</v>
      </c>
      <c r="W27">
        <f t="shared" si="0"/>
        <v>6.4372614284336355E-2</v>
      </c>
      <c r="Y27">
        <v>0.36409719101091298</v>
      </c>
      <c r="Z27">
        <f t="shared" si="1"/>
        <v>0.41536011127972411</v>
      </c>
      <c r="AG27">
        <v>0.58236909026073802</v>
      </c>
      <c r="AH27">
        <v>0.62277172330456099</v>
      </c>
      <c r="AI27" t="s">
        <v>57</v>
      </c>
    </row>
    <row r="28" spans="1:37">
      <c r="A28" t="s">
        <v>58</v>
      </c>
      <c r="B28">
        <v>987</v>
      </c>
      <c r="C28">
        <v>986.86210640607999</v>
      </c>
      <c r="D28">
        <v>0.43829220504215799</v>
      </c>
      <c r="F28">
        <v>0.363487862637835</v>
      </c>
      <c r="H28">
        <v>0.43829220310135403</v>
      </c>
      <c r="J28">
        <v>0.28861057804145501</v>
      </c>
      <c r="Q28">
        <v>0.43829220310135403</v>
      </c>
      <c r="R28">
        <v>0.43829220504215799</v>
      </c>
      <c r="T28">
        <v>0.363487862637835</v>
      </c>
      <c r="V28">
        <v>0.43829220310135403</v>
      </c>
      <c r="W28">
        <f t="shared" si="0"/>
        <v>0.19417783246336415</v>
      </c>
      <c r="Y28">
        <v>0.28861057804145501</v>
      </c>
      <c r="Z28">
        <f t="shared" si="1"/>
        <v>0.46937499703232072</v>
      </c>
      <c r="AG28">
        <v>0.43829220310135403</v>
      </c>
      <c r="AH28">
        <v>0.54390685781354797</v>
      </c>
      <c r="AI28" t="s">
        <v>94</v>
      </c>
    </row>
    <row r="29" spans="1:37">
      <c r="A29" t="s">
        <v>59</v>
      </c>
      <c r="B29">
        <v>1534.2</v>
      </c>
      <c r="C29">
        <v>1554.2416452442101</v>
      </c>
      <c r="D29">
        <v>0.76994949433911597</v>
      </c>
      <c r="F29">
        <v>0.65134846570830895</v>
      </c>
      <c r="H29">
        <v>0.769949490929699</v>
      </c>
      <c r="J29">
        <v>0.55165642193242004</v>
      </c>
      <c r="Q29">
        <v>0.769949490929699</v>
      </c>
      <c r="R29">
        <v>0.76680974957054304</v>
      </c>
      <c r="T29">
        <v>0.648692359102926</v>
      </c>
      <c r="V29">
        <v>0.76680974617502995</v>
      </c>
      <c r="W29">
        <f t="shared" si="0"/>
        <v>9.1875730598472316E-2</v>
      </c>
      <c r="Y29">
        <v>0.54942631142670295</v>
      </c>
      <c r="Z29">
        <f t="shared" si="1"/>
        <v>0.21766088890826082</v>
      </c>
      <c r="AG29">
        <v>0.76680974617502995</v>
      </c>
      <c r="AH29">
        <v>0.70228664735933899</v>
      </c>
      <c r="AI29" t="s">
        <v>60</v>
      </c>
    </row>
    <row r="30" spans="1:37">
      <c r="A30" t="s">
        <v>61</v>
      </c>
      <c r="B30">
        <v>1692</v>
      </c>
      <c r="C30">
        <v>1697.8471474703899</v>
      </c>
      <c r="D30">
        <v>0.53240327298093204</v>
      </c>
      <c r="F30">
        <v>0.56536851936820998</v>
      </c>
      <c r="H30">
        <v>0.53240327062339499</v>
      </c>
      <c r="J30">
        <v>0.428106642994455</v>
      </c>
      <c r="Q30">
        <v>0.53240327062339499</v>
      </c>
      <c r="R30">
        <v>0.53209375735480802</v>
      </c>
      <c r="T30">
        <v>0.56503983921137502</v>
      </c>
      <c r="V30">
        <v>0.53209375499864198</v>
      </c>
      <c r="W30">
        <f t="shared" si="0"/>
        <v>0.10256457606708892</v>
      </c>
      <c r="Y30">
        <v>0.427744101475241</v>
      </c>
      <c r="Z30">
        <f t="shared" si="1"/>
        <v>0.27856189734229303</v>
      </c>
      <c r="AG30">
        <v>0.53209375499864198</v>
      </c>
      <c r="AH30">
        <v>0.59290478268263602</v>
      </c>
      <c r="AI30" t="s">
        <v>62</v>
      </c>
    </row>
    <row r="35" spans="2:26">
      <c r="U35" t="s">
        <v>82</v>
      </c>
      <c r="V35" t="s">
        <v>86</v>
      </c>
      <c r="X35" t="s">
        <v>89</v>
      </c>
    </row>
    <row r="36" spans="2:26">
      <c r="S36" t="s">
        <v>85</v>
      </c>
      <c r="T36" t="s">
        <v>83</v>
      </c>
      <c r="U36">
        <f>AVERAGE(W6:W15)</f>
        <v>0.55680469113133069</v>
      </c>
      <c r="V36">
        <f>AVERAGE(Z6:Z15)</f>
        <v>0.28725646147352202</v>
      </c>
      <c r="X36" t="s">
        <v>90</v>
      </c>
      <c r="Z36" t="s">
        <v>196</v>
      </c>
    </row>
    <row r="37" spans="2:26">
      <c r="T37" t="s">
        <v>84</v>
      </c>
      <c r="U37">
        <f>AVERAGE(W16:W30)</f>
        <v>0.11828278640899122</v>
      </c>
      <c r="V37">
        <f>AVERAGE(Z16:Z30)</f>
        <v>0.33121349707475611</v>
      </c>
      <c r="X37" t="s">
        <v>91</v>
      </c>
      <c r="Z37" t="s">
        <v>195</v>
      </c>
    </row>
    <row r="38" spans="2:26">
      <c r="X38" t="s">
        <v>92</v>
      </c>
    </row>
    <row r="39" spans="2:26">
      <c r="U39" t="s">
        <v>88</v>
      </c>
      <c r="X39" t="s">
        <v>93</v>
      </c>
    </row>
    <row r="40" spans="2:26">
      <c r="T40">
        <v>0</v>
      </c>
      <c r="U40">
        <v>1.1499999999999999</v>
      </c>
    </row>
    <row r="41" spans="2:26">
      <c r="T41">
        <v>0</v>
      </c>
      <c r="U41">
        <v>0.85</v>
      </c>
    </row>
    <row r="42" spans="2:26">
      <c r="C42" t="s">
        <v>290</v>
      </c>
    </row>
    <row r="44" spans="2:26">
      <c r="B44" t="s">
        <v>287</v>
      </c>
    </row>
    <row r="67" spans="2:2">
      <c r="B67" t="s">
        <v>288</v>
      </c>
    </row>
    <row r="98" spans="2:2">
      <c r="B98" t="s">
        <v>289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F976-B61B-4940-B8AB-B4C326399655}">
  <dimension ref="A4:AK41"/>
  <sheetViews>
    <sheetView topLeftCell="A5" zoomScale="87" zoomScaleNormal="87" workbookViewId="0">
      <selection activeCell="AS38" sqref="AS38"/>
    </sheetView>
  </sheetViews>
  <sheetFormatPr defaultRowHeight="14.25"/>
  <cols>
    <col min="1" max="1" width="37.375" customWidth="1"/>
    <col min="4" max="17" width="9" hidden="1" customWidth="1"/>
    <col min="28" max="33" width="0" hidden="1" customWidth="1"/>
  </cols>
  <sheetData>
    <row r="4" spans="1:37">
      <c r="R4" t="s">
        <v>65</v>
      </c>
    </row>
    <row r="5" spans="1:37" s="1" customFormat="1" ht="85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66</v>
      </c>
      <c r="S5" s="1" t="s">
        <v>79</v>
      </c>
      <c r="T5" s="1" t="s">
        <v>67</v>
      </c>
      <c r="U5" s="1" t="s">
        <v>68</v>
      </c>
      <c r="V5" s="1" t="s">
        <v>77</v>
      </c>
      <c r="W5" s="1" t="s">
        <v>87</v>
      </c>
      <c r="X5" s="1" t="s">
        <v>69</v>
      </c>
      <c r="Y5" s="1" t="s">
        <v>78</v>
      </c>
      <c r="Z5" s="1" t="s">
        <v>87</v>
      </c>
      <c r="AA5" s="1" t="s">
        <v>70</v>
      </c>
      <c r="AB5" s="1" t="s">
        <v>71</v>
      </c>
      <c r="AC5" s="1" t="s">
        <v>72</v>
      </c>
      <c r="AD5" s="1" t="s">
        <v>73</v>
      </c>
      <c r="AE5" s="1" t="s">
        <v>74</v>
      </c>
      <c r="AF5" s="1" t="s">
        <v>75</v>
      </c>
      <c r="AG5" s="1" t="s">
        <v>76</v>
      </c>
      <c r="AH5" s="1" t="s">
        <v>17</v>
      </c>
      <c r="AI5" s="1" t="s">
        <v>18</v>
      </c>
      <c r="AJ5" s="1" t="s">
        <v>19</v>
      </c>
      <c r="AK5" s="1" t="s">
        <v>20</v>
      </c>
    </row>
    <row r="6" spans="1:37" s="2" customFormat="1">
      <c r="A6" s="2" t="s">
        <v>23</v>
      </c>
      <c r="B6" s="2">
        <v>723</v>
      </c>
      <c r="C6" s="2">
        <v>882</v>
      </c>
      <c r="D6" s="2">
        <v>0.36678342471560199</v>
      </c>
      <c r="F6" s="2">
        <v>0.39875169128872301</v>
      </c>
      <c r="H6" s="2">
        <v>0.695358716399609</v>
      </c>
      <c r="J6" s="2">
        <v>0.78147754931424596</v>
      </c>
      <c r="Q6" s="2">
        <v>1.3452379426836001</v>
      </c>
      <c r="R6" s="2">
        <v>0.35881390033581001</v>
      </c>
      <c r="T6" s="2">
        <v>0.39008755569515502</v>
      </c>
      <c r="V6" s="2">
        <v>0.67741220740497099</v>
      </c>
      <c r="W6" s="2">
        <f t="shared" ref="W6:W30" si="0">ABS(($AH6-V6)/$AH6)</f>
        <v>0.11985885261520829</v>
      </c>
      <c r="Y6" s="2">
        <v>0.74096562545436895</v>
      </c>
      <c r="Z6" s="2">
        <f t="shared" ref="Z6:Z30" si="1">ABS(($AH6-Y6)/$AH6)</f>
        <v>3.7285822972737193E-2</v>
      </c>
      <c r="AG6" s="2">
        <v>1.3016118610924901</v>
      </c>
      <c r="AH6" s="2">
        <v>0.76966314939120895</v>
      </c>
      <c r="AI6" s="2" t="s">
        <v>24</v>
      </c>
    </row>
    <row r="7" spans="1:37" s="2" customFormat="1">
      <c r="A7" s="2" t="s">
        <v>25</v>
      </c>
      <c r="B7" s="2">
        <v>723</v>
      </c>
      <c r="C7" s="2">
        <v>832</v>
      </c>
      <c r="D7" s="2">
        <v>-0.137604798898426</v>
      </c>
      <c r="F7" s="2">
        <v>-3.02773841369459E-2</v>
      </c>
      <c r="H7" s="2">
        <v>0.566700784352692</v>
      </c>
      <c r="J7" s="2">
        <v>0.748207688416204</v>
      </c>
      <c r="Q7" s="2">
        <v>1.33602626850166</v>
      </c>
      <c r="R7" s="2">
        <v>-0.13553534323826999</v>
      </c>
      <c r="T7" s="2">
        <v>-2.9822038796677799E-2</v>
      </c>
      <c r="V7" s="2">
        <v>0.55550594201447301</v>
      </c>
      <c r="W7" s="2">
        <f t="shared" si="0"/>
        <v>0.22326749517467082</v>
      </c>
      <c r="Y7" s="2">
        <v>0.72228652104409496</v>
      </c>
      <c r="Z7" s="2">
        <f t="shared" si="1"/>
        <v>9.9323450216774797E-3</v>
      </c>
      <c r="AG7" s="2">
        <v>1.3058003888249301</v>
      </c>
      <c r="AH7" s="2">
        <v>0.71518307597979902</v>
      </c>
      <c r="AI7" s="2" t="s">
        <v>26</v>
      </c>
    </row>
    <row r="8" spans="1:37" s="2" customFormat="1">
      <c r="A8" s="2" t="s">
        <v>27</v>
      </c>
      <c r="B8" s="2">
        <v>750</v>
      </c>
      <c r="C8" s="2">
        <v>802</v>
      </c>
      <c r="D8" s="2">
        <v>0.12623784991613901</v>
      </c>
      <c r="F8" s="2">
        <v>0.13414681095127401</v>
      </c>
      <c r="H8" s="2">
        <v>0.114694475226989</v>
      </c>
      <c r="J8" s="2">
        <v>0.30786467925441302</v>
      </c>
      <c r="Q8" s="2">
        <v>0.45071801880511603</v>
      </c>
      <c r="R8" s="2">
        <v>0.12332464809185199</v>
      </c>
      <c r="T8" s="2">
        <v>0.13105109334640999</v>
      </c>
      <c r="V8" s="2">
        <v>0.112148952119888</v>
      </c>
      <c r="W8" s="2">
        <f t="shared" si="0"/>
        <v>0.55163114972141569</v>
      </c>
      <c r="Y8" s="2">
        <v>0.29987597191156701</v>
      </c>
      <c r="Z8" s="2">
        <f t="shared" si="1"/>
        <v>0.19889702231393963</v>
      </c>
      <c r="AG8" s="2">
        <v>0.44198046322358298</v>
      </c>
      <c r="AH8" s="2">
        <v>0.25012654659262501</v>
      </c>
      <c r="AI8" s="2" t="s">
        <v>28</v>
      </c>
    </row>
    <row r="9" spans="1:37" s="2" customFormat="1">
      <c r="A9" s="2" t="s">
        <v>29</v>
      </c>
      <c r="B9" s="2">
        <v>750</v>
      </c>
      <c r="C9" s="2">
        <v>869.15</v>
      </c>
      <c r="D9" s="2">
        <v>0.11100366714123699</v>
      </c>
      <c r="F9" s="2">
        <v>0.12242465499234</v>
      </c>
      <c r="H9" s="2">
        <v>0.111139071000262</v>
      </c>
      <c r="J9" s="2">
        <v>0.310718199018926</v>
      </c>
      <c r="Q9" s="2">
        <v>0.45854797115295398</v>
      </c>
      <c r="R9" s="2">
        <v>0.10497931806875101</v>
      </c>
      <c r="T9" s="2">
        <v>0.11578047038342799</v>
      </c>
      <c r="V9" s="2">
        <v>0.105408277874666</v>
      </c>
      <c r="W9" s="2">
        <f t="shared" si="0"/>
        <v>0.49064414268364542</v>
      </c>
      <c r="Y9" s="2">
        <v>0.29112922787240902</v>
      </c>
      <c r="Z9" s="2">
        <f t="shared" si="1"/>
        <v>0.40680011515906872</v>
      </c>
      <c r="AG9" s="2">
        <v>0.43759543903402198</v>
      </c>
      <c r="AH9" s="2">
        <v>0.206944273557648</v>
      </c>
      <c r="AI9" s="2" t="s">
        <v>30</v>
      </c>
    </row>
    <row r="10" spans="1:37" s="2" customFormat="1">
      <c r="A10" s="2" t="s">
        <v>63</v>
      </c>
      <c r="B10" s="2">
        <v>723</v>
      </c>
      <c r="C10" s="2">
        <v>785.88122136744698</v>
      </c>
      <c r="D10" s="2">
        <v>0.114504036102581</v>
      </c>
      <c r="F10" s="2">
        <v>0.219935919588156</v>
      </c>
      <c r="H10" s="2">
        <v>0.464697572626251</v>
      </c>
      <c r="J10" s="2">
        <v>0.72737521160356799</v>
      </c>
      <c r="Q10" s="2">
        <v>1.3226159988600199</v>
      </c>
      <c r="R10" s="2">
        <v>0.113278487114039</v>
      </c>
      <c r="T10" s="2">
        <v>0.21758192183427999</v>
      </c>
      <c r="V10" s="2">
        <v>0.46141777072929802</v>
      </c>
      <c r="W10" s="2">
        <f t="shared" si="0"/>
        <v>0.63105706121482141</v>
      </c>
      <c r="Y10" s="2">
        <v>0.71241195168460603</v>
      </c>
      <c r="Z10" s="2">
        <f t="shared" si="1"/>
        <v>0.43036576448980257</v>
      </c>
      <c r="AG10" s="2">
        <v>1.30499880412229</v>
      </c>
      <c r="AH10" s="2">
        <v>1.2506480602355801</v>
      </c>
      <c r="AI10" s="2" t="s">
        <v>31</v>
      </c>
    </row>
    <row r="11" spans="1:37" s="2" customFormat="1">
      <c r="A11" s="2" t="s">
        <v>32</v>
      </c>
      <c r="B11" s="2">
        <v>723</v>
      </c>
      <c r="C11" s="2">
        <v>811.82663583714998</v>
      </c>
      <c r="D11" s="2">
        <v>-0.68451425498119201</v>
      </c>
      <c r="F11" s="2">
        <v>-0.44302642149352001</v>
      </c>
      <c r="H11" s="2">
        <v>0.11179705525042199</v>
      </c>
      <c r="J11" s="2">
        <v>0.59758237722471097</v>
      </c>
      <c r="Q11" s="2">
        <v>1.2528784410843901</v>
      </c>
      <c r="R11" s="2">
        <v>-0.67658390816328295</v>
      </c>
      <c r="T11" s="2">
        <v>-0.43789379913193399</v>
      </c>
      <c r="V11" s="2">
        <v>0.10753765071044399</v>
      </c>
      <c r="W11" s="2">
        <f t="shared" si="0"/>
        <v>0.9149838088820651</v>
      </c>
      <c r="Y11" s="2">
        <v>0.58317546813700505</v>
      </c>
      <c r="Z11" s="2">
        <f t="shared" si="1"/>
        <v>0.53895815347571407</v>
      </c>
      <c r="AG11" s="2">
        <v>1.2304065828778701</v>
      </c>
      <c r="AH11" s="2">
        <v>1.26490788750189</v>
      </c>
      <c r="AI11" s="2" t="s">
        <v>33</v>
      </c>
    </row>
    <row r="12" spans="1:37" s="2" customFormat="1">
      <c r="A12" s="2" t="s">
        <v>34</v>
      </c>
      <c r="B12" s="2">
        <v>878</v>
      </c>
      <c r="C12" s="2">
        <v>1023</v>
      </c>
      <c r="D12" s="2">
        <v>0.119718045156126</v>
      </c>
      <c r="F12" s="2">
        <v>0.139517137352687</v>
      </c>
      <c r="H12" s="2">
        <v>0.151086488956231</v>
      </c>
      <c r="J12" s="2">
        <v>0.38363120159952102</v>
      </c>
      <c r="Q12" s="2">
        <v>0.62595318277345302</v>
      </c>
      <c r="R12" s="2">
        <v>0.115742832125585</v>
      </c>
      <c r="T12" s="2">
        <v>0.134884499543867</v>
      </c>
      <c r="V12" s="2">
        <v>0.14300503155139799</v>
      </c>
      <c r="W12" s="2">
        <f t="shared" si="0"/>
        <v>0.72446699439430917</v>
      </c>
      <c r="Y12" s="2">
        <v>0.35966985442212901</v>
      </c>
      <c r="Z12" s="2">
        <f t="shared" si="1"/>
        <v>0.30701098458153026</v>
      </c>
      <c r="AG12" s="2">
        <v>0.59800658991397604</v>
      </c>
      <c r="AH12" s="2">
        <v>0.519012345679012</v>
      </c>
      <c r="AI12" s="2" t="s">
        <v>35</v>
      </c>
    </row>
    <row r="13" spans="1:37" s="2" customFormat="1">
      <c r="A13" s="2" t="s">
        <v>36</v>
      </c>
      <c r="B13" s="2">
        <v>878</v>
      </c>
      <c r="C13" s="2">
        <v>1073</v>
      </c>
      <c r="D13" s="2">
        <v>0.188513710493246</v>
      </c>
      <c r="F13" s="2">
        <v>0.19057901154554499</v>
      </c>
      <c r="H13" s="2">
        <v>0.15917342728042</v>
      </c>
      <c r="J13" s="2">
        <v>0.36475139172742499</v>
      </c>
      <c r="Q13" s="2">
        <v>0.57924146182158398</v>
      </c>
      <c r="R13" s="2">
        <v>0.18133469433076599</v>
      </c>
      <c r="T13" s="2">
        <v>0.18332134418259799</v>
      </c>
      <c r="V13" s="2">
        <v>0.151181269098529</v>
      </c>
      <c r="W13" s="2">
        <f t="shared" si="0"/>
        <v>0.7025362344464714</v>
      </c>
      <c r="Y13" s="2">
        <v>0.33864101447663503</v>
      </c>
      <c r="Z13" s="2">
        <f t="shared" si="1"/>
        <v>0.33369105883456979</v>
      </c>
      <c r="AG13" s="2">
        <v>0.54654293386803399</v>
      </c>
      <c r="AH13" s="2">
        <v>0.50823423423423297</v>
      </c>
      <c r="AI13" s="2" t="s">
        <v>37</v>
      </c>
    </row>
    <row r="14" spans="1:37" s="2" customFormat="1">
      <c r="A14" s="2" t="s">
        <v>38</v>
      </c>
      <c r="B14" s="2">
        <v>878</v>
      </c>
      <c r="C14" s="2">
        <v>1073</v>
      </c>
      <c r="D14" s="2">
        <v>0.234236731349861</v>
      </c>
      <c r="F14" s="2">
        <v>0.21977531622907001</v>
      </c>
      <c r="H14" s="2">
        <v>0.17464563703389399</v>
      </c>
      <c r="J14" s="2">
        <v>0.34979073769636099</v>
      </c>
      <c r="Q14" s="2">
        <v>0.53252974086971405</v>
      </c>
      <c r="R14" s="2">
        <v>0.22647802811295401</v>
      </c>
      <c r="T14" s="2">
        <v>0.21249562338332201</v>
      </c>
      <c r="V14" s="2">
        <v>0.16870277158194399</v>
      </c>
      <c r="W14" s="2">
        <f t="shared" si="0"/>
        <v>0.57854411096587843</v>
      </c>
      <c r="Y14" s="2">
        <v>0.328531464474764</v>
      </c>
      <c r="Z14" s="2">
        <f t="shared" si="1"/>
        <v>0.17925758339637776</v>
      </c>
      <c r="AG14" s="2">
        <v>0.504394808775251</v>
      </c>
      <c r="AH14" s="2">
        <v>0.40028571428571402</v>
      </c>
      <c r="AI14" s="2" t="s">
        <v>39</v>
      </c>
    </row>
    <row r="15" spans="1:37" s="2" customFormat="1">
      <c r="A15" s="2" t="s">
        <v>63</v>
      </c>
      <c r="B15" s="2">
        <v>735</v>
      </c>
      <c r="C15" s="2">
        <v>785.88122136744698</v>
      </c>
      <c r="D15" s="2">
        <v>0.114504036102581</v>
      </c>
      <c r="F15" s="2">
        <v>0.219935919588156</v>
      </c>
      <c r="H15" s="2">
        <v>0.464697572626251</v>
      </c>
      <c r="J15" s="2">
        <v>0.72737521160356799</v>
      </c>
      <c r="L15" s="2">
        <v>0.72737521160356799</v>
      </c>
      <c r="Q15" s="2">
        <v>1.3226159988600199</v>
      </c>
      <c r="R15" s="2">
        <v>0.113278487114039</v>
      </c>
      <c r="T15" s="2">
        <v>0.21758192183427999</v>
      </c>
      <c r="V15" s="2">
        <v>0.46141777072929802</v>
      </c>
      <c r="W15" s="2">
        <f t="shared" si="0"/>
        <v>0.63105706121482141</v>
      </c>
      <c r="Y15" s="2">
        <v>0.71241195168460603</v>
      </c>
      <c r="Z15" s="2">
        <f t="shared" si="1"/>
        <v>0.43036576448980257</v>
      </c>
      <c r="AB15" s="2">
        <v>0.71241195168460603</v>
      </c>
      <c r="AG15" s="2">
        <v>1.30499880412229</v>
      </c>
      <c r="AH15" s="2">
        <v>1.2506480602355801</v>
      </c>
      <c r="AI15" s="2" t="s">
        <v>43</v>
      </c>
    </row>
    <row r="16" spans="1:37">
      <c r="A16" t="s">
        <v>21</v>
      </c>
      <c r="B16">
        <v>723</v>
      </c>
      <c r="C16">
        <v>884</v>
      </c>
      <c r="D16">
        <v>1.1694200634609</v>
      </c>
      <c r="F16">
        <v>1.0901410687791799</v>
      </c>
      <c r="H16">
        <v>1.0169507557437001</v>
      </c>
      <c r="J16">
        <v>0.81942428879552098</v>
      </c>
      <c r="Q16">
        <v>1.35444961686554</v>
      </c>
      <c r="R16">
        <v>1.1438209784587701</v>
      </c>
      <c r="T16">
        <v>1.0662774334988001</v>
      </c>
      <c r="V16">
        <v>0.99333380791119696</v>
      </c>
      <c r="W16">
        <f t="shared" si="0"/>
        <v>9.5706388990070029E-2</v>
      </c>
      <c r="Y16">
        <v>0.77570441935694301</v>
      </c>
      <c r="Z16">
        <f t="shared" si="1"/>
        <v>0.14435179645751153</v>
      </c>
      <c r="AG16">
        <v>1.31056502017601</v>
      </c>
      <c r="AH16">
        <v>0.90656933088322</v>
      </c>
      <c r="AI16" t="s">
        <v>22</v>
      </c>
    </row>
    <row r="17" spans="1:37">
      <c r="A17" t="s">
        <v>80</v>
      </c>
      <c r="B17">
        <v>733</v>
      </c>
      <c r="C17">
        <v>884</v>
      </c>
      <c r="D17">
        <v>1.13216387095465</v>
      </c>
      <c r="E17">
        <v>1.65454641513861</v>
      </c>
      <c r="F17">
        <v>1.0327876010572901</v>
      </c>
      <c r="G17">
        <v>1.5087681980661101</v>
      </c>
      <c r="H17">
        <v>1.0025336872584101</v>
      </c>
      <c r="I17">
        <v>1.51848599870652</v>
      </c>
      <c r="J17">
        <v>0.77455398713730195</v>
      </c>
      <c r="K17">
        <v>1.19487504696948</v>
      </c>
      <c r="R17">
        <v>1.1128791954030901</v>
      </c>
      <c r="S17">
        <v>1.6155238078743901</v>
      </c>
      <c r="T17">
        <v>1.015195647886</v>
      </c>
      <c r="U17">
        <v>1.47318378151111</v>
      </c>
      <c r="V17">
        <v>0.98447068021154305</v>
      </c>
      <c r="W17">
        <f t="shared" si="0"/>
        <v>8.0050057556671564E-2</v>
      </c>
      <c r="X17">
        <v>1.4811883216902499</v>
      </c>
      <c r="Y17">
        <v>0.74095938136264805</v>
      </c>
      <c r="Z17">
        <f t="shared" si="1"/>
        <v>0.18710304067570496</v>
      </c>
      <c r="AA17">
        <v>1.1045267110139001</v>
      </c>
      <c r="AH17">
        <v>0.91150467825412496</v>
      </c>
      <c r="AI17" t="s">
        <v>22</v>
      </c>
      <c r="AJ17">
        <v>1.1000000000000001</v>
      </c>
      <c r="AK17" t="s">
        <v>81</v>
      </c>
    </row>
    <row r="18" spans="1:37">
      <c r="A18" t="s">
        <v>40</v>
      </c>
      <c r="B18">
        <v>1000</v>
      </c>
      <c r="D18">
        <v>0.67334764686844395</v>
      </c>
      <c r="F18">
        <v>0.67819466691103902</v>
      </c>
      <c r="H18">
        <v>0.64214260840362103</v>
      </c>
      <c r="J18">
        <v>0.46849389713973499</v>
      </c>
      <c r="Q18">
        <v>0.73423486406761396</v>
      </c>
      <c r="R18">
        <v>0.67334764686844395</v>
      </c>
      <c r="T18">
        <v>0.67819466691103902</v>
      </c>
      <c r="V18">
        <v>0.64214260840362103</v>
      </c>
      <c r="W18">
        <f t="shared" si="0"/>
        <v>8.2653416566255619E-2</v>
      </c>
      <c r="Y18">
        <v>0.46849389713973499</v>
      </c>
      <c r="Z18">
        <f t="shared" si="1"/>
        <v>0.33072300408609284</v>
      </c>
      <c r="AG18">
        <v>0.73423486406761396</v>
      </c>
      <c r="AH18">
        <f>AJ18</f>
        <v>0.7</v>
      </c>
      <c r="AJ18">
        <v>0.7</v>
      </c>
      <c r="AK18" t="s">
        <v>41</v>
      </c>
    </row>
    <row r="19" spans="1:37">
      <c r="A19" t="s">
        <v>42</v>
      </c>
      <c r="B19">
        <v>735</v>
      </c>
      <c r="C19">
        <v>742.4</v>
      </c>
      <c r="D19">
        <v>0.75544862184204498</v>
      </c>
      <c r="F19">
        <v>0.76389433451710798</v>
      </c>
      <c r="G19">
        <v>1.0241817148185799</v>
      </c>
      <c r="H19">
        <v>0.69546259777516795</v>
      </c>
      <c r="I19">
        <v>0.90509686778680298</v>
      </c>
      <c r="J19">
        <v>0.65005468660002197</v>
      </c>
      <c r="K19">
        <v>0.77295464205475894</v>
      </c>
      <c r="Q19">
        <v>1.09938713445514</v>
      </c>
      <c r="R19">
        <v>0.75296021086501197</v>
      </c>
      <c r="T19">
        <v>0.76137810377375004</v>
      </c>
      <c r="U19">
        <v>1.02039393259144</v>
      </c>
      <c r="V19">
        <v>0.69317885535811896</v>
      </c>
      <c r="W19">
        <f t="shared" si="0"/>
        <v>0.12261059938198271</v>
      </c>
      <c r="X19">
        <v>0.901758710144691</v>
      </c>
      <c r="Y19">
        <v>0.64594060152309996</v>
      </c>
      <c r="Z19">
        <f t="shared" si="1"/>
        <v>0.18240230090054177</v>
      </c>
      <c r="AA19">
        <v>0.76685545577098702</v>
      </c>
      <c r="AG19">
        <v>1.0964289094488999</v>
      </c>
      <c r="AH19">
        <v>0.79004699038973603</v>
      </c>
      <c r="AI19" t="s">
        <v>43</v>
      </c>
    </row>
    <row r="20" spans="1:37">
      <c r="A20" t="s">
        <v>44</v>
      </c>
      <c r="B20">
        <v>700</v>
      </c>
      <c r="C20">
        <v>722.73280584297004</v>
      </c>
      <c r="D20">
        <v>0.42631827664473099</v>
      </c>
      <c r="F20">
        <v>0.39868606871807999</v>
      </c>
      <c r="G20">
        <v>0.35511103946348299</v>
      </c>
      <c r="H20">
        <v>0.393698281764152</v>
      </c>
      <c r="I20">
        <v>0.387446362771657</v>
      </c>
      <c r="J20">
        <v>0.34234495476531401</v>
      </c>
      <c r="Q20">
        <v>0.47430495802771899</v>
      </c>
      <c r="R20">
        <v>0.42244769212502797</v>
      </c>
      <c r="T20">
        <v>0.395066359664209</v>
      </c>
      <c r="U20">
        <v>0.35163380774701902</v>
      </c>
      <c r="V20">
        <v>0.39011154382422603</v>
      </c>
      <c r="W20">
        <f t="shared" si="0"/>
        <v>0.17217061684187418</v>
      </c>
      <c r="X20">
        <v>0.38364039576138398</v>
      </c>
      <c r="Y20">
        <v>0.33784078052696798</v>
      </c>
      <c r="Z20">
        <f t="shared" si="1"/>
        <v>0.28309087650245585</v>
      </c>
      <c r="AG20">
        <v>0.47038278170179998</v>
      </c>
      <c r="AH20">
        <v>0.47124631205523398</v>
      </c>
      <c r="AI20" t="s">
        <v>45</v>
      </c>
    </row>
    <row r="21" spans="1:37">
      <c r="A21" t="s">
        <v>64</v>
      </c>
      <c r="B21">
        <v>958</v>
      </c>
      <c r="C21">
        <v>993.01377726750798</v>
      </c>
      <c r="D21">
        <v>0.67791489617634204</v>
      </c>
      <c r="F21">
        <v>0.672611656850293</v>
      </c>
      <c r="H21">
        <v>0.57197134962562102</v>
      </c>
      <c r="I21">
        <v>0.59758620590054001</v>
      </c>
      <c r="J21">
        <v>0.48604519668468199</v>
      </c>
      <c r="K21">
        <v>0.49336010899981603</v>
      </c>
      <c r="Q21">
        <v>0.74453172698894998</v>
      </c>
      <c r="R21">
        <v>0.66907210830001695</v>
      </c>
      <c r="T21">
        <v>0.66383804494381704</v>
      </c>
      <c r="V21">
        <v>0.56448951322319196</v>
      </c>
      <c r="W21">
        <f t="shared" si="0"/>
        <v>0.26308813123132935</v>
      </c>
      <c r="X21">
        <v>0.58988275122899803</v>
      </c>
      <c r="Y21">
        <v>0.47418605647421902</v>
      </c>
      <c r="Z21">
        <f t="shared" si="1"/>
        <v>0.38097462426675471</v>
      </c>
      <c r="AA21">
        <v>0.482836787450316</v>
      </c>
      <c r="AG21">
        <v>0.73580725099084798</v>
      </c>
      <c r="AH21">
        <v>0.76602038472580902</v>
      </c>
      <c r="AI21" t="s">
        <v>46</v>
      </c>
    </row>
    <row r="22" spans="1:37">
      <c r="A22" t="s">
        <v>47</v>
      </c>
      <c r="B22">
        <v>883</v>
      </c>
      <c r="C22">
        <v>965.57734204792996</v>
      </c>
      <c r="D22">
        <v>0.68568905380067602</v>
      </c>
      <c r="F22">
        <v>0.72519296761788798</v>
      </c>
      <c r="H22">
        <v>0.68631947375037605</v>
      </c>
      <c r="J22">
        <v>0.41038418590950398</v>
      </c>
      <c r="Q22">
        <v>0.68524115415680797</v>
      </c>
      <c r="R22">
        <v>0.667318271847822</v>
      </c>
      <c r="T22">
        <v>0.70576380828100305</v>
      </c>
      <c r="V22">
        <v>0.66793180176935196</v>
      </c>
      <c r="W22">
        <f t="shared" si="0"/>
        <v>1.8943204800358195E-2</v>
      </c>
      <c r="Y22">
        <v>0.38684120382342102</v>
      </c>
      <c r="Z22">
        <f t="shared" si="1"/>
        <v>0.40986607475716746</v>
      </c>
      <c r="AG22">
        <v>0.666853482175784</v>
      </c>
      <c r="AH22">
        <v>0.65551426087602205</v>
      </c>
      <c r="AI22" t="s">
        <v>48</v>
      </c>
    </row>
    <row r="23" spans="1:37">
      <c r="A23" t="s">
        <v>49</v>
      </c>
      <c r="B23">
        <v>1073.8</v>
      </c>
      <c r="C23">
        <v>1169.4386694386601</v>
      </c>
      <c r="D23">
        <v>0.48765040999654702</v>
      </c>
      <c r="F23">
        <v>0.49299200468391502</v>
      </c>
      <c r="H23">
        <v>0.48681288142144602</v>
      </c>
      <c r="J23">
        <v>0.310170753406454</v>
      </c>
      <c r="Q23">
        <v>0.486734668471486</v>
      </c>
      <c r="R23">
        <v>0.46764533545626702</v>
      </c>
      <c r="T23">
        <v>0.472767799804167</v>
      </c>
      <c r="V23">
        <v>0.466842165145266</v>
      </c>
      <c r="W23">
        <f t="shared" si="0"/>
        <v>0.11307557132498924</v>
      </c>
      <c r="Y23">
        <v>0.28504924771650703</v>
      </c>
      <c r="Z23">
        <f t="shared" si="1"/>
        <v>0.45845264191906016</v>
      </c>
      <c r="AG23">
        <v>0.46682997060488102</v>
      </c>
      <c r="AH23">
        <v>0.52636070227842102</v>
      </c>
      <c r="AI23" t="s">
        <v>50</v>
      </c>
    </row>
    <row r="24" spans="1:37">
      <c r="A24" t="s">
        <v>51</v>
      </c>
      <c r="B24">
        <v>1042.7</v>
      </c>
      <c r="C24">
        <v>1052.1638776687801</v>
      </c>
      <c r="D24">
        <v>0.37448385514297</v>
      </c>
      <c r="F24">
        <v>0.39772401672316798</v>
      </c>
      <c r="H24">
        <v>0.37423569928907002</v>
      </c>
      <c r="J24">
        <v>0.26186834835755002</v>
      </c>
      <c r="Q24">
        <v>0.37411661147486303</v>
      </c>
      <c r="R24">
        <v>0.37273883886439402</v>
      </c>
      <c r="T24">
        <v>0.39587070616242998</v>
      </c>
      <c r="V24">
        <v>0.37249183936476299</v>
      </c>
      <c r="W24">
        <f t="shared" si="0"/>
        <v>1.3588159152982771E-2</v>
      </c>
      <c r="Y24">
        <v>0.25964866776244899</v>
      </c>
      <c r="Z24">
        <f t="shared" si="1"/>
        <v>0.29346958142041618</v>
      </c>
      <c r="AG24">
        <v>0.37237545813401701</v>
      </c>
      <c r="AH24">
        <v>0.36749821512915098</v>
      </c>
      <c r="AI24" t="s">
        <v>52</v>
      </c>
    </row>
    <row r="25" spans="1:37">
      <c r="A25" t="s">
        <v>53</v>
      </c>
      <c r="B25">
        <v>1121.2</v>
      </c>
      <c r="C25">
        <v>1121.2</v>
      </c>
      <c r="D25">
        <v>1.3492011992525701</v>
      </c>
      <c r="F25">
        <v>1.4344247043755101</v>
      </c>
      <c r="H25">
        <v>1.3498414938304</v>
      </c>
      <c r="J25">
        <v>0.80194503019063301</v>
      </c>
      <c r="Q25">
        <v>1.35697644485796</v>
      </c>
      <c r="R25">
        <v>1.3492011992525701</v>
      </c>
      <c r="T25">
        <v>1.4344247043755101</v>
      </c>
      <c r="V25">
        <v>1.3498414938304</v>
      </c>
      <c r="W25">
        <f t="shared" si="0"/>
        <v>7.1577209460329097E-2</v>
      </c>
      <c r="Y25">
        <v>0.80194503019063301</v>
      </c>
      <c r="Z25">
        <f t="shared" si="1"/>
        <v>0.36337264669963548</v>
      </c>
      <c r="AG25">
        <v>1.35697644485796</v>
      </c>
      <c r="AH25">
        <v>1.2596773073498</v>
      </c>
      <c r="AI25" t="s">
        <v>54</v>
      </c>
    </row>
    <row r="26" spans="1:37">
      <c r="A26" t="s">
        <v>55</v>
      </c>
      <c r="B26">
        <v>1268</v>
      </c>
      <c r="C26">
        <v>1276.21082621082</v>
      </c>
      <c r="D26">
        <v>0.84228950917194001</v>
      </c>
      <c r="F26">
        <v>0.90253851323448497</v>
      </c>
      <c r="H26">
        <v>0.842268101058265</v>
      </c>
      <c r="J26">
        <v>0.53047695960528096</v>
      </c>
      <c r="Q26">
        <v>0.84054676311417098</v>
      </c>
      <c r="R26">
        <v>0.83982795077986605</v>
      </c>
      <c r="T26">
        <v>0.89990087946696196</v>
      </c>
      <c r="V26">
        <v>0.83980660523057205</v>
      </c>
      <c r="W26">
        <f t="shared" si="0"/>
        <v>0.28778768741476363</v>
      </c>
      <c r="Y26">
        <v>0.52656452655946195</v>
      </c>
      <c r="Z26">
        <f t="shared" si="1"/>
        <v>0.55343797387340166</v>
      </c>
      <c r="AG26">
        <v>0.83809041270268603</v>
      </c>
      <c r="AH26">
        <v>1.17915204552163</v>
      </c>
      <c r="AI26" t="s">
        <v>95</v>
      </c>
    </row>
    <row r="27" spans="1:37">
      <c r="A27" t="s">
        <v>56</v>
      </c>
      <c r="B27">
        <v>1131.2</v>
      </c>
      <c r="C27">
        <v>1130.5970149253701</v>
      </c>
      <c r="D27">
        <v>0.58239324717060903</v>
      </c>
      <c r="F27">
        <v>0.56777343170887595</v>
      </c>
      <c r="H27">
        <v>0.58268227937308503</v>
      </c>
      <c r="J27">
        <v>0.36409719101091298</v>
      </c>
      <c r="Q27">
        <v>0.58236909026073802</v>
      </c>
      <c r="R27">
        <v>0.58239324717060903</v>
      </c>
      <c r="T27">
        <v>0.56777343170887595</v>
      </c>
      <c r="V27">
        <v>0.58268227937308503</v>
      </c>
      <c r="W27">
        <f t="shared" si="0"/>
        <v>6.4372614284336355E-2</v>
      </c>
      <c r="Y27">
        <v>0.36409719101091298</v>
      </c>
      <c r="Z27">
        <f t="shared" si="1"/>
        <v>0.41536011127972411</v>
      </c>
      <c r="AG27">
        <v>0.58236909026073802</v>
      </c>
      <c r="AH27">
        <v>0.62277172330456099</v>
      </c>
      <c r="AI27" t="s">
        <v>57</v>
      </c>
    </row>
    <row r="28" spans="1:37">
      <c r="A28" t="s">
        <v>58</v>
      </c>
      <c r="B28">
        <v>987</v>
      </c>
      <c r="C28">
        <v>986.86210640607999</v>
      </c>
      <c r="D28">
        <v>0.43829220504215799</v>
      </c>
      <c r="F28">
        <v>0.363487862637835</v>
      </c>
      <c r="H28">
        <v>0.43829220310135403</v>
      </c>
      <c r="J28">
        <v>0.28861057804145501</v>
      </c>
      <c r="Q28">
        <v>0.43829220310135403</v>
      </c>
      <c r="R28">
        <v>0.43829220504215799</v>
      </c>
      <c r="T28">
        <v>0.363487862637835</v>
      </c>
      <c r="V28">
        <v>0.43829220310135403</v>
      </c>
      <c r="W28">
        <f t="shared" si="0"/>
        <v>0.19417783246336415</v>
      </c>
      <c r="Y28">
        <v>0.28861057804145501</v>
      </c>
      <c r="Z28">
        <f t="shared" si="1"/>
        <v>0.46937499703232072</v>
      </c>
      <c r="AG28">
        <v>0.43829220310135403</v>
      </c>
      <c r="AH28">
        <v>0.54390685781354797</v>
      </c>
      <c r="AI28" t="s">
        <v>94</v>
      </c>
    </row>
    <row r="29" spans="1:37">
      <c r="A29" t="s">
        <v>59</v>
      </c>
      <c r="B29">
        <v>1534.2</v>
      </c>
      <c r="C29">
        <v>1554.2416452442101</v>
      </c>
      <c r="D29">
        <v>0.76994949433911597</v>
      </c>
      <c r="F29">
        <v>0.65134846570830895</v>
      </c>
      <c r="H29">
        <v>0.769949490929699</v>
      </c>
      <c r="J29">
        <v>0.55165642193242004</v>
      </c>
      <c r="Q29">
        <v>0.769949490929699</v>
      </c>
      <c r="R29">
        <v>0.76680974957054304</v>
      </c>
      <c r="T29">
        <v>0.648692359102926</v>
      </c>
      <c r="V29">
        <v>0.76680974617502995</v>
      </c>
      <c r="W29">
        <f t="shared" si="0"/>
        <v>9.1875730598472316E-2</v>
      </c>
      <c r="Y29">
        <v>0.54942631142670295</v>
      </c>
      <c r="Z29">
        <f t="shared" si="1"/>
        <v>0.21766088890826082</v>
      </c>
      <c r="AG29">
        <v>0.76680974617502995</v>
      </c>
      <c r="AH29">
        <v>0.70228664735933899</v>
      </c>
      <c r="AI29" t="s">
        <v>60</v>
      </c>
    </row>
    <row r="30" spans="1:37">
      <c r="A30" t="s">
        <v>61</v>
      </c>
      <c r="B30">
        <v>1692</v>
      </c>
      <c r="C30">
        <v>1697.8471474703899</v>
      </c>
      <c r="D30">
        <v>0.53240327298093204</v>
      </c>
      <c r="F30">
        <v>0.56536851936820998</v>
      </c>
      <c r="H30">
        <v>0.53240327062339499</v>
      </c>
      <c r="J30">
        <v>0.428106642994455</v>
      </c>
      <c r="Q30">
        <v>0.53240327062339499</v>
      </c>
      <c r="R30">
        <v>0.53209375735480802</v>
      </c>
      <c r="T30">
        <v>0.56503983921137502</v>
      </c>
      <c r="V30">
        <v>0.53209375499864198</v>
      </c>
      <c r="W30">
        <f t="shared" si="0"/>
        <v>0.10256457606708892</v>
      </c>
      <c r="Y30">
        <v>0.427744101475241</v>
      </c>
      <c r="Z30">
        <f t="shared" si="1"/>
        <v>0.27856189734229303</v>
      </c>
      <c r="AG30">
        <v>0.53209375499864198</v>
      </c>
      <c r="AH30">
        <v>0.59290478268263602</v>
      </c>
      <c r="AI30" t="s">
        <v>62</v>
      </c>
    </row>
    <row r="35" spans="19:26">
      <c r="U35" t="s">
        <v>82</v>
      </c>
      <c r="V35" t="s">
        <v>86</v>
      </c>
      <c r="X35" t="s">
        <v>89</v>
      </c>
    </row>
    <row r="36" spans="19:26">
      <c r="S36" t="s">
        <v>85</v>
      </c>
      <c r="T36" t="s">
        <v>83</v>
      </c>
      <c r="U36">
        <f>AVERAGE(W6:W15)</f>
        <v>0.55680469113133069</v>
      </c>
      <c r="V36">
        <f>AVERAGE(Z6:Z15)</f>
        <v>0.28725646147352202</v>
      </c>
      <c r="X36" t="s">
        <v>90</v>
      </c>
      <c r="Z36" t="s">
        <v>196</v>
      </c>
    </row>
    <row r="37" spans="19:26">
      <c r="T37" t="s">
        <v>84</v>
      </c>
      <c r="U37">
        <f>AVERAGE(W16:W30)</f>
        <v>0.11828278640899122</v>
      </c>
      <c r="V37">
        <f>AVERAGE(Z16:Z30)</f>
        <v>0.33121349707475611</v>
      </c>
      <c r="X37" t="s">
        <v>91</v>
      </c>
      <c r="Z37" t="s">
        <v>195</v>
      </c>
    </row>
    <row r="38" spans="19:26">
      <c r="X38" t="s">
        <v>92</v>
      </c>
    </row>
    <row r="39" spans="19:26">
      <c r="U39" t="s">
        <v>88</v>
      </c>
      <c r="X39" t="s">
        <v>93</v>
      </c>
    </row>
    <row r="40" spans="19:26">
      <c r="T40">
        <v>0</v>
      </c>
      <c r="U40">
        <v>1.1499999999999999</v>
      </c>
    </row>
    <row r="41" spans="19:26">
      <c r="T41">
        <v>0</v>
      </c>
      <c r="U41">
        <v>0.85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ACFF-F044-4190-98A6-D58162A57868}">
  <sheetPr>
    <outlinePr summaryBelow="0"/>
  </sheetPr>
  <dimension ref="A1:BS55"/>
  <sheetViews>
    <sheetView topLeftCell="A10" zoomScale="60" zoomScaleNormal="60" workbookViewId="0">
      <pane xSplit="3" topLeftCell="R1" activePane="topRight" state="frozen"/>
      <selection pane="topRight" activeCell="BK8" sqref="BK8"/>
    </sheetView>
  </sheetViews>
  <sheetFormatPr defaultColWidth="9.125" defaultRowHeight="14.25"/>
  <cols>
    <col min="1" max="1" width="40.125" style="73" customWidth="1"/>
    <col min="2" max="2" width="7.875" style="73" hidden="1" customWidth="1"/>
    <col min="3" max="3" width="6.375" style="73" hidden="1" customWidth="1"/>
    <col min="4" max="4" width="8.375" style="73" customWidth="1"/>
    <col min="5" max="5" width="9" style="73" customWidth="1"/>
    <col min="6" max="6" width="10.375" style="73" customWidth="1"/>
    <col min="7" max="7" width="11.125" style="73" customWidth="1"/>
    <col min="8" max="8" width="12.75" style="73" customWidth="1"/>
    <col min="9" max="9" width="13" style="73" customWidth="1"/>
    <col min="10" max="10" width="10.625" style="73" customWidth="1"/>
    <col min="11" max="11" width="12.125" style="58" customWidth="1"/>
    <col min="12" max="12" width="11.75" style="58" customWidth="1"/>
    <col min="13" max="13" width="2.375" style="62" customWidth="1"/>
    <col min="14" max="14" width="14.625" style="62" customWidth="1"/>
    <col min="15" max="15" width="13.125" style="62" customWidth="1"/>
    <col min="16" max="16" width="2.25" style="62" customWidth="1"/>
    <col min="17" max="17" width="2.25" customWidth="1"/>
    <col min="18" max="19" width="2.25" style="62" customWidth="1"/>
    <col min="20" max="22" width="12" style="62" customWidth="1"/>
    <col min="23" max="23" width="12.125" style="24" customWidth="1"/>
    <col min="24" max="24" width="10.125" style="28" customWidth="1"/>
    <col min="25" max="25" width="7.625" style="28" customWidth="1"/>
    <col min="26" max="26" width="6.25" style="28" customWidth="1"/>
    <col min="27" max="27" width="8.375" style="28" customWidth="1"/>
    <col min="28" max="28" width="7.875" style="28" customWidth="1"/>
    <col min="29" max="29" width="6.125" style="28" customWidth="1"/>
    <col min="30" max="30" width="8.875" style="28" customWidth="1"/>
    <col min="31" max="31" width="14.875" style="78" customWidth="1"/>
    <col min="32" max="35" width="14.875" style="78" hidden="1" customWidth="1"/>
    <col min="36" max="36" width="19" style="78" hidden="1" customWidth="1"/>
    <col min="37" max="37" width="8.75" style="78" hidden="1" customWidth="1"/>
    <col min="38" max="38" width="15.25" style="78" hidden="1" customWidth="1"/>
    <col min="39" max="39" width="14.875" style="78" hidden="1" customWidth="1"/>
    <col min="40" max="40" width="15.625" style="78" hidden="1" customWidth="1"/>
    <col min="41" max="41" width="10.125" style="78" hidden="1" customWidth="1"/>
    <col min="42" max="42" width="13.75" style="78" hidden="1" customWidth="1"/>
    <col min="43" max="44" width="14.375" style="78" hidden="1" customWidth="1"/>
    <col min="45" max="45" width="15.375" style="78" hidden="1" customWidth="1"/>
    <col min="46" max="46" width="11.125" style="79" hidden="1" customWidth="1"/>
    <col min="47" max="47" width="10.625" style="78" hidden="1" customWidth="1"/>
    <col min="48" max="48" width="10.625" style="78" customWidth="1"/>
    <col min="49" max="49" width="10.625" style="78" hidden="1" customWidth="1"/>
    <col min="50" max="50" width="18" style="78" hidden="1" customWidth="1"/>
    <col min="51" max="51" width="11" style="80" hidden="1" customWidth="1"/>
    <col min="52" max="52" width="15.25" style="80" hidden="1" customWidth="1"/>
    <col min="53" max="53" width="14.25" style="78" hidden="1" customWidth="1"/>
    <col min="54" max="54" width="14.25" style="78" customWidth="1"/>
    <col min="55" max="55" width="13.75" style="81" customWidth="1"/>
    <col min="56" max="57" width="9.125" hidden="1" customWidth="1"/>
    <col min="58" max="59" width="15.125" customWidth="1"/>
    <col min="60" max="60" width="13.75" customWidth="1"/>
    <col min="61" max="62" width="11.875" style="28" customWidth="1"/>
    <col min="63" max="63" width="9.125" style="28"/>
    <col min="64" max="69" width="9.125" style="28" customWidth="1"/>
    <col min="70" max="70" width="11.75" style="28" customWidth="1"/>
    <col min="71" max="16384" width="9.125" style="28"/>
  </cols>
  <sheetData>
    <row r="1" spans="1:71" s="10" customFormat="1" ht="20.25" customHeight="1" thickBot="1">
      <c r="A1" s="3" t="s">
        <v>96</v>
      </c>
      <c r="B1" s="4" t="s">
        <v>97</v>
      </c>
      <c r="C1" s="3" t="s">
        <v>98</v>
      </c>
      <c r="D1" s="3" t="s">
        <v>99</v>
      </c>
      <c r="E1" s="3" t="s">
        <v>100</v>
      </c>
      <c r="F1" s="5" t="s">
        <v>101</v>
      </c>
      <c r="G1" s="5" t="s">
        <v>102</v>
      </c>
      <c r="H1" s="3" t="s">
        <v>103</v>
      </c>
      <c r="I1" s="3" t="s">
        <v>104</v>
      </c>
      <c r="J1" s="3" t="s">
        <v>105</v>
      </c>
      <c r="K1" s="6" t="s">
        <v>106</v>
      </c>
      <c r="L1" s="6" t="s">
        <v>107</v>
      </c>
      <c r="M1" s="7" t="s">
        <v>108</v>
      </c>
      <c r="N1" s="7" t="s">
        <v>109</v>
      </c>
      <c r="O1" s="7" t="s">
        <v>110</v>
      </c>
      <c r="P1" s="8" t="s">
        <v>111</v>
      </c>
      <c r="Q1" s="4"/>
      <c r="R1" s="7" t="s">
        <v>112</v>
      </c>
      <c r="S1" s="7" t="s">
        <v>113</v>
      </c>
      <c r="T1" s="7" t="s">
        <v>114</v>
      </c>
      <c r="U1" s="7" t="s">
        <v>294</v>
      </c>
      <c r="V1" s="83" t="s">
        <v>197</v>
      </c>
      <c r="W1" s="9" t="s">
        <v>115</v>
      </c>
      <c r="X1" s="10" t="s">
        <v>116</v>
      </c>
      <c r="Y1" s="10" t="s">
        <v>117</v>
      </c>
      <c r="Z1" s="10" t="s">
        <v>118</v>
      </c>
      <c r="AA1" s="10" t="s">
        <v>119</v>
      </c>
      <c r="AB1" s="10" t="s">
        <v>120</v>
      </c>
      <c r="AC1" s="10" t="s">
        <v>121</v>
      </c>
      <c r="AD1" s="10" t="s">
        <v>122</v>
      </c>
      <c r="AE1" s="11" t="s">
        <v>123</v>
      </c>
      <c r="AF1" s="11" t="s">
        <v>124</v>
      </c>
      <c r="AG1" s="11" t="s">
        <v>125</v>
      </c>
      <c r="AH1" s="11" t="s">
        <v>126</v>
      </c>
      <c r="AI1" s="11" t="s">
        <v>127</v>
      </c>
      <c r="AJ1" s="11" t="s">
        <v>128</v>
      </c>
      <c r="AK1" s="11" t="s">
        <v>129</v>
      </c>
      <c r="AL1" s="11" t="s">
        <v>130</v>
      </c>
      <c r="AM1" s="11" t="s">
        <v>131</v>
      </c>
      <c r="AN1" s="12" t="s">
        <v>132</v>
      </c>
      <c r="AO1" s="13" t="s">
        <v>133</v>
      </c>
      <c r="AP1" s="13" t="s">
        <v>134</v>
      </c>
      <c r="AQ1" s="13" t="s">
        <v>135</v>
      </c>
      <c r="AR1" s="14" t="s">
        <v>136</v>
      </c>
      <c r="AS1" s="13" t="s">
        <v>137</v>
      </c>
      <c r="AT1" s="13" t="s">
        <v>138</v>
      </c>
      <c r="AU1" s="15" t="s">
        <v>139</v>
      </c>
      <c r="AV1" s="16" t="s">
        <v>140</v>
      </c>
      <c r="AW1" s="16" t="s">
        <v>141</v>
      </c>
      <c r="AX1" s="17" t="s">
        <v>142</v>
      </c>
      <c r="AY1" s="17" t="s">
        <v>143</v>
      </c>
      <c r="AZ1" s="18" t="s">
        <v>144</v>
      </c>
      <c r="BA1" s="19" t="s">
        <v>145</v>
      </c>
      <c r="BB1" s="19" t="s">
        <v>285</v>
      </c>
      <c r="BC1" s="19" t="s">
        <v>146</v>
      </c>
      <c r="BD1" s="20" t="s">
        <v>147</v>
      </c>
      <c r="BE1" s="21" t="s">
        <v>148</v>
      </c>
      <c r="BF1" s="4" t="s">
        <v>149</v>
      </c>
      <c r="BG1" s="82" t="s">
        <v>197</v>
      </c>
      <c r="BH1" s="4" t="s">
        <v>150</v>
      </c>
      <c r="BI1" s="4" t="s">
        <v>284</v>
      </c>
      <c r="BJ1" s="4" t="s">
        <v>235</v>
      </c>
      <c r="BK1" s="4" t="s">
        <v>291</v>
      </c>
      <c r="BL1" s="4" t="s">
        <v>292</v>
      </c>
      <c r="BM1" s="4" t="s">
        <v>296</v>
      </c>
      <c r="BN1" s="4" t="s">
        <v>295</v>
      </c>
      <c r="BO1" s="4" t="s">
        <v>292</v>
      </c>
      <c r="BP1" s="4" t="s">
        <v>286</v>
      </c>
      <c r="BQ1" s="4" t="s">
        <v>293</v>
      </c>
      <c r="BR1" s="10" t="s">
        <v>151</v>
      </c>
    </row>
    <row r="2" spans="1:71" ht="20.25" customHeight="1">
      <c r="A2" s="22" t="s">
        <v>152</v>
      </c>
      <c r="B2" s="23">
        <v>9.9499999999999993</v>
      </c>
      <c r="C2" s="22">
        <v>1</v>
      </c>
      <c r="D2" s="22">
        <v>12</v>
      </c>
      <c r="E2" s="22">
        <v>12</v>
      </c>
      <c r="F2" s="24">
        <f t="shared" ref="F2:F37" si="0">D2*1.6726219E-27</f>
        <v>2.0071462799999999E-26</v>
      </c>
      <c r="G2" s="24">
        <f t="shared" ref="G2:G41" si="1">E2*9.1093856E-31</f>
        <v>1.0931262719999999E-29</v>
      </c>
      <c r="H2" s="25">
        <f>((F2*D2)/(G2*E2))</f>
        <v>1836.1522647586683</v>
      </c>
      <c r="I2" s="25">
        <f>D2/E2</f>
        <v>1</v>
      </c>
      <c r="J2" s="26">
        <f>(F2)-(G2)</f>
        <v>2.0060531537279999E-26</v>
      </c>
      <c r="K2" s="27">
        <v>25.939</v>
      </c>
      <c r="L2" s="28">
        <f>0.115*EXP(27000/(8.3144598*N2))/1000</f>
        <v>2.0988673196732184E-3</v>
      </c>
      <c r="M2" s="29">
        <f>N2^-1</f>
        <v>8.9433439162902998E-4</v>
      </c>
      <c r="N2" s="27">
        <v>1118.1500000000001</v>
      </c>
      <c r="O2" s="30">
        <v>1.42E-5</v>
      </c>
      <c r="P2" s="30">
        <v>2.6800000000000001E-4</v>
      </c>
      <c r="R2" s="31">
        <v>7.5999999999999996E-11</v>
      </c>
      <c r="S2" s="31">
        <v>1.3300000000000001E-10</v>
      </c>
      <c r="T2" s="31">
        <f>S2+R2</f>
        <v>2.09E-10</v>
      </c>
      <c r="U2" s="31">
        <f>S2/R2</f>
        <v>1.7500000000000002</v>
      </c>
      <c r="V2" s="31">
        <f>T2*10000000000</f>
        <v>2.09</v>
      </c>
      <c r="W2" s="31">
        <v>1810000</v>
      </c>
      <c r="X2" s="32">
        <v>2547.8000000000002</v>
      </c>
      <c r="Y2" s="28">
        <v>0</v>
      </c>
      <c r="Z2" s="24">
        <v>2.3580999999999999</v>
      </c>
      <c r="AA2" s="24">
        <v>-4.9019999999999999E-4</v>
      </c>
      <c r="AB2" s="28">
        <v>1</v>
      </c>
      <c r="AC2" s="28">
        <v>1</v>
      </c>
      <c r="AD2" s="28">
        <f>AB2+AC2</f>
        <v>2</v>
      </c>
      <c r="AE2" s="33">
        <v>1.33125</v>
      </c>
      <c r="AF2" s="33">
        <f t="shared" ref="AF2:AF41" si="2">1/3*BC2*AV2*T2</f>
        <v>0.80248523098591562</v>
      </c>
      <c r="AG2" s="33">
        <f>ABS((AE2-AF2)/AE2)</f>
        <v>0.39719419268663619</v>
      </c>
      <c r="AH2" s="33">
        <f t="shared" ref="AH2:AH9" si="3">1/3*BC2*AV2*AP2</f>
        <v>0.72246877793114617</v>
      </c>
      <c r="AI2" s="33">
        <f>1/3*BC2*AV2*AQ2</f>
        <v>0.90368250947301099</v>
      </c>
      <c r="AJ2" s="33">
        <v>0.79448872327487496</v>
      </c>
      <c r="AK2" s="34">
        <f>(AE2-AJ2)/AE2</f>
        <v>0.40320095904234748</v>
      </c>
      <c r="AL2" s="34">
        <f t="shared" ref="AL2:AL41" si="4">AE2/(1/3*AV2*T2)</f>
        <v>7500138.0307092983</v>
      </c>
      <c r="AM2" s="34">
        <f t="shared" ref="AM2:AM41" si="5">AE2/(1/3*AV2*AR2)</f>
        <v>4521126.760563381</v>
      </c>
      <c r="AN2" s="35">
        <v>3801381451.0759559</v>
      </c>
      <c r="AO2" s="36">
        <f>AJ2/AN2</f>
        <v>2.0900000000000005E-10</v>
      </c>
      <c r="AP2" s="36">
        <v>1.8816044053807599E-10</v>
      </c>
      <c r="AQ2" s="36">
        <v>2.3535591333913802E-10</v>
      </c>
      <c r="AR2" s="37">
        <f t="shared" ref="AR2:AR41" si="6">AE2/(1/3*BC2*AV2)</f>
        <v>3.4671198827942447E-10</v>
      </c>
      <c r="AS2" s="36">
        <f>AE2/AN2</f>
        <v>3.5020163515113658E-10</v>
      </c>
      <c r="AT2" s="36">
        <f>(AS2-AO2)/AO2</f>
        <v>0.67560590981405022</v>
      </c>
      <c r="AU2" s="38">
        <f>AJ2/AV2</f>
        <v>3.1183323780315365E-4</v>
      </c>
      <c r="AV2" s="39">
        <f t="shared" ref="AV2:AV37" si="7">X2+Y2*N2</f>
        <v>2547.8000000000002</v>
      </c>
      <c r="AW2" s="39">
        <v>3500</v>
      </c>
      <c r="AX2" s="40">
        <f>AE2/AU2</f>
        <v>4269.1087370242376</v>
      </c>
      <c r="AY2" s="40">
        <f>(AX2-AV2)/AV2</f>
        <v>0.67560590981405033</v>
      </c>
      <c r="AZ2" s="41">
        <f t="shared" ref="AZ2:AZ41" si="8">AJ2/BA2</f>
        <v>1.2375213758175622E-2</v>
      </c>
      <c r="BA2" s="42">
        <v>64.2</v>
      </c>
      <c r="BB2" s="42">
        <f>BC2/1000000</f>
        <v>4.5211267605633809</v>
      </c>
      <c r="BC2" s="42">
        <f t="shared" ref="BC2:BC41" si="9">BA2/O2</f>
        <v>4521126.760563381</v>
      </c>
      <c r="BD2" s="43">
        <f>AE2/(AZ2)</f>
        <v>107.57389941006203</v>
      </c>
      <c r="BE2" s="44">
        <f>(BD2-BA2)/BA2</f>
        <v>0.67560590981405022</v>
      </c>
      <c r="BF2" s="45">
        <f t="shared" ref="BF2:BF41" si="10">AV2*BC2</f>
        <v>11518926760.563383</v>
      </c>
      <c r="BG2" s="45">
        <f>BF2*0.0000000001</f>
        <v>1.1518926760563384</v>
      </c>
      <c r="BH2" s="45">
        <f t="shared" ref="BH2:BH41" si="11">BF2*T2</f>
        <v>2.4074556929577473</v>
      </c>
      <c r="BI2">
        <v>5.083691</v>
      </c>
      <c r="BJ2">
        <v>-6.5464268762555351E-5</v>
      </c>
      <c r="BK2">
        <v>0.87109135993301767</v>
      </c>
      <c r="BL2">
        <f>SQRT(BK2)/BI2</f>
        <v>0.18359155823693674</v>
      </c>
      <c r="BM2">
        <f>SQRT(1/BI2)</f>
        <v>0.44351715976809863</v>
      </c>
      <c r="BN2">
        <v>1.8399999999999998E-10</v>
      </c>
      <c r="BO2">
        <f>BN2*SQRT(BK2/BI2)</f>
        <v>7.6165816748238807E-11</v>
      </c>
      <c r="BP2">
        <f>SQRT(ABS(BJ2))/BI2</f>
        <v>1.5915599991741989E-3</v>
      </c>
      <c r="BQ2">
        <f>AV2^(2/3)*O2</f>
        <v>2.6488979866403852E-3</v>
      </c>
      <c r="BR2" s="24">
        <f t="shared" ref="BR2:BR9" si="12">L2/(W2/1000*(X2+Y2*N2))</f>
        <v>4.5513588360128237E-10</v>
      </c>
      <c r="BS2" s="24"/>
    </row>
    <row r="3" spans="1:71" ht="20.25" customHeight="1">
      <c r="A3" s="22" t="s">
        <v>153</v>
      </c>
      <c r="B3" s="23">
        <v>6.9</v>
      </c>
      <c r="C3" s="22">
        <v>1</v>
      </c>
      <c r="D3" s="22">
        <v>20</v>
      </c>
      <c r="E3" s="22">
        <v>20</v>
      </c>
      <c r="F3" s="24">
        <f t="shared" si="0"/>
        <v>3.3452438000000001E-26</v>
      </c>
      <c r="G3" s="24">
        <f t="shared" si="1"/>
        <v>1.82187712E-29</v>
      </c>
      <c r="H3" s="25">
        <f t="shared" ref="H3:H41" si="13">((F3*D3)/(G3*E3))</f>
        <v>1836.1522647586683</v>
      </c>
      <c r="I3" s="25">
        <f t="shared" ref="I3:I41" si="14">D3/E3</f>
        <v>1</v>
      </c>
      <c r="J3" s="26">
        <f t="shared" ref="J3:J41" si="15">(F3)-(G3)</f>
        <v>3.3434219228800004E-26</v>
      </c>
      <c r="K3" s="27">
        <v>41.988</v>
      </c>
      <c r="L3" s="28">
        <f>0.12*EXP(26500/(8.3144598*N3))/1000</f>
        <v>1.4814456494713717E-3</v>
      </c>
      <c r="M3" s="29">
        <f t="shared" ref="M3:M41" si="16">N3^-1</f>
        <v>7.885502503647044E-4</v>
      </c>
      <c r="N3" s="27">
        <v>1268.1500000000001</v>
      </c>
      <c r="O3" s="30">
        <v>2.16E-5</v>
      </c>
      <c r="P3" s="30">
        <v>2.8800000000000001E-4</v>
      </c>
      <c r="R3" s="31">
        <v>1.02E-10</v>
      </c>
      <c r="S3" s="31">
        <v>1.3300000000000001E-10</v>
      </c>
      <c r="T3" s="31">
        <f t="shared" ref="T3:T22" si="17">S3+R3</f>
        <v>2.3500000000000002E-10</v>
      </c>
      <c r="U3" s="31">
        <f t="shared" ref="U3:U22" si="18">S3/R3</f>
        <v>1.303921568627451</v>
      </c>
      <c r="V3" s="31">
        <f t="shared" ref="V3:V41" si="19">T3*10000000000</f>
        <v>2.35</v>
      </c>
      <c r="W3" s="31">
        <v>1950000</v>
      </c>
      <c r="X3" s="32">
        <v>2085.5</v>
      </c>
      <c r="Y3" s="28">
        <v>0</v>
      </c>
      <c r="Z3" s="24">
        <v>2.7549999999999999</v>
      </c>
      <c r="AA3" s="28">
        <v>-6.3599999999999996E-4</v>
      </c>
      <c r="AB3" s="28">
        <v>1</v>
      </c>
      <c r="AC3" s="28">
        <v>1</v>
      </c>
      <c r="AD3" s="28">
        <f t="shared" ref="AD3:AD40" si="20">AB3+AC3</f>
        <v>2</v>
      </c>
      <c r="AE3" s="46">
        <v>0.82789999999999997</v>
      </c>
      <c r="AF3" s="33">
        <f t="shared" si="2"/>
        <v>0.53093354166666662</v>
      </c>
      <c r="AG3" s="33">
        <f t="shared" ref="AG3:AG41" si="21">ABS((AE3-AF3)/AE3)</f>
        <v>0.3586984639851834</v>
      </c>
      <c r="AH3" s="33">
        <f t="shared" si="3"/>
        <v>0.49109756053584946</v>
      </c>
      <c r="AI3" s="33">
        <f>1/3*BC3*AV3*AQ3</f>
        <v>0.59812175800891498</v>
      </c>
      <c r="AJ3" s="46">
        <v>0.53220717521206062</v>
      </c>
      <c r="AK3" s="47">
        <f>(AE3-AJ3)/AE3</f>
        <v>0.35716007342425338</v>
      </c>
      <c r="AL3" s="34">
        <f t="shared" si="4"/>
        <v>5067818.8301188033</v>
      </c>
      <c r="AM3" s="34">
        <f t="shared" si="5"/>
        <v>3250000</v>
      </c>
      <c r="AN3" s="48">
        <v>2264711383.8811092</v>
      </c>
      <c r="AO3" s="49">
        <f>AJ3/AN3</f>
        <v>2.3499999999999996E-10</v>
      </c>
      <c r="AP3" s="49">
        <v>2.1736793340206901E-10</v>
      </c>
      <c r="AQ3" s="49">
        <v>2.6473861999915091E-10</v>
      </c>
      <c r="AR3" s="37">
        <f t="shared" si="6"/>
        <v>3.6644228463935967E-10</v>
      </c>
      <c r="AS3" s="49">
        <f>AE3/AN3</f>
        <v>3.6556534571800534E-10</v>
      </c>
      <c r="AT3" s="49">
        <f>(AS3-AO3)/AO3</f>
        <v>0.55559721582129951</v>
      </c>
      <c r="AU3" s="50">
        <f>AJ3/AV3</f>
        <v>2.5519404229779941E-4</v>
      </c>
      <c r="AV3" s="51">
        <f t="shared" si="7"/>
        <v>2085.5</v>
      </c>
      <c r="AW3" s="51">
        <v>2720</v>
      </c>
      <c r="AX3" s="52">
        <f>AE3/AU3</f>
        <v>3244.1979935953195</v>
      </c>
      <c r="AY3" s="52">
        <f t="shared" ref="AY3:AY41" si="22">(AX3-AV3)/AV3</f>
        <v>0.55559721582129917</v>
      </c>
      <c r="AZ3" s="53">
        <f t="shared" si="8"/>
        <v>7.5812987921945957E-3</v>
      </c>
      <c r="BA3" s="54">
        <v>70.2</v>
      </c>
      <c r="BB3" s="42">
        <f t="shared" ref="BB3:BB41" si="23">BC3/1000000</f>
        <v>3.25</v>
      </c>
      <c r="BC3" s="42">
        <f t="shared" si="9"/>
        <v>3250000</v>
      </c>
      <c r="BD3" s="55">
        <f>AE3/(AZ3)</f>
        <v>109.20292455065521</v>
      </c>
      <c r="BE3" s="56">
        <f>(BD3-BA3)/BA3</f>
        <v>0.55559721582129928</v>
      </c>
      <c r="BF3" s="45">
        <f t="shared" si="10"/>
        <v>6777875000</v>
      </c>
      <c r="BG3" s="45">
        <f t="shared" ref="BG3:BG41" si="24">BF3*0.0000000001</f>
        <v>0.67778749999999999</v>
      </c>
      <c r="BH3" s="45">
        <f t="shared" si="11"/>
        <v>1.5928006250000002</v>
      </c>
      <c r="BI3">
        <v>10.402189</v>
      </c>
      <c r="BJ3">
        <v>-6.4235936444315676E-4</v>
      </c>
      <c r="BK3">
        <v>0.88236536112326003</v>
      </c>
      <c r="BL3">
        <f>SQRT(BK3)/BI3</f>
        <v>9.0302439960087036E-2</v>
      </c>
      <c r="BM3">
        <f t="shared" ref="BM3:BM40" si="25">SQRT(1/BI3)</f>
        <v>0.31005420796575117</v>
      </c>
      <c r="BN3">
        <v>2.1399999999999998E-10</v>
      </c>
      <c r="BO3">
        <f>BN3*SQRT(BK3/BI3)</f>
        <v>6.2326914632918805E-11</v>
      </c>
      <c r="BP3">
        <f t="shared" ref="BP3:BP22" si="26">SQRT(ABS(BJ3))/BI3</f>
        <v>2.4364880717093313E-3</v>
      </c>
      <c r="BQ3">
        <f t="shared" ref="BQ3:BQ22" si="27">AV3^(2/3)*O3</f>
        <v>3.5258233312235833E-3</v>
      </c>
      <c r="BR3" s="24">
        <f t="shared" si="12"/>
        <v>3.6428468840931505E-10</v>
      </c>
      <c r="BS3" s="24"/>
    </row>
    <row r="4" spans="1:71" ht="20.25" customHeight="1">
      <c r="A4" s="22" t="s">
        <v>154</v>
      </c>
      <c r="B4" s="57">
        <v>5.0999999999999996</v>
      </c>
      <c r="C4" s="22">
        <v>1</v>
      </c>
      <c r="D4" s="22">
        <v>28</v>
      </c>
      <c r="E4" s="22">
        <v>28</v>
      </c>
      <c r="F4" s="24">
        <f t="shared" si="0"/>
        <v>4.6833413199999998E-26</v>
      </c>
      <c r="G4" s="24">
        <f t="shared" si="1"/>
        <v>2.5506279679999997E-29</v>
      </c>
      <c r="H4" s="25">
        <f t="shared" si="13"/>
        <v>1836.1522647586683</v>
      </c>
      <c r="I4" s="25">
        <f t="shared" si="14"/>
        <v>1</v>
      </c>
      <c r="J4" s="26">
        <f t="shared" si="15"/>
        <v>4.680790692032E-26</v>
      </c>
      <c r="K4" s="27">
        <v>58.097000000000001</v>
      </c>
      <c r="L4" s="28">
        <f>0.107*EXP(23800/(8.3144598*N4))/1000</f>
        <v>1.3500630387524655E-3</v>
      </c>
      <c r="M4" s="29">
        <f t="shared" si="16"/>
        <v>8.856219279989372E-4</v>
      </c>
      <c r="N4" s="27">
        <v>1129.1500000000001</v>
      </c>
      <c r="O4" s="30">
        <v>3.04E-5</v>
      </c>
      <c r="P4" s="30">
        <v>3.4099999999999999E-4</v>
      </c>
      <c r="R4" s="31">
        <v>1.3799999999999999E-10</v>
      </c>
      <c r="S4" s="31">
        <v>1.3300000000000001E-10</v>
      </c>
      <c r="T4" s="31">
        <f t="shared" si="17"/>
        <v>2.7099999999999999E-10</v>
      </c>
      <c r="U4" s="31">
        <f t="shared" si="18"/>
        <v>0.96376811594202916</v>
      </c>
      <c r="V4" s="31">
        <f t="shared" si="19"/>
        <v>2.71</v>
      </c>
      <c r="W4" s="31">
        <v>1910000</v>
      </c>
      <c r="X4" s="32">
        <v>1816.4</v>
      </c>
      <c r="Y4" s="28">
        <v>0</v>
      </c>
      <c r="Z4" s="28">
        <v>2.6463999999999999</v>
      </c>
      <c r="AA4" s="28">
        <v>-6.5149999999999995E-4</v>
      </c>
      <c r="AB4" s="28">
        <v>1</v>
      </c>
      <c r="AC4" s="28">
        <v>1</v>
      </c>
      <c r="AD4" s="28">
        <f t="shared" si="20"/>
        <v>2</v>
      </c>
      <c r="AE4" s="46">
        <v>0.56999999999999995</v>
      </c>
      <c r="AF4" s="33">
        <f t="shared" si="2"/>
        <v>0.36108717500000004</v>
      </c>
      <c r="AG4" s="33">
        <f t="shared" si="21"/>
        <v>0.36651372807017529</v>
      </c>
      <c r="AH4" s="33">
        <f t="shared" si="3"/>
        <v>0.32961603483108115</v>
      </c>
      <c r="AI4" s="33">
        <f>1/3*BC4*AV4*AQ4</f>
        <v>0.40376310518547792</v>
      </c>
      <c r="AJ4" s="46">
        <v>0.3607730892591835</v>
      </c>
      <c r="AK4" s="47">
        <f>(AE4-AJ4)/AE4</f>
        <v>0.36706475568564295</v>
      </c>
      <c r="AL4" s="34">
        <f t="shared" si="4"/>
        <v>3473884.1112260493</v>
      </c>
      <c r="AM4" s="34">
        <f t="shared" si="5"/>
        <v>2200657.8947368423</v>
      </c>
      <c r="AN4" s="48">
        <v>1331266012.0265069</v>
      </c>
      <c r="AO4" s="49">
        <f>AJ4/AN4</f>
        <v>2.710000000000001E-10</v>
      </c>
      <c r="AP4" s="49">
        <v>2.4738055412580903E-10</v>
      </c>
      <c r="AQ4" s="49">
        <v>3.0302876723678847E-10</v>
      </c>
      <c r="AR4" s="37">
        <f t="shared" si="6"/>
        <v>4.277914329136723E-10</v>
      </c>
      <c r="AS4" s="49">
        <f>AE4/AN4</f>
        <v>4.2816386420947E-10</v>
      </c>
      <c r="AT4" s="49">
        <f>(AS4-AO4)/AO4</f>
        <v>0.57994045833752716</v>
      </c>
      <c r="AU4" s="50">
        <f>AJ4/AV4</f>
        <v>1.9861984654216225E-4</v>
      </c>
      <c r="AV4" s="51">
        <f t="shared" si="7"/>
        <v>1816.4</v>
      </c>
      <c r="AW4" s="51">
        <v>2360</v>
      </c>
      <c r="AX4" s="52">
        <f>AE4/AU4</f>
        <v>2869.8038485242841</v>
      </c>
      <c r="AY4" s="52">
        <f t="shared" si="22"/>
        <v>0.57994045833752694</v>
      </c>
      <c r="AZ4" s="53">
        <f t="shared" si="8"/>
        <v>5.3927218125438487E-3</v>
      </c>
      <c r="BA4" s="54">
        <v>66.900000000000006</v>
      </c>
      <c r="BB4" s="42">
        <f t="shared" si="23"/>
        <v>2.200657894736842</v>
      </c>
      <c r="BC4" s="42">
        <f t="shared" si="9"/>
        <v>2200657.8947368423</v>
      </c>
      <c r="BD4" s="55">
        <f>AE4/(AZ4)</f>
        <v>105.69801666278057</v>
      </c>
      <c r="BE4" s="56">
        <f>(BD4-BA4)/BA4</f>
        <v>0.57994045833752716</v>
      </c>
      <c r="BF4" s="45">
        <f t="shared" si="10"/>
        <v>3997275000.0000005</v>
      </c>
      <c r="BG4" s="45">
        <f t="shared" si="24"/>
        <v>0.39972750000000007</v>
      </c>
      <c r="BH4" s="45">
        <f t="shared" si="11"/>
        <v>1.0832615250000002</v>
      </c>
      <c r="BI4">
        <v>12.78567</v>
      </c>
      <c r="BJ4">
        <v>-1.3975067443463746E-3</v>
      </c>
      <c r="BK4">
        <v>0.88025103225420376</v>
      </c>
      <c r="BL4">
        <f>SQRT(BK4)/BI4</f>
        <v>7.3380350272217579E-2</v>
      </c>
      <c r="BM4">
        <f t="shared" si="25"/>
        <v>0.27966508792953987</v>
      </c>
      <c r="BN4">
        <v>2.4399999999999998E-10</v>
      </c>
      <c r="BO4">
        <f>BN4*SQRT(BK4/BI4)</f>
        <v>6.4022311826537711E-11</v>
      </c>
      <c r="BP4">
        <f t="shared" si="26"/>
        <v>2.9238390706646461E-3</v>
      </c>
      <c r="BQ4">
        <f t="shared" si="27"/>
        <v>4.5256529371538283E-3</v>
      </c>
      <c r="BR4" s="24">
        <f t="shared" si="12"/>
        <v>3.8914296812648964E-10</v>
      </c>
      <c r="BS4" s="24"/>
    </row>
    <row r="5" spans="1:71" ht="20.25" customHeight="1">
      <c r="A5" s="22" t="s">
        <v>155</v>
      </c>
      <c r="B5" s="57"/>
      <c r="C5" s="22">
        <v>1</v>
      </c>
      <c r="D5" s="22">
        <v>46</v>
      </c>
      <c r="E5" s="22">
        <v>46</v>
      </c>
      <c r="F5" s="24">
        <f t="shared" si="0"/>
        <v>7.6940607399999996E-26</v>
      </c>
      <c r="G5" s="24">
        <f t="shared" si="1"/>
        <v>4.1903173759999999E-29</v>
      </c>
      <c r="H5" s="25">
        <f t="shared" si="13"/>
        <v>1836.1522647586683</v>
      </c>
      <c r="I5" s="25">
        <f t="shared" si="14"/>
        <v>1</v>
      </c>
      <c r="J5" s="26">
        <f t="shared" si="15"/>
        <v>7.689870422624E-26</v>
      </c>
      <c r="K5" s="58">
        <v>104.4662</v>
      </c>
      <c r="L5" s="28">
        <f>0.115*EXP(27000/(8.3144598*N5))/1000</f>
        <v>2.5481160758264749E-3</v>
      </c>
      <c r="M5" s="29">
        <f t="shared" si="16"/>
        <v>9.5406191861851825E-4</v>
      </c>
      <c r="N5" s="28">
        <v>1048.1500000000001</v>
      </c>
      <c r="O5" s="30">
        <v>3.57E-5</v>
      </c>
      <c r="P5" s="30">
        <v>3.4900000000000003E-4</v>
      </c>
      <c r="R5" s="31">
        <v>1.5199999999999999E-10</v>
      </c>
      <c r="S5" s="31">
        <v>1.3300000000000001E-10</v>
      </c>
      <c r="T5" s="31">
        <f t="shared" si="17"/>
        <v>2.85E-10</v>
      </c>
      <c r="U5" s="31">
        <f t="shared" si="18"/>
        <v>0.87500000000000011</v>
      </c>
      <c r="V5" s="31">
        <f t="shared" si="19"/>
        <v>2.85</v>
      </c>
      <c r="W5" s="31">
        <f>K5/O5</f>
        <v>2926224.0896358541</v>
      </c>
      <c r="X5" s="32">
        <v>1760.4</v>
      </c>
      <c r="Y5" s="28">
        <v>0</v>
      </c>
      <c r="Z5" s="31">
        <f>W5*100^3/1000</f>
        <v>2926224089.6358538</v>
      </c>
      <c r="AA5" s="28">
        <v>0</v>
      </c>
      <c r="AE5" s="46">
        <v>0.48965000000000003</v>
      </c>
      <c r="AF5" s="33">
        <f t="shared" si="2"/>
        <v>0.32557537815126053</v>
      </c>
      <c r="AG5" s="33">
        <f t="shared" si="21"/>
        <v>0.33508551383383944</v>
      </c>
      <c r="AH5" s="33">
        <f t="shared" si="3"/>
        <v>0.29579640687862813</v>
      </c>
      <c r="AI5" s="33"/>
      <c r="AJ5" s="46"/>
      <c r="AK5" s="47"/>
      <c r="AL5" s="34">
        <f t="shared" si="4"/>
        <v>2927863.2846601852</v>
      </c>
      <c r="AM5" s="34">
        <f t="shared" si="5"/>
        <v>1946778.7114845938</v>
      </c>
      <c r="AN5" s="48"/>
      <c r="AO5" s="49"/>
      <c r="AP5" s="49">
        <v>2.5893228302185304E-10</v>
      </c>
      <c r="AQ5" s="49"/>
      <c r="AR5" s="37">
        <f t="shared" si="6"/>
        <v>4.2862654661546839E-10</v>
      </c>
      <c r="AS5" s="49">
        <v>2.5893228302185304E-10</v>
      </c>
      <c r="AT5" s="49"/>
      <c r="AU5" s="50"/>
      <c r="AV5" s="51">
        <f t="shared" si="7"/>
        <v>1760.4</v>
      </c>
      <c r="AW5" s="51"/>
      <c r="AX5" s="52"/>
      <c r="AY5" s="52"/>
      <c r="AZ5" s="53">
        <f t="shared" si="8"/>
        <v>0</v>
      </c>
      <c r="BA5" s="54">
        <v>69.5</v>
      </c>
      <c r="BB5" s="42">
        <f t="shared" si="23"/>
        <v>1.9467787114845938</v>
      </c>
      <c r="BC5" s="42">
        <f t="shared" si="9"/>
        <v>1946778.7114845938</v>
      </c>
      <c r="BD5" s="55"/>
      <c r="BE5" s="56"/>
      <c r="BF5" s="45">
        <f t="shared" si="10"/>
        <v>3427109243.6974792</v>
      </c>
      <c r="BG5" s="45">
        <f t="shared" si="24"/>
        <v>0.34271092436974793</v>
      </c>
      <c r="BH5" s="45">
        <f t="shared" si="11"/>
        <v>0.97672613445378154</v>
      </c>
      <c r="BI5">
        <v>15.543321000000001</v>
      </c>
      <c r="BJ5">
        <v>-1.8393987211277479E-3</v>
      </c>
      <c r="BK5"/>
      <c r="BL5"/>
      <c r="BM5">
        <f t="shared" si="25"/>
        <v>0.25364604325163281</v>
      </c>
      <c r="BN5">
        <v>2.5599999999999999E-10</v>
      </c>
      <c r="BO5" s="45">
        <f>T5*SQRT(0.9/BI5)</f>
        <v>6.8579482982085351E-11</v>
      </c>
      <c r="BP5">
        <f t="shared" si="26"/>
        <v>2.7592695224777789E-3</v>
      </c>
      <c r="BQ5">
        <f t="shared" si="27"/>
        <v>5.2048608428600122E-3</v>
      </c>
      <c r="BR5" s="24">
        <f t="shared" si="12"/>
        <v>4.94652566383765E-10</v>
      </c>
      <c r="BS5" s="24"/>
    </row>
    <row r="6" spans="1:71" ht="20.25" customHeight="1">
      <c r="A6" s="22" t="s">
        <v>156</v>
      </c>
      <c r="B6" s="57"/>
      <c r="C6" s="22">
        <v>1</v>
      </c>
      <c r="D6" s="22">
        <v>64</v>
      </c>
      <c r="E6" s="22">
        <v>64</v>
      </c>
      <c r="F6" s="24">
        <f t="shared" si="0"/>
        <v>1.070478016E-25</v>
      </c>
      <c r="G6" s="24">
        <f t="shared" si="1"/>
        <v>5.8300067839999996E-29</v>
      </c>
      <c r="H6" s="25">
        <f t="shared" si="13"/>
        <v>1836.1522647586685</v>
      </c>
      <c r="I6" s="25">
        <f t="shared" si="14"/>
        <v>1</v>
      </c>
      <c r="J6" s="26">
        <f t="shared" si="15"/>
        <v>1.0698950153215999E-25</v>
      </c>
      <c r="K6" s="27">
        <v>58.44</v>
      </c>
      <c r="L6" s="28">
        <f>0.115*EXP(27000/(8.3144598*N6))/1000</f>
        <v>3.4453112314492135E-3</v>
      </c>
      <c r="M6" s="29">
        <f t="shared" si="16"/>
        <v>1.0469559755012302E-3</v>
      </c>
      <c r="N6" s="27">
        <v>955.15</v>
      </c>
      <c r="O6" s="30">
        <v>4.57E-5</v>
      </c>
      <c r="P6" s="30">
        <v>3.8499999999999998E-4</v>
      </c>
      <c r="R6" s="31">
        <v>1.6699999999999999E-10</v>
      </c>
      <c r="S6" s="31">
        <v>1.3300000000000001E-10</v>
      </c>
      <c r="T6" s="31">
        <f t="shared" si="17"/>
        <v>3E-10</v>
      </c>
      <c r="U6" s="31">
        <f t="shared" si="18"/>
        <v>0.79640718562874258</v>
      </c>
      <c r="V6" s="31">
        <f t="shared" si="19"/>
        <v>3</v>
      </c>
      <c r="W6" s="31">
        <v>2196977.25</v>
      </c>
      <c r="X6" s="28">
        <v>2732.9322499999998</v>
      </c>
      <c r="Y6" s="28">
        <v>-0.91500000000000004</v>
      </c>
      <c r="Z6" s="28">
        <v>4.8985000000000003</v>
      </c>
      <c r="AA6" s="28">
        <v>-5.4299999999999997E-4</v>
      </c>
      <c r="AE6" s="46">
        <v>0.36715000000000003</v>
      </c>
      <c r="AF6" s="33">
        <f t="shared" si="2"/>
        <v>0.301421612691466</v>
      </c>
      <c r="AG6" s="33">
        <f t="shared" si="21"/>
        <v>0.17902325291715654</v>
      </c>
      <c r="AH6" s="33">
        <f t="shared" si="3"/>
        <v>0.28095436645910149</v>
      </c>
      <c r="AI6" s="33"/>
      <c r="AJ6" s="46"/>
      <c r="AK6" s="47"/>
      <c r="AL6" s="34">
        <f t="shared" si="4"/>
        <v>1975018.424181133</v>
      </c>
      <c r="AM6" s="34">
        <f t="shared" si="5"/>
        <v>1621444.2013129101</v>
      </c>
      <c r="AN6" s="48"/>
      <c r="AO6" s="49"/>
      <c r="AP6" s="49">
        <v>2.7962928465917803E-10</v>
      </c>
      <c r="AQ6" s="49"/>
      <c r="AR6" s="37">
        <f t="shared" si="6"/>
        <v>3.6541838860355382E-10</v>
      </c>
      <c r="AS6" s="49">
        <v>2.7962928465917803E-10</v>
      </c>
      <c r="AT6" s="49"/>
      <c r="AU6" s="50"/>
      <c r="AV6" s="51">
        <f t="shared" si="7"/>
        <v>1858.9699999999998</v>
      </c>
      <c r="AW6" s="51"/>
      <c r="AX6" s="52"/>
      <c r="AY6" s="52"/>
      <c r="AZ6" s="53">
        <f t="shared" si="8"/>
        <v>0</v>
      </c>
      <c r="BA6" s="54">
        <v>74.099999999999994</v>
      </c>
      <c r="BB6" s="42">
        <f t="shared" si="23"/>
        <v>1.62144420131291</v>
      </c>
      <c r="BC6" s="42">
        <f t="shared" si="9"/>
        <v>1621444.2013129101</v>
      </c>
      <c r="BD6" s="55"/>
      <c r="BE6" s="56"/>
      <c r="BF6" s="45">
        <f t="shared" si="10"/>
        <v>3014216126.91466</v>
      </c>
      <c r="BG6" s="45">
        <f t="shared" si="24"/>
        <v>0.301421612691466</v>
      </c>
      <c r="BH6" s="45">
        <f t="shared" si="11"/>
        <v>0.90426483807439795</v>
      </c>
      <c r="BI6">
        <v>16.622299000000002</v>
      </c>
      <c r="BJ6">
        <v>-2.9196880729902793E-3</v>
      </c>
      <c r="BK6"/>
      <c r="BL6"/>
      <c r="BM6">
        <f t="shared" si="25"/>
        <v>0.24527566110138047</v>
      </c>
      <c r="BN6">
        <v>2.7599999999999998E-10</v>
      </c>
      <c r="BO6" s="45">
        <f>T6*SQRT(0.9/BI6)</f>
        <v>6.9806676931553328E-11</v>
      </c>
      <c r="BP6">
        <f t="shared" si="26"/>
        <v>3.2507018453460713E-3</v>
      </c>
      <c r="BQ6">
        <f t="shared" si="27"/>
        <v>6.9092533991300187E-3</v>
      </c>
      <c r="BR6" s="24">
        <f t="shared" si="12"/>
        <v>8.4358824408450485E-10</v>
      </c>
      <c r="BS6" s="24"/>
    </row>
    <row r="7" spans="1:71" ht="20.25" customHeight="1">
      <c r="A7" s="22" t="s">
        <v>157</v>
      </c>
      <c r="B7" s="57">
        <v>3.67</v>
      </c>
      <c r="C7" s="22">
        <v>1</v>
      </c>
      <c r="D7" s="22">
        <v>20</v>
      </c>
      <c r="E7" s="22">
        <v>20</v>
      </c>
      <c r="F7" s="24">
        <f t="shared" si="0"/>
        <v>3.3452438000000001E-26</v>
      </c>
      <c r="G7" s="24">
        <f t="shared" si="1"/>
        <v>1.82187712E-29</v>
      </c>
      <c r="H7" s="25">
        <f t="shared" si="13"/>
        <v>1836.1522647586683</v>
      </c>
      <c r="I7" s="25">
        <f t="shared" si="14"/>
        <v>1</v>
      </c>
      <c r="J7" s="26">
        <f t="shared" si="15"/>
        <v>3.3434219228800004E-26</v>
      </c>
      <c r="K7" s="27">
        <v>42.393999999999998</v>
      </c>
      <c r="L7" s="28">
        <f>0.0726*EXP(22400/(8.3144598*N7))/1000</f>
        <v>1.5609788980515524E-3</v>
      </c>
      <c r="M7" s="29">
        <f t="shared" si="16"/>
        <v>1.1388224575788635E-3</v>
      </c>
      <c r="N7" s="27">
        <v>878.1</v>
      </c>
      <c r="O7" s="30">
        <f>K7/W7</f>
        <v>2.828152101400934E-5</v>
      </c>
      <c r="P7" s="30">
        <v>2.8800000000000001E-4</v>
      </c>
      <c r="R7" s="31">
        <v>7.5999999999999996E-11</v>
      </c>
      <c r="S7" s="31">
        <v>1.81E-10</v>
      </c>
      <c r="T7" s="31">
        <f t="shared" si="17"/>
        <v>2.5699999999999999E-10</v>
      </c>
      <c r="U7" s="31">
        <f t="shared" si="18"/>
        <v>2.3815789473684212</v>
      </c>
      <c r="V7" s="31">
        <f t="shared" si="19"/>
        <v>2.57</v>
      </c>
      <c r="W7" s="31">
        <v>1499000</v>
      </c>
      <c r="X7" s="28">
        <v>2787.9043499999998</v>
      </c>
      <c r="Y7" s="28">
        <v>-0.84899999999999998</v>
      </c>
      <c r="Z7" s="28">
        <v>1.8842000000000001</v>
      </c>
      <c r="AA7" s="28">
        <v>-4.328E-4</v>
      </c>
      <c r="AB7" s="28">
        <v>1</v>
      </c>
      <c r="AC7" s="28">
        <v>1</v>
      </c>
      <c r="AD7" s="28">
        <f t="shared" si="20"/>
        <v>2</v>
      </c>
      <c r="AE7" s="46">
        <v>0.61260000000000003</v>
      </c>
      <c r="AF7" s="33">
        <f t="shared" si="2"/>
        <v>0.40225025742942672</v>
      </c>
      <c r="AG7" s="33">
        <f t="shared" si="21"/>
        <v>0.34337209038617911</v>
      </c>
      <c r="AH7" s="33">
        <f t="shared" si="3"/>
        <v>0.37226977205251366</v>
      </c>
      <c r="AI7" s="59">
        <f>1/3*BC7*AV7*AQ7</f>
        <v>0.467412663978306</v>
      </c>
      <c r="AJ7" s="46">
        <v>0.40224439226966308</v>
      </c>
      <c r="AK7" s="47">
        <f t="shared" ref="AK7:AK14" si="28">(AE7-AJ7)/AE7</f>
        <v>0.34338166459408576</v>
      </c>
      <c r="AL7" s="34">
        <f t="shared" si="4"/>
        <v>3501264.0476249694</v>
      </c>
      <c r="AM7" s="34">
        <f t="shared" si="5"/>
        <v>2299027.692598009</v>
      </c>
      <c r="AN7" s="48">
        <v>1565153277.313864</v>
      </c>
      <c r="AO7" s="49">
        <f t="shared" ref="AO7:AO14" si="29">AJ7/AN7</f>
        <v>2.5700000000000004E-10</v>
      </c>
      <c r="AP7" s="49">
        <v>2.3784529568456903E-10</v>
      </c>
      <c r="AQ7" s="49">
        <v>2.9863263583740558E-10</v>
      </c>
      <c r="AR7" s="37">
        <f t="shared" si="6"/>
        <v>3.9139365877875649E-10</v>
      </c>
      <c r="AS7" s="49">
        <f t="shared" ref="AS7:AS14" si="30">AE7/AN7</f>
        <v>3.9139936572305044E-10</v>
      </c>
      <c r="AT7" s="49">
        <f t="shared" ref="AT7:AT14" si="31">(AS7-AO7)/AO7</f>
        <v>0.52295473043988472</v>
      </c>
      <c r="AU7" s="50">
        <f t="shared" ref="AU7:AU14" si="32">AJ7/AV7</f>
        <v>1.969471672957989E-4</v>
      </c>
      <c r="AV7" s="51">
        <f t="shared" si="7"/>
        <v>2042.3974499999999</v>
      </c>
      <c r="AW7" s="51">
        <v>3500</v>
      </c>
      <c r="AX7" s="52">
        <f t="shared" ref="AX7:AX14" si="33">AE7/AU7</f>
        <v>3110.478857915858</v>
      </c>
      <c r="AY7" s="52">
        <f t="shared" si="22"/>
        <v>0.52295473043988483</v>
      </c>
      <c r="AZ7" s="53">
        <f t="shared" si="8"/>
        <v>6.1864717359222257E-3</v>
      </c>
      <c r="BA7" s="54">
        <v>65.02</v>
      </c>
      <c r="BB7" s="42">
        <f t="shared" si="23"/>
        <v>2.2990276925980089</v>
      </c>
      <c r="BC7" s="42">
        <f t="shared" si="9"/>
        <v>2299027.692598009</v>
      </c>
      <c r="BD7" s="55">
        <f t="shared" ref="BD7:BD14" si="34">AE7/(AZ7)</f>
        <v>99.022516573201301</v>
      </c>
      <c r="BE7" s="56">
        <f t="shared" ref="BE7:BE14" si="35">(BD7-BA7)/BA7</f>
        <v>0.52295473043988472</v>
      </c>
      <c r="BF7" s="45">
        <f t="shared" si="10"/>
        <v>4695528296.8415575</v>
      </c>
      <c r="BG7" s="45">
        <f t="shared" si="24"/>
        <v>0.46955282968415579</v>
      </c>
      <c r="BH7" s="45">
        <f t="shared" si="11"/>
        <v>1.2067507722882802</v>
      </c>
      <c r="BI7">
        <v>5.8044969999999996</v>
      </c>
      <c r="BJ7">
        <v>-4.4547220629326256E-4</v>
      </c>
      <c r="BK7">
        <v>0.8885485145267803</v>
      </c>
      <c r="BL7">
        <f>SQRT(BK7)/BI7</f>
        <v>0.16239624441768419</v>
      </c>
      <c r="BM7">
        <f t="shared" si="25"/>
        <v>0.4150665206068388</v>
      </c>
      <c r="BN7">
        <v>2.3600000000000001E-10</v>
      </c>
      <c r="BO7">
        <f t="shared" ref="BO7:BO16" si="36">BN7*SQRT(BK7/BI7)</f>
        <v>9.233583481158756E-11</v>
      </c>
      <c r="BP7">
        <f t="shared" si="26"/>
        <v>3.6361828604085907E-3</v>
      </c>
      <c r="BQ7">
        <f t="shared" si="27"/>
        <v>4.5526360777696315E-3</v>
      </c>
      <c r="BR7" s="24">
        <f t="shared" si="12"/>
        <v>5.0986492855295244E-10</v>
      </c>
      <c r="BS7" s="24"/>
    </row>
    <row r="8" spans="1:71" ht="20.25" customHeight="1">
      <c r="A8" s="22" t="s">
        <v>158</v>
      </c>
      <c r="B8" s="57">
        <v>3.94</v>
      </c>
      <c r="C8" s="22">
        <v>1</v>
      </c>
      <c r="D8" s="22">
        <v>28</v>
      </c>
      <c r="E8" s="22">
        <v>28</v>
      </c>
      <c r="F8" s="24">
        <f t="shared" si="0"/>
        <v>4.6833413199999998E-26</v>
      </c>
      <c r="G8" s="24">
        <f t="shared" si="1"/>
        <v>2.5506279679999997E-29</v>
      </c>
      <c r="H8" s="25">
        <f t="shared" si="13"/>
        <v>1836.1522647586683</v>
      </c>
      <c r="I8" s="25">
        <f t="shared" si="14"/>
        <v>1</v>
      </c>
      <c r="J8" s="26">
        <f t="shared" si="15"/>
        <v>4.680790692032E-26</v>
      </c>
      <c r="K8" s="27">
        <v>58.44</v>
      </c>
      <c r="L8" s="28">
        <f>0.0893*EXP(22000/(8.3144598*N8))/1000</f>
        <v>1.0321390978018604E-3</v>
      </c>
      <c r="M8" s="29">
        <f t="shared" si="16"/>
        <v>9.2494103500901812E-4</v>
      </c>
      <c r="N8" s="27">
        <v>1081.1500000000001</v>
      </c>
      <c r="O8" s="30">
        <v>3.765E-5</v>
      </c>
      <c r="P8" s="30">
        <v>3.5E-4</v>
      </c>
      <c r="R8" s="31">
        <v>1.02E-10</v>
      </c>
      <c r="S8" s="31">
        <v>1.81E-10</v>
      </c>
      <c r="T8" s="31">
        <f t="shared" si="17"/>
        <v>2.8300000000000001E-10</v>
      </c>
      <c r="U8" s="31">
        <f t="shared" si="18"/>
        <v>1.7745098039215685</v>
      </c>
      <c r="V8" s="31">
        <f t="shared" si="19"/>
        <v>2.83</v>
      </c>
      <c r="W8" s="31">
        <v>1560000</v>
      </c>
      <c r="X8" s="28">
        <v>2732.9322499999998</v>
      </c>
      <c r="Y8" s="28">
        <v>-0.91500000000000004</v>
      </c>
      <c r="Z8" s="28">
        <v>2.1393</v>
      </c>
      <c r="AA8" s="28">
        <v>-5.4299999999999997E-4</v>
      </c>
      <c r="AB8" s="28">
        <v>1</v>
      </c>
      <c r="AC8" s="28">
        <v>1</v>
      </c>
      <c r="AD8" s="28">
        <f t="shared" si="20"/>
        <v>2</v>
      </c>
      <c r="AE8" s="46">
        <v>0.46649999999999997</v>
      </c>
      <c r="AF8" s="33">
        <f t="shared" si="2"/>
        <v>0.30415923375652942</v>
      </c>
      <c r="AG8" s="33">
        <f t="shared" si="21"/>
        <v>0.34799735529146958</v>
      </c>
      <c r="AH8" s="33">
        <f t="shared" si="3"/>
        <v>0.28617343538334455</v>
      </c>
      <c r="AI8" s="33">
        <f>1/3*BC8*AV8*AQ8</f>
        <v>0.346144472817148</v>
      </c>
      <c r="AJ8" s="46">
        <v>0.30612615309310248</v>
      </c>
      <c r="AK8" s="47">
        <f t="shared" si="28"/>
        <v>0.34378102230846197</v>
      </c>
      <c r="AL8" s="34">
        <f t="shared" si="4"/>
        <v>2836087.8612926682</v>
      </c>
      <c r="AM8" s="34">
        <f t="shared" si="5"/>
        <v>1849136.7861885792</v>
      </c>
      <c r="AN8" s="48">
        <v>1081717855.4526589</v>
      </c>
      <c r="AO8" s="49">
        <f t="shared" si="29"/>
        <v>2.8300000000000001E-10</v>
      </c>
      <c r="AP8" s="49">
        <v>2.66265407146292E-10</v>
      </c>
      <c r="AQ8" s="49">
        <v>3.220644811515606E-10</v>
      </c>
      <c r="AR8" s="37">
        <f t="shared" si="6"/>
        <v>4.3404731912784125E-10</v>
      </c>
      <c r="AS8" s="49">
        <f t="shared" si="30"/>
        <v>4.3125848172746209E-10</v>
      </c>
      <c r="AT8" s="49">
        <f t="shared" si="31"/>
        <v>0.52388156087442428</v>
      </c>
      <c r="AU8" s="50">
        <f t="shared" si="32"/>
        <v>1.7556326452852731E-4</v>
      </c>
      <c r="AV8" s="51">
        <f t="shared" si="7"/>
        <v>1743.6799999999998</v>
      </c>
      <c r="AW8" s="51">
        <v>2720</v>
      </c>
      <c r="AX8" s="52">
        <f t="shared" si="33"/>
        <v>2657.1618000655158</v>
      </c>
      <c r="AY8" s="52">
        <f t="shared" si="22"/>
        <v>0.52388156087442417</v>
      </c>
      <c r="AZ8" s="53">
        <f t="shared" si="8"/>
        <v>4.3971007338854135E-3</v>
      </c>
      <c r="BA8" s="54">
        <v>69.62</v>
      </c>
      <c r="BB8" s="42">
        <f t="shared" si="23"/>
        <v>1.8491367861885792</v>
      </c>
      <c r="BC8" s="42">
        <f t="shared" si="9"/>
        <v>1849136.7861885792</v>
      </c>
      <c r="BD8" s="55">
        <f t="shared" si="34"/>
        <v>106.09263426807742</v>
      </c>
      <c r="BE8" s="56">
        <f t="shared" si="35"/>
        <v>0.52388156087442417</v>
      </c>
      <c r="BF8" s="45">
        <f t="shared" si="10"/>
        <v>3224302831.3413014</v>
      </c>
      <c r="BG8" s="45">
        <f t="shared" si="24"/>
        <v>0.32243028313413014</v>
      </c>
      <c r="BH8" s="45">
        <f t="shared" si="11"/>
        <v>0.91247770126958827</v>
      </c>
      <c r="BI8">
        <v>13.945766000000001</v>
      </c>
      <c r="BJ8">
        <v>-2.378214772284633E-3</v>
      </c>
      <c r="BK8">
        <v>0.89095701224060653</v>
      </c>
      <c r="BL8">
        <f>SQRT(BK8)/BI8</f>
        <v>6.7683997594717285E-2</v>
      </c>
      <c r="BM8">
        <f t="shared" si="25"/>
        <v>0.2677804167426549</v>
      </c>
      <c r="BN8">
        <v>2.6400000000000002E-10</v>
      </c>
      <c r="BO8">
        <f t="shared" si="36"/>
        <v>6.672846200765163E-11</v>
      </c>
      <c r="BP8">
        <f t="shared" si="26"/>
        <v>3.4968995921769589E-3</v>
      </c>
      <c r="BQ8">
        <f t="shared" si="27"/>
        <v>5.4543479314120812E-3</v>
      </c>
      <c r="BR8" s="24">
        <f t="shared" si="12"/>
        <v>3.7944326183477726E-10</v>
      </c>
      <c r="BS8" s="24"/>
    </row>
    <row r="9" spans="1:71" ht="20.25" customHeight="1">
      <c r="A9" s="22" t="s">
        <v>159</v>
      </c>
      <c r="B9" s="57">
        <v>3.34</v>
      </c>
      <c r="C9" s="22">
        <v>1</v>
      </c>
      <c r="D9" s="22">
        <v>36</v>
      </c>
      <c r="E9" s="22">
        <v>36</v>
      </c>
      <c r="F9" s="24">
        <f t="shared" si="0"/>
        <v>6.0214388399999996E-26</v>
      </c>
      <c r="G9" s="24">
        <f t="shared" si="1"/>
        <v>3.2793788159999999E-29</v>
      </c>
      <c r="H9" s="25">
        <f t="shared" si="13"/>
        <v>1836.1522647586683</v>
      </c>
      <c r="I9" s="25">
        <f t="shared" si="14"/>
        <v>1</v>
      </c>
      <c r="J9" s="26">
        <f t="shared" si="15"/>
        <v>6.0181594611840001E-26</v>
      </c>
      <c r="K9" s="27">
        <v>74.551299999999998</v>
      </c>
      <c r="L9" s="28">
        <f>0.0708*EXP(23900/(8.3144598*N9))/1000</f>
        <v>1.1078669041234444E-3</v>
      </c>
      <c r="M9" s="29">
        <f t="shared" si="16"/>
        <v>9.5680045926422035E-4</v>
      </c>
      <c r="N9" s="27">
        <v>1045.1500000000001</v>
      </c>
      <c r="O9" s="30">
        <v>4.884E-5</v>
      </c>
      <c r="P9" s="30">
        <v>3.8200000000000002E-4</v>
      </c>
      <c r="R9" s="31">
        <v>1.3799999999999999E-10</v>
      </c>
      <c r="S9" s="31">
        <v>1.81E-10</v>
      </c>
      <c r="T9" s="31">
        <f>S9+R9</f>
        <v>3.1899999999999998E-10</v>
      </c>
      <c r="U9" s="31">
        <f t="shared" si="18"/>
        <v>1.3115942028985508</v>
      </c>
      <c r="V9" s="31">
        <f t="shared" si="19"/>
        <v>3.19</v>
      </c>
      <c r="W9" s="31">
        <v>1530000</v>
      </c>
      <c r="X9" s="28">
        <v>2514.8256999999999</v>
      </c>
      <c r="Y9" s="28">
        <v>-0.878</v>
      </c>
      <c r="Z9" s="28">
        <v>2.1358999999999999</v>
      </c>
      <c r="AA9" s="28">
        <v>-5.8310000000000002E-4</v>
      </c>
      <c r="AB9" s="28">
        <v>1</v>
      </c>
      <c r="AC9" s="28">
        <v>1</v>
      </c>
      <c r="AD9" s="28">
        <f t="shared" si="20"/>
        <v>2</v>
      </c>
      <c r="AE9" s="46">
        <v>0.35505000000000003</v>
      </c>
      <c r="AF9" s="33">
        <f t="shared" si="2"/>
        <v>0.25593314786786775</v>
      </c>
      <c r="AG9" s="33">
        <f t="shared" si="21"/>
        <v>0.27916308162831227</v>
      </c>
      <c r="AH9" s="33">
        <f t="shared" si="3"/>
        <v>0.2397757949166118</v>
      </c>
      <c r="AI9" s="33">
        <f>1/3*BC9*AV9*AQ9</f>
        <v>0.28781059971565698</v>
      </c>
      <c r="AJ9" s="46">
        <v>0.25652333922633108</v>
      </c>
      <c r="AK9" s="47">
        <f t="shared" si="28"/>
        <v>0.27750080488288675</v>
      </c>
      <c r="AL9" s="34">
        <f t="shared" si="4"/>
        <v>2090572.0400192747</v>
      </c>
      <c r="AM9" s="34">
        <f t="shared" si="5"/>
        <v>1506961.5069615068</v>
      </c>
      <c r="AN9" s="48">
        <v>804148398.82862413</v>
      </c>
      <c r="AO9" s="49">
        <f t="shared" si="29"/>
        <v>3.1899999999999998E-10</v>
      </c>
      <c r="AP9" s="49">
        <v>2.9886116439238405E-10</v>
      </c>
      <c r="AQ9" s="49">
        <v>3.5873266934807023E-10</v>
      </c>
      <c r="AR9" s="37">
        <f t="shared" si="6"/>
        <v>4.4254115163884105E-10</v>
      </c>
      <c r="AS9" s="49">
        <f t="shared" si="30"/>
        <v>4.4152298321701493E-10</v>
      </c>
      <c r="AT9" s="49">
        <f t="shared" si="31"/>
        <v>0.38408458688719421</v>
      </c>
      <c r="AU9" s="50">
        <f t="shared" si="32"/>
        <v>1.6060976019439908E-4</v>
      </c>
      <c r="AV9" s="51">
        <f t="shared" si="7"/>
        <v>1597.1839999999997</v>
      </c>
      <c r="AW9" s="51">
        <v>2360</v>
      </c>
      <c r="AX9" s="52">
        <f t="shared" si="33"/>
        <v>2210.6377568228363</v>
      </c>
      <c r="AY9" s="52">
        <f t="shared" si="22"/>
        <v>0.38408458688719438</v>
      </c>
      <c r="AZ9" s="53">
        <f t="shared" si="8"/>
        <v>3.4853714568794988E-3</v>
      </c>
      <c r="BA9" s="54">
        <v>73.599999999999994</v>
      </c>
      <c r="BB9" s="42">
        <f t="shared" si="23"/>
        <v>1.5069615069615068</v>
      </c>
      <c r="BC9" s="42">
        <f t="shared" si="9"/>
        <v>1506961.5069615068</v>
      </c>
      <c r="BD9" s="55">
        <f t="shared" si="34"/>
        <v>101.86862559489748</v>
      </c>
      <c r="BE9" s="56">
        <f t="shared" si="35"/>
        <v>0.38408458688719416</v>
      </c>
      <c r="BF9" s="45">
        <f t="shared" si="10"/>
        <v>2406894807.5348067</v>
      </c>
      <c r="BG9" s="45">
        <f t="shared" si="24"/>
        <v>0.24068948075348068</v>
      </c>
      <c r="BH9" s="45">
        <f t="shared" si="11"/>
        <v>0.7677994436036033</v>
      </c>
      <c r="BI9">
        <v>18.592438999999999</v>
      </c>
      <c r="BJ9">
        <v>-3.6120436037413097E-3</v>
      </c>
      <c r="BK9">
        <v>0.89098630427858583</v>
      </c>
      <c r="BL9">
        <f>SQRT(BK9)/BI9</f>
        <v>5.0769063095053003E-2</v>
      </c>
      <c r="BM9">
        <f t="shared" si="25"/>
        <v>0.23191659034190587</v>
      </c>
      <c r="BN9">
        <v>2.9600000000000001E-10</v>
      </c>
      <c r="BO9">
        <f t="shared" si="36"/>
        <v>6.4797618203945665E-11</v>
      </c>
      <c r="BP9">
        <f t="shared" si="26"/>
        <v>3.2325118595029575E-3</v>
      </c>
      <c r="BQ9">
        <f t="shared" si="27"/>
        <v>6.6733764217190364E-3</v>
      </c>
      <c r="BR9" s="24">
        <f t="shared" si="12"/>
        <v>4.5335791979318428E-10</v>
      </c>
      <c r="BS9" s="24"/>
    </row>
    <row r="10" spans="1:71" ht="20.25" customHeight="1">
      <c r="A10" s="22" t="s">
        <v>160</v>
      </c>
      <c r="B10" s="57">
        <v>0.52</v>
      </c>
      <c r="C10" s="22">
        <v>1</v>
      </c>
      <c r="D10" s="22">
        <v>13</v>
      </c>
      <c r="E10" s="22">
        <v>12</v>
      </c>
      <c r="F10" s="24">
        <f t="shared" si="0"/>
        <v>2.17440847E-26</v>
      </c>
      <c r="G10" s="24">
        <f t="shared" si="1"/>
        <v>1.0931262719999999E-29</v>
      </c>
      <c r="H10" s="25">
        <f t="shared" si="13"/>
        <v>2154.9286996126039</v>
      </c>
      <c r="I10" s="25">
        <f t="shared" si="14"/>
        <v>1.0833333333333333</v>
      </c>
      <c r="J10" s="26">
        <f t="shared" si="15"/>
        <v>2.1733153437280001E-26</v>
      </c>
      <c r="K10" s="27">
        <v>47.01</v>
      </c>
      <c r="L10" s="58">
        <f>10^(-8.12+11500/N10+639000/N10^2)/1000</f>
        <v>1.5280162636820758</v>
      </c>
      <c r="M10" s="29">
        <f t="shared" si="16"/>
        <v>9.3444844180722323E-4</v>
      </c>
      <c r="N10" s="27">
        <v>1070.1500000000001</v>
      </c>
      <c r="O10" s="30">
        <v>2.4000000000000001E-5</v>
      </c>
      <c r="P10" s="30">
        <v>7.4200000000000001E-6</v>
      </c>
      <c r="R10" s="60">
        <v>3.3999999999999999E-11</v>
      </c>
      <c r="S10" s="31">
        <v>1.3300000000000001E-10</v>
      </c>
      <c r="T10" s="31">
        <f t="shared" si="17"/>
        <v>1.6699999999999999E-10</v>
      </c>
      <c r="U10" s="31">
        <f t="shared" si="18"/>
        <v>3.9117647058823533</v>
      </c>
      <c r="V10" s="31">
        <f t="shared" si="19"/>
        <v>1.67</v>
      </c>
      <c r="W10" s="31">
        <v>1960000</v>
      </c>
      <c r="X10" s="32">
        <v>2547.8000000000002</v>
      </c>
      <c r="Y10" s="28">
        <v>0</v>
      </c>
      <c r="Z10" s="28">
        <v>1.972</v>
      </c>
      <c r="AA10" s="24">
        <v>-1.45E-5</v>
      </c>
      <c r="AB10" s="28">
        <v>1</v>
      </c>
      <c r="AC10" s="28">
        <v>2</v>
      </c>
      <c r="AD10" s="28">
        <f t="shared" si="20"/>
        <v>3</v>
      </c>
      <c r="AE10" s="46">
        <v>0.79925905600000002</v>
      </c>
      <c r="AF10" s="33">
        <f t="shared" si="2"/>
        <v>0.51944334083333332</v>
      </c>
      <c r="AG10" s="33">
        <f t="shared" si="21"/>
        <v>0.35009389392100509</v>
      </c>
      <c r="AH10" s="33"/>
      <c r="AI10" s="33"/>
      <c r="AJ10" s="46">
        <v>0.51979938659180325</v>
      </c>
      <c r="AK10" s="47">
        <f t="shared" si="28"/>
        <v>0.34964842413771385</v>
      </c>
      <c r="AL10" s="34">
        <f t="shared" si="4"/>
        <v>5635429.4347171905</v>
      </c>
      <c r="AM10" s="34">
        <f t="shared" si="5"/>
        <v>3662499.9999999995</v>
      </c>
      <c r="AN10" s="48">
        <v>3112571177.1964269</v>
      </c>
      <c r="AO10" s="49">
        <f t="shared" si="29"/>
        <v>1.6699999999999999E-10</v>
      </c>
      <c r="AP10" s="49"/>
      <c r="AQ10" s="49"/>
      <c r="AR10" s="37">
        <f t="shared" si="6"/>
        <v>2.5696019538505687E-10</v>
      </c>
      <c r="AS10" s="49">
        <f t="shared" si="30"/>
        <v>2.5678418596676501E-10</v>
      </c>
      <c r="AT10" s="49">
        <f t="shared" si="31"/>
        <v>0.53762985608841329</v>
      </c>
      <c r="AU10" s="50">
        <f t="shared" si="32"/>
        <v>2.0401891301978303E-4</v>
      </c>
      <c r="AV10" s="51">
        <f t="shared" si="7"/>
        <v>2547.8000000000002</v>
      </c>
      <c r="AW10" s="51"/>
      <c r="AX10" s="52">
        <f t="shared" si="33"/>
        <v>3917.5733473420601</v>
      </c>
      <c r="AY10" s="52">
        <f t="shared" si="22"/>
        <v>0.5376298560884134</v>
      </c>
      <c r="AZ10" s="53">
        <f t="shared" si="8"/>
        <v>5.9135311330125511E-3</v>
      </c>
      <c r="BA10" s="54">
        <v>87.9</v>
      </c>
      <c r="BB10" s="42">
        <f t="shared" si="23"/>
        <v>3.6625000000000001</v>
      </c>
      <c r="BC10" s="42">
        <f t="shared" si="9"/>
        <v>3662500</v>
      </c>
      <c r="BD10" s="55">
        <f t="shared" si="34"/>
        <v>135.15766435017156</v>
      </c>
      <c r="BE10" s="56">
        <f t="shared" si="35"/>
        <v>0.53762985608841352</v>
      </c>
      <c r="BF10" s="45">
        <f t="shared" si="10"/>
        <v>9331317500</v>
      </c>
      <c r="BG10" s="45">
        <f t="shared" si="24"/>
        <v>0.93313175000000004</v>
      </c>
      <c r="BH10" s="45">
        <f t="shared" si="11"/>
        <v>1.5583300224999999</v>
      </c>
      <c r="BI10">
        <v>6.1125850000000002</v>
      </c>
      <c r="BJ10">
        <v>-4.1051312559396724E-6</v>
      </c>
      <c r="BL10"/>
      <c r="BM10">
        <f t="shared" si="25"/>
        <v>0.40447114487547259</v>
      </c>
      <c r="BN10"/>
      <c r="BO10" s="45">
        <f>T10*SQRT(0.9/BI10)</f>
        <v>6.4080408287683998E-11</v>
      </c>
      <c r="BP10">
        <f t="shared" si="26"/>
        <v>3.3146571381431714E-4</v>
      </c>
      <c r="BQ10">
        <f t="shared" si="27"/>
        <v>4.4770106816457217E-3</v>
      </c>
      <c r="BR10" s="24"/>
      <c r="BS10" s="24"/>
    </row>
    <row r="11" spans="1:71" ht="20.25" customHeight="1">
      <c r="A11" s="22" t="s">
        <v>161</v>
      </c>
      <c r="B11" s="57">
        <v>0.02</v>
      </c>
      <c r="C11" s="22">
        <v>1</v>
      </c>
      <c r="D11" s="22">
        <v>21</v>
      </c>
      <c r="E11" s="22">
        <v>20</v>
      </c>
      <c r="F11" s="24">
        <f t="shared" si="0"/>
        <v>3.51250599E-26</v>
      </c>
      <c r="G11" s="24">
        <f t="shared" si="1"/>
        <v>1.82187712E-29</v>
      </c>
      <c r="H11" s="25">
        <f t="shared" si="13"/>
        <v>2024.3578718964318</v>
      </c>
      <c r="I11" s="25">
        <f t="shared" si="14"/>
        <v>1.05</v>
      </c>
      <c r="J11" s="26">
        <f t="shared" si="15"/>
        <v>3.5106841128800003E-26</v>
      </c>
      <c r="K11" s="28">
        <v>62.3018</v>
      </c>
      <c r="L11" s="28">
        <f>0.187*EXP(32100/(8.3144598*N11))/1000</f>
        <v>2.3159210132636244E-3</v>
      </c>
      <c r="M11" s="29">
        <f t="shared" si="16"/>
        <v>6.5180550123843041E-4</v>
      </c>
      <c r="N11" s="28">
        <v>1534.2</v>
      </c>
      <c r="O11" s="30">
        <f t="shared" ref="O11:O16" si="37">K11/W11</f>
        <v>2.5574620069823672E-5</v>
      </c>
      <c r="P11" s="30">
        <v>2.1599999999999999E-4</v>
      </c>
      <c r="R11" s="31">
        <v>7.1999999999999997E-11</v>
      </c>
      <c r="S11" s="31">
        <v>1.3300000000000001E-10</v>
      </c>
      <c r="T11" s="31">
        <f t="shared" si="17"/>
        <v>2.0500000000000002E-10</v>
      </c>
      <c r="U11" s="31">
        <f t="shared" si="18"/>
        <v>1.8472222222222223</v>
      </c>
      <c r="V11" s="31">
        <f t="shared" si="19"/>
        <v>2.0500000000000003</v>
      </c>
      <c r="W11" s="31">
        <f t="shared" ref="W11:W18" si="38">(Z11+N11*AA11)*1000000</f>
        <v>2436079.2000000002</v>
      </c>
      <c r="X11" s="32">
        <v>2175.6</v>
      </c>
      <c r="Y11" s="28">
        <v>0</v>
      </c>
      <c r="Z11" s="24">
        <v>3.24</v>
      </c>
      <c r="AA11" s="24">
        <v>-5.2400000000000005E-4</v>
      </c>
      <c r="AB11" s="28">
        <v>1</v>
      </c>
      <c r="AC11" s="28">
        <v>2</v>
      </c>
      <c r="AD11" s="28">
        <f t="shared" si="20"/>
        <v>3</v>
      </c>
      <c r="AE11" s="46">
        <v>0.65067779999999997</v>
      </c>
      <c r="AF11" s="33">
        <f t="shared" si="2"/>
        <v>0.55165642193242059</v>
      </c>
      <c r="AG11" s="33">
        <f t="shared" si="21"/>
        <v>0.15218189104896368</v>
      </c>
      <c r="AH11" s="33"/>
      <c r="AI11" s="33"/>
      <c r="AJ11" s="46">
        <v>0.55165642193242048</v>
      </c>
      <c r="AK11" s="47">
        <f t="shared" si="28"/>
        <v>0.15218189104896385</v>
      </c>
      <c r="AL11" s="34">
        <f t="shared" si="4"/>
        <v>4376776.1290409379</v>
      </c>
      <c r="AM11" s="34">
        <f t="shared" si="5"/>
        <v>3710710.061025525</v>
      </c>
      <c r="AN11" s="48">
        <v>2691006936.2557101</v>
      </c>
      <c r="AO11" s="49">
        <f t="shared" si="29"/>
        <v>2.0499999999999996E-10</v>
      </c>
      <c r="AP11" s="49"/>
      <c r="AQ11" s="49"/>
      <c r="AR11" s="37">
        <f t="shared" si="6"/>
        <v>2.4179714709519052E-10</v>
      </c>
      <c r="AS11" s="49">
        <f t="shared" si="30"/>
        <v>2.4179714709519052E-10</v>
      </c>
      <c r="AT11" s="49">
        <f t="shared" si="31"/>
        <v>0.17949827851312469</v>
      </c>
      <c r="AU11" s="50">
        <f t="shared" si="32"/>
        <v>2.5356518750341078E-4</v>
      </c>
      <c r="AV11" s="51">
        <f t="shared" si="7"/>
        <v>2175.6</v>
      </c>
      <c r="AW11" s="51"/>
      <c r="AX11" s="52">
        <f t="shared" si="33"/>
        <v>2566.1164547331541</v>
      </c>
      <c r="AY11" s="52">
        <f t="shared" si="22"/>
        <v>0.17949827851312475</v>
      </c>
      <c r="AZ11" s="53">
        <f t="shared" si="8"/>
        <v>5.8130286821119117E-3</v>
      </c>
      <c r="BA11" s="54">
        <v>94.9</v>
      </c>
      <c r="BB11" s="42">
        <f t="shared" si="23"/>
        <v>3.7107100610255244</v>
      </c>
      <c r="BC11" s="42">
        <f t="shared" si="9"/>
        <v>3710710.0610255245</v>
      </c>
      <c r="BD11" s="55">
        <f t="shared" si="34"/>
        <v>111.93438663089556</v>
      </c>
      <c r="BE11" s="56">
        <f t="shared" si="35"/>
        <v>0.17949827851312489</v>
      </c>
      <c r="BF11" s="45">
        <f t="shared" si="10"/>
        <v>8073020808.7671309</v>
      </c>
      <c r="BG11" s="45">
        <f t="shared" si="24"/>
        <v>0.80730208087671307</v>
      </c>
      <c r="BH11" s="45">
        <f t="shared" si="11"/>
        <v>1.6549692657972619</v>
      </c>
      <c r="BI11">
        <v>10.663277000000001</v>
      </c>
      <c r="BJ11">
        <v>-4.9421529829090682E-5</v>
      </c>
      <c r="BL11"/>
      <c r="BM11">
        <f t="shared" si="25"/>
        <v>0.30623487956556078</v>
      </c>
      <c r="BN11"/>
      <c r="BO11" s="45">
        <f t="shared" ref="BO11:BO13" si="39">T11*SQRT(0.9/BI11)</f>
        <v>5.9556582682493414E-11</v>
      </c>
      <c r="BP11">
        <f t="shared" si="26"/>
        <v>6.5927620521040833E-4</v>
      </c>
      <c r="BQ11">
        <f t="shared" si="27"/>
        <v>4.2939985233993883E-3</v>
      </c>
      <c r="BR11" s="24">
        <f t="shared" ref="BR11:BR16" si="40">L11/(W11/1000*(X11+Y11*N11))</f>
        <v>4.369716780765129E-10</v>
      </c>
      <c r="BS11" s="24"/>
    </row>
    <row r="12" spans="1:71" ht="20.25" customHeight="1">
      <c r="A12" s="22" t="s">
        <v>162</v>
      </c>
      <c r="B12" s="57">
        <v>0.12</v>
      </c>
      <c r="C12" s="22">
        <v>1</v>
      </c>
      <c r="D12" s="22">
        <v>29</v>
      </c>
      <c r="E12" s="22">
        <v>28</v>
      </c>
      <c r="F12" s="24">
        <f t="shared" si="0"/>
        <v>4.8506035099999997E-26</v>
      </c>
      <c r="G12" s="24">
        <f t="shared" si="1"/>
        <v>2.5506279679999997E-29</v>
      </c>
      <c r="H12" s="25">
        <f t="shared" si="13"/>
        <v>1969.6480289056633</v>
      </c>
      <c r="I12" s="25">
        <f t="shared" si="14"/>
        <v>1.0357142857142858</v>
      </c>
      <c r="J12" s="26">
        <f t="shared" si="15"/>
        <v>4.8480528820319999E-26</v>
      </c>
      <c r="K12" s="28">
        <v>78.074799999999996</v>
      </c>
      <c r="L12" s="28">
        <f>0.1*EXP(47600/(8.3144598*N12))/1000</f>
        <v>2.9475212895614506E-3</v>
      </c>
      <c r="M12" s="29">
        <f t="shared" si="16"/>
        <v>5.9101654846335696E-4</v>
      </c>
      <c r="N12" s="28">
        <v>1692</v>
      </c>
      <c r="O12" s="30">
        <f t="shared" si="37"/>
        <v>3.1001402462170846E-5</v>
      </c>
      <c r="P12" s="30">
        <v>1.55E-4</v>
      </c>
      <c r="R12" s="31">
        <v>1E-10</v>
      </c>
      <c r="S12" s="31">
        <v>1.3300000000000001E-10</v>
      </c>
      <c r="T12" s="31">
        <f t="shared" si="17"/>
        <v>2.3300000000000002E-10</v>
      </c>
      <c r="U12" s="31">
        <f t="shared" si="18"/>
        <v>1.33</v>
      </c>
      <c r="V12" s="31">
        <f t="shared" si="19"/>
        <v>2.33</v>
      </c>
      <c r="W12" s="31">
        <f t="shared" si="38"/>
        <v>2518428</v>
      </c>
      <c r="X12" s="32">
        <v>1710.3</v>
      </c>
      <c r="Y12" s="28">
        <v>0</v>
      </c>
      <c r="Z12" s="24">
        <v>3.18</v>
      </c>
      <c r="AA12" s="24">
        <v>-3.9100000000000002E-4</v>
      </c>
      <c r="AB12" s="28">
        <v>1</v>
      </c>
      <c r="AC12" s="28">
        <v>2</v>
      </c>
      <c r="AD12" s="28">
        <f t="shared" si="20"/>
        <v>3</v>
      </c>
      <c r="AE12" s="46">
        <v>0.56480320000000006</v>
      </c>
      <c r="AF12" s="33">
        <f t="shared" si="2"/>
        <v>0.42810664299445522</v>
      </c>
      <c r="AG12" s="33">
        <f t="shared" si="21"/>
        <v>0.24202511070324109</v>
      </c>
      <c r="AH12" s="33"/>
      <c r="AI12" s="33"/>
      <c r="AJ12" s="46">
        <v>0.42810664299445522</v>
      </c>
      <c r="AK12" s="47">
        <f t="shared" si="28"/>
        <v>0.24202511070324109</v>
      </c>
      <c r="AL12" s="34">
        <f t="shared" si="4"/>
        <v>4251969.9503061362</v>
      </c>
      <c r="AM12" s="34">
        <f t="shared" si="5"/>
        <v>3222886.4523764392</v>
      </c>
      <c r="AN12" s="48">
        <v>1837367566.4998081</v>
      </c>
      <c r="AO12" s="49">
        <f t="shared" si="29"/>
        <v>2.3299999999999997E-10</v>
      </c>
      <c r="AP12" s="49"/>
      <c r="AQ12" s="49"/>
      <c r="AR12" s="37">
        <f t="shared" si="6"/>
        <v>3.073980461492266E-10</v>
      </c>
      <c r="AS12" s="49">
        <f t="shared" si="30"/>
        <v>3.0739804614922655E-10</v>
      </c>
      <c r="AT12" s="49">
        <f t="shared" si="31"/>
        <v>0.3193049190953931</v>
      </c>
      <c r="AU12" s="50">
        <f t="shared" si="32"/>
        <v>2.5031084780123677E-4</v>
      </c>
      <c r="AV12" s="51">
        <f t="shared" si="7"/>
        <v>1710.3</v>
      </c>
      <c r="AW12" s="51"/>
      <c r="AX12" s="52">
        <f t="shared" si="33"/>
        <v>2256.4072031288506</v>
      </c>
      <c r="AY12" s="52">
        <f t="shared" si="22"/>
        <v>0.31930491909539299</v>
      </c>
      <c r="AZ12" s="53">
        <f t="shared" si="8"/>
        <v>4.2847513160763776E-3</v>
      </c>
      <c r="BA12" s="55">
        <v>99.914000000000001</v>
      </c>
      <c r="BB12" s="42">
        <f t="shared" si="23"/>
        <v>3.2228864523764393</v>
      </c>
      <c r="BC12" s="42">
        <f t="shared" si="9"/>
        <v>3222886.4523764392</v>
      </c>
      <c r="BD12" s="55">
        <f t="shared" si="34"/>
        <v>131.8170316864971</v>
      </c>
      <c r="BE12" s="56">
        <f t="shared" si="35"/>
        <v>0.31930491909539305</v>
      </c>
      <c r="BF12" s="45">
        <f t="shared" si="10"/>
        <v>5512102699.499424</v>
      </c>
      <c r="BG12" s="45">
        <f t="shared" si="24"/>
        <v>0.55121026994994238</v>
      </c>
      <c r="BH12" s="45">
        <f t="shared" si="11"/>
        <v>1.284319928983366</v>
      </c>
      <c r="BI12">
        <v>12.888699000000001</v>
      </c>
      <c r="BJ12">
        <v>-2.0540721467734608E-4</v>
      </c>
      <c r="BL12"/>
      <c r="BM12">
        <f t="shared" si="25"/>
        <v>0.27854505914169592</v>
      </c>
      <c r="BN12"/>
      <c r="BO12" s="45">
        <f t="shared" si="39"/>
        <v>6.1570493569397149E-11</v>
      </c>
      <c r="BP12">
        <f t="shared" si="26"/>
        <v>1.1119845813518838E-3</v>
      </c>
      <c r="BQ12">
        <f t="shared" si="27"/>
        <v>4.4336649610158393E-3</v>
      </c>
      <c r="BR12" s="24">
        <f t="shared" si="40"/>
        <v>6.843135125098611E-10</v>
      </c>
      <c r="BS12" s="24"/>
    </row>
    <row r="13" spans="1:71" ht="20.25" customHeight="1">
      <c r="A13" s="22" t="s">
        <v>163</v>
      </c>
      <c r="B13" s="57"/>
      <c r="C13" s="22">
        <v>1</v>
      </c>
      <c r="D13" s="22">
        <v>47</v>
      </c>
      <c r="E13" s="22">
        <v>46</v>
      </c>
      <c r="F13" s="24">
        <f t="shared" si="0"/>
        <v>7.8613229299999995E-26</v>
      </c>
      <c r="G13" s="24">
        <f t="shared" si="1"/>
        <v>4.1903173759999999E-29</v>
      </c>
      <c r="H13" s="25">
        <f t="shared" si="13"/>
        <v>1916.8527187390821</v>
      </c>
      <c r="I13" s="25">
        <f t="shared" si="14"/>
        <v>1.0217391304347827</v>
      </c>
      <c r="J13" s="26">
        <f t="shared" si="15"/>
        <v>7.8571326126239999E-26</v>
      </c>
      <c r="K13" s="28">
        <v>125.6168</v>
      </c>
      <c r="L13" s="28">
        <f>0.0703*EXP(54500/(8.3144598*N13))/1000</f>
        <v>3.0018345111633513E-3</v>
      </c>
      <c r="M13" s="29">
        <f t="shared" si="16"/>
        <v>5.7273768613974802E-4</v>
      </c>
      <c r="N13" s="28">
        <v>1746</v>
      </c>
      <c r="O13" s="30">
        <f t="shared" si="37"/>
        <v>3.6213810492182497E-5</v>
      </c>
      <c r="P13" s="30">
        <v>2.13E-4</v>
      </c>
      <c r="R13" s="31">
        <v>1.1800000000000001E-10</v>
      </c>
      <c r="S13" s="31">
        <v>1.3300000000000001E-10</v>
      </c>
      <c r="T13" s="31">
        <f t="shared" si="17"/>
        <v>2.5100000000000001E-10</v>
      </c>
      <c r="U13" s="31">
        <f t="shared" si="18"/>
        <v>1.1271186440677965</v>
      </c>
      <c r="V13" s="31">
        <f t="shared" si="19"/>
        <v>2.5100000000000002</v>
      </c>
      <c r="W13" s="31">
        <f t="shared" si="38"/>
        <v>3468754</v>
      </c>
      <c r="X13" s="32">
        <v>1398.6</v>
      </c>
      <c r="Y13" s="28">
        <v>0</v>
      </c>
      <c r="Z13" s="24">
        <v>4.78</v>
      </c>
      <c r="AA13" s="24">
        <v>-7.5100000000000004E-4</v>
      </c>
      <c r="AB13" s="28">
        <v>1</v>
      </c>
      <c r="AC13" s="28">
        <v>2</v>
      </c>
      <c r="AD13" s="28">
        <f t="shared" si="20"/>
        <v>3</v>
      </c>
      <c r="AE13" s="46">
        <v>0.39041500000000001</v>
      </c>
      <c r="AF13" s="33">
        <f t="shared" si="2"/>
        <v>0.31989463805530149</v>
      </c>
      <c r="AG13" s="33">
        <f t="shared" si="21"/>
        <v>0.1806292328540105</v>
      </c>
      <c r="AH13" s="33"/>
      <c r="AI13" s="33"/>
      <c r="AJ13" s="46">
        <v>0.31989463805530149</v>
      </c>
      <c r="AK13" s="47">
        <f t="shared" si="28"/>
        <v>0.1806292328540105</v>
      </c>
      <c r="AL13" s="34">
        <f t="shared" si="4"/>
        <v>3336418.376259014</v>
      </c>
      <c r="AM13" s="34">
        <f t="shared" si="5"/>
        <v>2733763.684475325</v>
      </c>
      <c r="AN13" s="48">
        <v>1274480629.7023959</v>
      </c>
      <c r="AO13" s="49">
        <f t="shared" si="29"/>
        <v>2.5100000000000012E-10</v>
      </c>
      <c r="AP13" s="49"/>
      <c r="AQ13" s="49"/>
      <c r="AR13" s="37">
        <f t="shared" si="6"/>
        <v>3.0633262750424518E-10</v>
      </c>
      <c r="AS13" s="49">
        <f t="shared" si="30"/>
        <v>3.0633262750424528E-10</v>
      </c>
      <c r="AT13" s="49">
        <f t="shared" si="31"/>
        <v>0.22044871515635514</v>
      </c>
      <c r="AU13" s="50">
        <f t="shared" si="32"/>
        <v>2.2872489493443551E-4</v>
      </c>
      <c r="AV13" s="51">
        <f t="shared" si="7"/>
        <v>1398.6</v>
      </c>
      <c r="AW13" s="51"/>
      <c r="AX13" s="52">
        <f t="shared" si="33"/>
        <v>1706.9195730176784</v>
      </c>
      <c r="AY13" s="52">
        <f t="shared" si="22"/>
        <v>0.22044871515635531</v>
      </c>
      <c r="AZ13" s="53">
        <f t="shared" si="8"/>
        <v>3.2312589702555706E-3</v>
      </c>
      <c r="BA13" s="54">
        <v>99</v>
      </c>
      <c r="BB13" s="42">
        <f t="shared" si="23"/>
        <v>2.733763684475325</v>
      </c>
      <c r="BC13" s="42">
        <f t="shared" si="9"/>
        <v>2733763.684475325</v>
      </c>
      <c r="BD13" s="55">
        <f t="shared" si="34"/>
        <v>120.82442280047917</v>
      </c>
      <c r="BE13" s="56">
        <f t="shared" si="35"/>
        <v>0.22044871515635525</v>
      </c>
      <c r="BF13" s="45">
        <f t="shared" si="10"/>
        <v>3823441889.1071892</v>
      </c>
      <c r="BG13" s="45">
        <f t="shared" si="24"/>
        <v>0.38234418891071892</v>
      </c>
      <c r="BH13" s="45">
        <f t="shared" si="11"/>
        <v>0.95968391416590448</v>
      </c>
      <c r="BI13">
        <v>15.613065000000001</v>
      </c>
      <c r="BJ13">
        <v>-4.6321912504000408E-4</v>
      </c>
      <c r="BL13"/>
      <c r="BM13">
        <f t="shared" si="25"/>
        <v>0.25307888716651805</v>
      </c>
      <c r="BN13"/>
      <c r="BO13" s="45">
        <f t="shared" si="39"/>
        <v>6.0263020049365653E-11</v>
      </c>
      <c r="BP13">
        <f t="shared" si="26"/>
        <v>1.3784946127590213E-3</v>
      </c>
      <c r="BQ13">
        <f t="shared" si="27"/>
        <v>4.5290095924757148E-3</v>
      </c>
      <c r="BR13" s="24">
        <f t="shared" si="40"/>
        <v>6.1875642429403127E-10</v>
      </c>
      <c r="BS13" s="24"/>
    </row>
    <row r="14" spans="1:71" ht="20.25" customHeight="1">
      <c r="A14" s="22" t="s">
        <v>164</v>
      </c>
      <c r="B14" s="57">
        <v>0.8</v>
      </c>
      <c r="C14" s="22">
        <v>1</v>
      </c>
      <c r="D14" s="22">
        <v>29</v>
      </c>
      <c r="E14" s="22">
        <v>28</v>
      </c>
      <c r="F14" s="24">
        <f t="shared" si="0"/>
        <v>4.8506035099999997E-26</v>
      </c>
      <c r="G14" s="24">
        <f t="shared" si="1"/>
        <v>2.5506279679999997E-29</v>
      </c>
      <c r="H14" s="25">
        <f t="shared" si="13"/>
        <v>1969.6480289056633</v>
      </c>
      <c r="I14" s="25">
        <f t="shared" si="14"/>
        <v>1.0357142857142858</v>
      </c>
      <c r="J14" s="26">
        <f t="shared" si="15"/>
        <v>4.8480528820319999E-26</v>
      </c>
      <c r="K14" s="28">
        <v>95.210999999999999</v>
      </c>
      <c r="L14" s="28">
        <f>0.18*EXP(20500/(8.3144598*N14))/1000</f>
        <v>2.1885964575678765E-3</v>
      </c>
      <c r="M14" s="29">
        <f t="shared" si="16"/>
        <v>1.0131712259371835E-3</v>
      </c>
      <c r="N14" s="28">
        <v>987</v>
      </c>
      <c r="O14" s="30">
        <f t="shared" si="37"/>
        <v>5.651027632231827E-5</v>
      </c>
      <c r="P14" s="30">
        <v>1.8000000000000001E-4</v>
      </c>
      <c r="R14" s="31">
        <v>7.1999999999999997E-11</v>
      </c>
      <c r="S14" s="31">
        <v>1.81E-10</v>
      </c>
      <c r="T14" s="31">
        <f t="shared" si="17"/>
        <v>2.5300000000000001E-10</v>
      </c>
      <c r="U14" s="31">
        <f t="shared" si="18"/>
        <v>2.5138888888888888</v>
      </c>
      <c r="V14" s="31">
        <f t="shared" si="19"/>
        <v>2.5300000000000002</v>
      </c>
      <c r="W14" s="31">
        <f t="shared" si="38"/>
        <v>1684844</v>
      </c>
      <c r="X14" s="32">
        <v>2101</v>
      </c>
      <c r="Y14" s="28">
        <v>0</v>
      </c>
      <c r="Z14" s="24">
        <v>1.9691000000000001</v>
      </c>
      <c r="AA14" s="24">
        <v>-2.8800000000000001E-4</v>
      </c>
      <c r="AB14" s="28">
        <v>1</v>
      </c>
      <c r="AC14" s="28">
        <v>2</v>
      </c>
      <c r="AD14" s="28">
        <f t="shared" si="20"/>
        <v>3</v>
      </c>
      <c r="AE14" s="46">
        <v>0.45680000000000004</v>
      </c>
      <c r="AF14" s="33">
        <f t="shared" si="2"/>
        <v>0.28861057804145579</v>
      </c>
      <c r="AG14" s="33">
        <f t="shared" si="21"/>
        <v>0.36819050341187443</v>
      </c>
      <c r="AH14" s="33">
        <f>1/3*BC14*AV14*AP14</f>
        <v>0.26994066201236538</v>
      </c>
      <c r="AI14" s="33">
        <f>1/3*BC14*AV14*AQ14</f>
        <v>0.33370075449931308</v>
      </c>
      <c r="AJ14" s="46">
        <v>0.28861057804145579</v>
      </c>
      <c r="AK14" s="47">
        <f t="shared" si="28"/>
        <v>0.36819050341187443</v>
      </c>
      <c r="AL14" s="34">
        <f t="shared" si="4"/>
        <v>2578106.0402255282</v>
      </c>
      <c r="AM14" s="34">
        <f t="shared" si="5"/>
        <v>1628871.8794256968</v>
      </c>
      <c r="AN14" s="48">
        <v>1140753272.891129</v>
      </c>
      <c r="AO14" s="49">
        <f t="shared" si="29"/>
        <v>2.5300000000000011E-10</v>
      </c>
      <c r="AP14" s="49">
        <v>2.36633694969138E-10</v>
      </c>
      <c r="AQ14" s="49">
        <v>2.9252666849999965E-10</v>
      </c>
      <c r="AR14" s="37">
        <f t="shared" si="6"/>
        <v>4.0043715924854139E-10</v>
      </c>
      <c r="AS14" s="49">
        <f t="shared" si="30"/>
        <v>4.004371592485416E-10</v>
      </c>
      <c r="AT14" s="49">
        <f t="shared" si="31"/>
        <v>0.5827555701523377</v>
      </c>
      <c r="AU14" s="50">
        <f t="shared" si="32"/>
        <v>1.3736819516490043E-4</v>
      </c>
      <c r="AV14" s="51">
        <f t="shared" si="7"/>
        <v>2101</v>
      </c>
      <c r="AW14" s="51">
        <v>3400</v>
      </c>
      <c r="AX14" s="52">
        <f t="shared" si="33"/>
        <v>3325.369452890061</v>
      </c>
      <c r="AY14" s="52">
        <f t="shared" si="22"/>
        <v>0.58275557015233748</v>
      </c>
      <c r="AZ14" s="53">
        <f t="shared" si="8"/>
        <v>3.1354356209961735E-3</v>
      </c>
      <c r="BA14" s="55">
        <v>92.048000000000002</v>
      </c>
      <c r="BB14" s="42">
        <f t="shared" si="23"/>
        <v>1.6288718794256967</v>
      </c>
      <c r="BC14" s="42">
        <f t="shared" si="9"/>
        <v>1628871.8794256966</v>
      </c>
      <c r="BD14" s="55">
        <f t="shared" si="34"/>
        <v>145.68948472138237</v>
      </c>
      <c r="BE14" s="56">
        <f t="shared" si="35"/>
        <v>0.58275557015233759</v>
      </c>
      <c r="BF14" s="45">
        <f t="shared" si="10"/>
        <v>3422259818.6733885</v>
      </c>
      <c r="BG14" s="45">
        <f t="shared" si="24"/>
        <v>0.34222598186733888</v>
      </c>
      <c r="BH14" s="45">
        <f t="shared" si="11"/>
        <v>0.86583173412436731</v>
      </c>
      <c r="BI14">
        <v>14.419082</v>
      </c>
      <c r="BJ14">
        <v>-1.7252441958564505E-4</v>
      </c>
      <c r="BK14" s="28">
        <v>0.94057283511200729</v>
      </c>
      <c r="BL14">
        <f>SQRT(BK14)/BI14</f>
        <v>6.72602696650733E-2</v>
      </c>
      <c r="BM14">
        <f t="shared" si="25"/>
        <v>0.26334870930589072</v>
      </c>
      <c r="BN14">
        <v>2.3600000000000001E-10</v>
      </c>
      <c r="BO14">
        <f t="shared" si="36"/>
        <v>6.0275304491884361E-11</v>
      </c>
      <c r="BP14">
        <f t="shared" si="26"/>
        <v>9.1093560196156467E-4</v>
      </c>
      <c r="BQ14">
        <f t="shared" si="27"/>
        <v>9.2699658131831855E-3</v>
      </c>
      <c r="BR14" s="24">
        <f t="shared" si="40"/>
        <v>6.1827251968353004E-10</v>
      </c>
      <c r="BS14" s="24"/>
    </row>
    <row r="15" spans="1:71" ht="20.25" customHeight="1">
      <c r="A15" s="22" t="s">
        <v>165</v>
      </c>
      <c r="B15" s="57">
        <v>2.5</v>
      </c>
      <c r="C15" s="22">
        <v>1</v>
      </c>
      <c r="D15" s="22">
        <v>37</v>
      </c>
      <c r="E15" s="22">
        <v>36</v>
      </c>
      <c r="F15" s="24">
        <f t="shared" si="0"/>
        <v>6.1887010299999994E-26</v>
      </c>
      <c r="G15" s="24">
        <f t="shared" si="1"/>
        <v>3.2793788159999999E-29</v>
      </c>
      <c r="H15" s="25">
        <f t="shared" si="13"/>
        <v>1939.5775080668341</v>
      </c>
      <c r="I15" s="25">
        <f t="shared" si="14"/>
        <v>1.0277777777777777</v>
      </c>
      <c r="J15" s="26">
        <f t="shared" si="15"/>
        <v>6.185421651184E-26</v>
      </c>
      <c r="K15" s="28">
        <v>110.98399999999999</v>
      </c>
      <c r="L15" s="28">
        <f>10^(-0.545+597/N15+546000/N15^2)/1000</f>
        <v>3.3595446651079881E-3</v>
      </c>
      <c r="M15" s="29">
        <f t="shared" si="16"/>
        <v>9.5693779904306223E-4</v>
      </c>
      <c r="N15" s="28">
        <v>1045</v>
      </c>
      <c r="O15" s="30">
        <f t="shared" si="37"/>
        <v>5.3154147698835956E-5</v>
      </c>
      <c r="P15" s="30">
        <v>2.03E-4</v>
      </c>
      <c r="R15" s="31">
        <v>1E-10</v>
      </c>
      <c r="S15" s="31">
        <v>1.81E-10</v>
      </c>
      <c r="T15" s="31">
        <f t="shared" si="17"/>
        <v>2.8100000000000001E-10</v>
      </c>
      <c r="U15" s="31">
        <f t="shared" si="18"/>
        <v>1.8099999999999998</v>
      </c>
      <c r="V15" s="31">
        <f t="shared" si="19"/>
        <v>2.81</v>
      </c>
      <c r="W15" s="31">
        <f t="shared" si="38"/>
        <v>2087964.9999999995</v>
      </c>
      <c r="X15" s="32">
        <v>2065.0300000000002</v>
      </c>
      <c r="Y15" s="28">
        <v>0</v>
      </c>
      <c r="Z15" s="24">
        <v>2.5299999999999998</v>
      </c>
      <c r="AA15" s="24">
        <v>-4.2299999999999998E-4</v>
      </c>
      <c r="AE15" s="46">
        <v>0.44125000000000003</v>
      </c>
      <c r="AF15" s="33">
        <f t="shared" si="2"/>
        <v>0.37311089961278132</v>
      </c>
      <c r="AG15" s="33">
        <f t="shared" si="21"/>
        <v>0.15442289039596307</v>
      </c>
      <c r="AH15" s="33">
        <f>1/3*BC15*AV15*AP15</f>
        <v>0.37024310108699077</v>
      </c>
      <c r="AI15" s="33">
        <f>1/3*BC15*AV15*AQ15</f>
        <v>0.40039499504213499</v>
      </c>
      <c r="AJ15" s="46"/>
      <c r="AK15" s="47"/>
      <c r="AL15" s="34">
        <f t="shared" si="4"/>
        <v>2281252.1331538479</v>
      </c>
      <c r="AM15" s="34">
        <f t="shared" si="5"/>
        <v>1928974.5850302742</v>
      </c>
      <c r="AN15" s="48"/>
      <c r="AO15" s="49"/>
      <c r="AP15" s="49">
        <v>2.7884018267334601E-10</v>
      </c>
      <c r="AQ15" s="49">
        <v>3.0154839679999996E-10</v>
      </c>
      <c r="AR15" s="37">
        <f t="shared" si="6"/>
        <v>3.3231741589077008E-10</v>
      </c>
      <c r="AS15" s="49"/>
      <c r="AT15" s="49"/>
      <c r="AU15" s="50"/>
      <c r="AV15" s="51">
        <f t="shared" si="7"/>
        <v>2065.0300000000002</v>
      </c>
      <c r="AW15" s="51">
        <v>2200</v>
      </c>
      <c r="AX15" s="52"/>
      <c r="AY15" s="52"/>
      <c r="AZ15" s="53">
        <f t="shared" si="8"/>
        <v>0</v>
      </c>
      <c r="BA15" s="55">
        <v>102.533</v>
      </c>
      <c r="BB15" s="42">
        <f t="shared" si="23"/>
        <v>1.9289745850302744</v>
      </c>
      <c r="BC15" s="42">
        <f t="shared" si="9"/>
        <v>1928974.5850302745</v>
      </c>
      <c r="BD15" s="55"/>
      <c r="BE15" s="56"/>
      <c r="BF15" s="45">
        <f t="shared" si="10"/>
        <v>3983390387.325068</v>
      </c>
      <c r="BG15" s="45">
        <f t="shared" si="24"/>
        <v>0.39833903873250681</v>
      </c>
      <c r="BH15" s="45">
        <f t="shared" si="11"/>
        <v>1.1193326988383441</v>
      </c>
      <c r="BI15">
        <v>18.811104</v>
      </c>
      <c r="BJ15">
        <v>-1.6920231528582099E-4</v>
      </c>
      <c r="BK15" s="28">
        <v>0.99389548248676085</v>
      </c>
      <c r="BL15">
        <f>SQRT(BK15)/BI15</f>
        <v>5.2997584236910769E-2</v>
      </c>
      <c r="BM15">
        <f t="shared" si="25"/>
        <v>0.23056472188097921</v>
      </c>
      <c r="BN15">
        <v>2.7800000000000002E-10</v>
      </c>
      <c r="BO15">
        <f t="shared" si="36"/>
        <v>6.3901052588031007E-11</v>
      </c>
      <c r="BP15">
        <f t="shared" si="26"/>
        <v>6.9149471661589994E-4</v>
      </c>
      <c r="BQ15">
        <f t="shared" si="27"/>
        <v>8.6196189853073764E-3</v>
      </c>
      <c r="BR15" s="24">
        <f t="shared" si="40"/>
        <v>7.7916751857846874E-10</v>
      </c>
      <c r="BS15" s="24"/>
    </row>
    <row r="16" spans="1:71" ht="20.25" customHeight="1">
      <c r="A16" s="22" t="s">
        <v>166</v>
      </c>
      <c r="B16" s="57"/>
      <c r="C16" s="22">
        <v>1</v>
      </c>
      <c r="D16" s="22">
        <v>55</v>
      </c>
      <c r="E16" s="22">
        <v>54</v>
      </c>
      <c r="F16" s="24">
        <f t="shared" si="0"/>
        <v>9.1994204499999998E-26</v>
      </c>
      <c r="G16" s="24">
        <f t="shared" si="1"/>
        <v>4.9190682239999996E-29</v>
      </c>
      <c r="H16" s="25">
        <f t="shared" si="13"/>
        <v>1904.7875860407996</v>
      </c>
      <c r="I16" s="25">
        <f t="shared" si="14"/>
        <v>1.0185185185185186</v>
      </c>
      <c r="J16" s="26">
        <f t="shared" si="15"/>
        <v>9.1945013817760001E-26</v>
      </c>
      <c r="K16" s="28">
        <v>158.52600000000001</v>
      </c>
      <c r="L16" s="28">
        <f>10^(-0.439+398/N16+879000/N16^2)/1000</f>
        <v>3.78088190424221E-3</v>
      </c>
      <c r="M16" s="29">
        <f t="shared" si="16"/>
        <v>8.7260034904013963E-4</v>
      </c>
      <c r="N16" s="28">
        <v>1146</v>
      </c>
      <c r="O16" s="30">
        <f t="shared" si="37"/>
        <v>5.811897000013199E-5</v>
      </c>
      <c r="P16" s="30">
        <v>2.12E-4</v>
      </c>
      <c r="R16" s="31">
        <v>1.1800000000000001E-10</v>
      </c>
      <c r="S16" s="31">
        <v>1.81E-10</v>
      </c>
      <c r="T16" s="31">
        <f t="shared" si="17"/>
        <v>2.99E-10</v>
      </c>
      <c r="U16" s="31">
        <f t="shared" si="18"/>
        <v>1.5338983050847457</v>
      </c>
      <c r="V16" s="31">
        <f t="shared" si="19"/>
        <v>2.99</v>
      </c>
      <c r="W16" s="31">
        <f t="shared" si="38"/>
        <v>2727612</v>
      </c>
      <c r="X16" s="32">
        <v>1873.13</v>
      </c>
      <c r="Y16" s="28">
        <v>0</v>
      </c>
      <c r="Z16" s="24">
        <v>3.39</v>
      </c>
      <c r="AA16" s="24">
        <v>-5.7799999999999995E-4</v>
      </c>
      <c r="AB16" s="28">
        <v>1</v>
      </c>
      <c r="AC16" s="28">
        <v>2</v>
      </c>
      <c r="AD16" s="28">
        <f t="shared" si="20"/>
        <v>3</v>
      </c>
      <c r="AE16" s="46">
        <v>0.37705</v>
      </c>
      <c r="AF16" s="33">
        <f t="shared" si="2"/>
        <v>0.33599408249358714</v>
      </c>
      <c r="AG16" s="33">
        <f t="shared" si="21"/>
        <v>0.1088871966752761</v>
      </c>
      <c r="AH16" s="33">
        <f>1/3*BC16*AV16*AP16</f>
        <v>0.32666098973626656</v>
      </c>
      <c r="AI16" s="33">
        <f>1/3*BC16*AV16*AQ16</f>
        <v>0.36759447686851399</v>
      </c>
      <c r="AJ16" s="46">
        <v>0.33599408249358731</v>
      </c>
      <c r="AK16" s="47">
        <f>(AE16-AJ16)/AE16</f>
        <v>0.10888719667527566</v>
      </c>
      <c r="AL16" s="34">
        <f t="shared" si="4"/>
        <v>2019673.1502314182</v>
      </c>
      <c r="AM16" s="34">
        <f t="shared" si="5"/>
        <v>1799756.6027023955</v>
      </c>
      <c r="AN16" s="48">
        <v>1123726028.406646</v>
      </c>
      <c r="AO16" s="49">
        <f>AJ16/AN16</f>
        <v>2.9900000000000016E-10</v>
      </c>
      <c r="AP16" s="49">
        <v>2.9069451225530999E-10</v>
      </c>
      <c r="AQ16" s="49">
        <v>3.2712108429999942E-10</v>
      </c>
      <c r="AR16" s="37">
        <f t="shared" si="6"/>
        <v>3.3553552242144542E-10</v>
      </c>
      <c r="AS16" s="49">
        <f>AE16/AN16</f>
        <v>3.3553552242144542E-10</v>
      </c>
      <c r="AT16" s="49">
        <f>(AS16-AO16)/AO16</f>
        <v>0.12219238268041888</v>
      </c>
      <c r="AU16" s="50">
        <f>AJ16/AV16</f>
        <v>1.7937574140267215E-4</v>
      </c>
      <c r="AV16" s="51">
        <f t="shared" si="7"/>
        <v>1873.13</v>
      </c>
      <c r="AW16" s="51"/>
      <c r="AX16" s="52">
        <f>AE16/AU16</f>
        <v>2102.0122177701733</v>
      </c>
      <c r="AY16" s="52">
        <f t="shared" si="22"/>
        <v>0.12219238268041895</v>
      </c>
      <c r="AZ16" s="53">
        <f t="shared" si="8"/>
        <v>3.2121805209711983E-3</v>
      </c>
      <c r="BA16" s="54">
        <v>104.6</v>
      </c>
      <c r="BB16" s="42">
        <f t="shared" si="23"/>
        <v>1.7997566027023955</v>
      </c>
      <c r="BC16" s="42">
        <f t="shared" si="9"/>
        <v>1799756.6027023955</v>
      </c>
      <c r="BD16" s="55">
        <f>AE16/(AZ16)</f>
        <v>117.38132322837181</v>
      </c>
      <c r="BE16" s="56">
        <f>(BD16-BA16)/BA16</f>
        <v>0.12219238268041892</v>
      </c>
      <c r="BF16" s="45">
        <f t="shared" si="10"/>
        <v>3371178085.2199383</v>
      </c>
      <c r="BG16" s="45">
        <f t="shared" si="24"/>
        <v>0.33711780852199386</v>
      </c>
      <c r="BH16" s="45">
        <f t="shared" si="11"/>
        <v>1.0079822474807616</v>
      </c>
      <c r="BI16">
        <v>25.238717999999999</v>
      </c>
      <c r="BJ16">
        <v>-3.8382393861047752E-4</v>
      </c>
      <c r="BK16" s="28">
        <v>0.90815460417356741</v>
      </c>
      <c r="BL16">
        <f>SQRT(BK16)/BI16</f>
        <v>3.7758314836526127E-2</v>
      </c>
      <c r="BM16">
        <f t="shared" si="25"/>
        <v>0.19905191239018427</v>
      </c>
      <c r="BN16">
        <v>2.8999999999999998E-10</v>
      </c>
      <c r="BO16">
        <f t="shared" si="36"/>
        <v>5.5010329572360059E-11</v>
      </c>
      <c r="BP16">
        <f t="shared" si="26"/>
        <v>7.7624486036274886E-4</v>
      </c>
      <c r="BQ16">
        <f t="shared" si="27"/>
        <v>8.8314060945664571E-3</v>
      </c>
      <c r="BR16" s="24">
        <f t="shared" si="40"/>
        <v>7.4001853993764589E-10</v>
      </c>
      <c r="BS16" s="24"/>
    </row>
    <row r="17" spans="1:71" ht="20.25" customHeight="1">
      <c r="A17" s="22" t="s">
        <v>167</v>
      </c>
      <c r="B17" s="57">
        <v>0.3</v>
      </c>
      <c r="C17" s="22">
        <v>1</v>
      </c>
      <c r="D17" s="22">
        <v>26</v>
      </c>
      <c r="E17" s="22">
        <v>25</v>
      </c>
      <c r="F17" s="24">
        <f t="shared" si="0"/>
        <v>4.3488169400000001E-26</v>
      </c>
      <c r="G17" s="24">
        <f t="shared" si="1"/>
        <v>2.2773463999999997E-29</v>
      </c>
      <c r="H17" s="25">
        <f t="shared" si="13"/>
        <v>1985.9822895629759</v>
      </c>
      <c r="I17" s="25">
        <f t="shared" si="14"/>
        <v>1.04</v>
      </c>
      <c r="J17" s="26">
        <f t="shared" si="15"/>
        <v>4.3465395936000002E-26</v>
      </c>
      <c r="K17" s="28">
        <v>84.99</v>
      </c>
      <c r="L17" s="28"/>
      <c r="M17" s="29">
        <f t="shared" si="16"/>
        <v>1.7148246591785991E-3</v>
      </c>
      <c r="N17" s="61">
        <v>583.15</v>
      </c>
      <c r="O17" s="28">
        <v>4.4669999999999998E-5</v>
      </c>
      <c r="P17" s="62">
        <v>3.7599999999999998E-4</v>
      </c>
      <c r="R17" s="31">
        <v>1.02E-10</v>
      </c>
      <c r="S17" s="31">
        <v>2.31E-10</v>
      </c>
      <c r="T17" s="31">
        <f t="shared" si="17"/>
        <v>3.3299999999999999E-10</v>
      </c>
      <c r="U17" s="31">
        <f t="shared" si="18"/>
        <v>2.2647058823529411</v>
      </c>
      <c r="V17" s="31">
        <f t="shared" si="19"/>
        <v>3.33</v>
      </c>
      <c r="W17" s="31">
        <f t="shared" si="38"/>
        <v>1886915.5249999999</v>
      </c>
      <c r="X17" s="28">
        <v>2490.4882499999999</v>
      </c>
      <c r="Y17" s="28">
        <v>-1.155</v>
      </c>
      <c r="Z17" s="31">
        <v>2.3338999999999999</v>
      </c>
      <c r="AA17" s="24">
        <v>-7.6650000000000004E-4</v>
      </c>
      <c r="AB17" s="28">
        <v>2</v>
      </c>
      <c r="AC17" s="28">
        <v>3</v>
      </c>
      <c r="AD17" s="28">
        <f t="shared" si="20"/>
        <v>5</v>
      </c>
      <c r="AE17" s="46">
        <v>0.51224999999999998</v>
      </c>
      <c r="AF17" s="33">
        <f t="shared" si="2"/>
        <v>0.70252146004029536</v>
      </c>
      <c r="AG17" s="33">
        <f t="shared" si="21"/>
        <v>0.37144257694542782</v>
      </c>
      <c r="AH17" s="33">
        <f>1/3*BC17*AV17*AP17</f>
        <v>0.43236429370237983</v>
      </c>
      <c r="AI17" s="33"/>
      <c r="AJ17" s="46">
        <v>0.69828459522735364</v>
      </c>
      <c r="AK17" s="47">
        <f>(AE17-AJ17)/AE17</f>
        <v>-0.36317148897482415</v>
      </c>
      <c r="AL17" s="34">
        <f t="shared" si="4"/>
        <v>2539896.4555242937</v>
      </c>
      <c r="AM17" s="34">
        <f t="shared" si="5"/>
        <v>3483322.1401387961</v>
      </c>
      <c r="AN17" s="48">
        <v>2096950736.418479</v>
      </c>
      <c r="AO17" s="49">
        <f>AJ17/AN17</f>
        <v>3.3300000000000009E-10</v>
      </c>
      <c r="AP17" s="49">
        <v>2.0494364655370699E-10</v>
      </c>
      <c r="AQ17" s="49"/>
      <c r="AR17" s="37">
        <f t="shared" si="6"/>
        <v>2.4281002033762193E-10</v>
      </c>
      <c r="AS17" s="49">
        <f>AE17/AN17</f>
        <v>2.4428327814458135E-10</v>
      </c>
      <c r="AT17" s="49">
        <f>(AS17-AO17)/AO17</f>
        <v>-0.26641658214840458</v>
      </c>
      <c r="AU17" s="50">
        <f>AJ17/AV17</f>
        <v>3.8431690207620117E-4</v>
      </c>
      <c r="AV17" s="51">
        <f t="shared" si="7"/>
        <v>1816.9499999999998</v>
      </c>
      <c r="AW17" s="51"/>
      <c r="AX17" s="52">
        <f>AE17/AU17</f>
        <v>1332.8843910654564</v>
      </c>
      <c r="AY17" s="52">
        <f t="shared" si="22"/>
        <v>-0.26641658214840447</v>
      </c>
      <c r="AZ17" s="53">
        <f t="shared" si="8"/>
        <v>4.4876902006899333E-3</v>
      </c>
      <c r="BA17" s="55">
        <v>155.6</v>
      </c>
      <c r="BB17" s="42">
        <f t="shared" si="23"/>
        <v>3.4833221401387955</v>
      </c>
      <c r="BC17" s="42">
        <f t="shared" si="9"/>
        <v>3483322.1401387956</v>
      </c>
      <c r="BD17" s="55">
        <f>AE17/(AZ17)</f>
        <v>114.14557981770825</v>
      </c>
      <c r="BE17" s="56">
        <f>(BD17-BA17)/BA17</f>
        <v>-0.26641658214840452</v>
      </c>
      <c r="BF17" s="45">
        <f t="shared" si="10"/>
        <v>6329022162.5251837</v>
      </c>
      <c r="BG17" s="45">
        <f t="shared" si="24"/>
        <v>0.63290221625251841</v>
      </c>
      <c r="BH17" s="45">
        <f t="shared" si="11"/>
        <v>2.1075643801208859</v>
      </c>
      <c r="BI17">
        <v>16.771318999999998</v>
      </c>
      <c r="BJ17">
        <v>-6.2307896722837803E-3</v>
      </c>
      <c r="BL17"/>
      <c r="BM17">
        <f t="shared" si="25"/>
        <v>0.24418354263617689</v>
      </c>
      <c r="BN17"/>
      <c r="BO17" s="45">
        <f t="shared" ref="BO17:BO40" si="41">T17*SQRT(0.9/BI17)</f>
        <v>7.7140398569729592E-11</v>
      </c>
      <c r="BP17">
        <f t="shared" si="26"/>
        <v>4.7065678746182034E-3</v>
      </c>
      <c r="BQ17">
        <f t="shared" si="27"/>
        <v>6.6513724919273513E-3</v>
      </c>
      <c r="BR17" s="24"/>
      <c r="BS17" s="24"/>
    </row>
    <row r="18" spans="1:71" ht="20.25" customHeight="1">
      <c r="A18" s="22" t="s">
        <v>168</v>
      </c>
      <c r="B18" s="57">
        <v>0.2</v>
      </c>
      <c r="C18" s="22">
        <v>1</v>
      </c>
      <c r="D18" s="22">
        <v>34</v>
      </c>
      <c r="E18" s="22">
        <v>33</v>
      </c>
      <c r="F18" s="24">
        <f t="shared" si="0"/>
        <v>5.6869144599999998E-26</v>
      </c>
      <c r="G18" s="24">
        <f t="shared" si="1"/>
        <v>3.0060972479999997E-29</v>
      </c>
      <c r="H18" s="25">
        <f t="shared" si="13"/>
        <v>1949.1203104325261</v>
      </c>
      <c r="I18" s="25">
        <f t="shared" si="14"/>
        <v>1.0303030303030303</v>
      </c>
      <c r="J18" s="26">
        <f t="shared" si="15"/>
        <v>5.6839083627519992E-26</v>
      </c>
      <c r="K18" s="28">
        <v>101.1</v>
      </c>
      <c r="L18" s="28"/>
      <c r="M18" s="29">
        <f t="shared" si="16"/>
        <v>1.6389412439564042E-3</v>
      </c>
      <c r="N18" s="28">
        <v>610.15</v>
      </c>
      <c r="O18" s="28">
        <v>5.4060000000000001E-5</v>
      </c>
      <c r="P18" s="62">
        <v>3.8999999999999999E-4</v>
      </c>
      <c r="R18" s="31">
        <v>1.3799999999999999E-10</v>
      </c>
      <c r="S18" s="31">
        <v>2.31E-10</v>
      </c>
      <c r="T18" s="31">
        <f t="shared" si="17"/>
        <v>3.6899999999999997E-10</v>
      </c>
      <c r="U18" s="31">
        <f t="shared" si="18"/>
        <v>1.673913043478261</v>
      </c>
      <c r="V18" s="31">
        <f t="shared" si="19"/>
        <v>3.6899999999999995</v>
      </c>
      <c r="W18" s="31">
        <f t="shared" si="38"/>
        <v>1870200.65</v>
      </c>
      <c r="X18" s="28">
        <v>2449.9279999999999</v>
      </c>
      <c r="Y18" s="28">
        <v>-1.1200000000000001</v>
      </c>
      <c r="Z18" s="31">
        <v>2.3149999999999999</v>
      </c>
      <c r="AA18" s="24">
        <v>-7.2900000000000005E-4</v>
      </c>
      <c r="AB18" s="28">
        <v>2</v>
      </c>
      <c r="AC18" s="28">
        <v>3</v>
      </c>
      <c r="AD18" s="28">
        <f t="shared" si="20"/>
        <v>5</v>
      </c>
      <c r="AE18" s="46">
        <v>0.40920000000000001</v>
      </c>
      <c r="AF18" s="33">
        <f t="shared" si="2"/>
        <v>0.56673048612652599</v>
      </c>
      <c r="AG18" s="33">
        <f t="shared" si="21"/>
        <v>0.38497186247929127</v>
      </c>
      <c r="AH18" s="33"/>
      <c r="AI18" s="33"/>
      <c r="AJ18" s="46">
        <v>0.53083304545912946</v>
      </c>
      <c r="AK18" s="47">
        <f>(AE18-AJ18)/AE18</f>
        <v>-0.29724595664498887</v>
      </c>
      <c r="AL18" s="34">
        <f t="shared" si="4"/>
        <v>1883224.6107082034</v>
      </c>
      <c r="AM18" s="34">
        <f t="shared" si="5"/>
        <v>2608213.0965593783</v>
      </c>
      <c r="AN18" s="48">
        <v>1438571938.91363</v>
      </c>
      <c r="AO18" s="49">
        <f>AJ18/AN18</f>
        <v>3.6899999999999997E-10</v>
      </c>
      <c r="AP18" s="49"/>
      <c r="AQ18" s="49"/>
      <c r="AR18" s="37">
        <f t="shared" si="6"/>
        <v>2.6643140557342366E-10</v>
      </c>
      <c r="AS18" s="49">
        <f>AE18/AN18</f>
        <v>2.8444875708406813E-10</v>
      </c>
      <c r="AT18" s="49">
        <f>(AS18-AO18)/AO18</f>
        <v>-0.22913615966377193</v>
      </c>
      <c r="AU18" s="50">
        <f>AJ18/AV18</f>
        <v>3.004896779385526E-4</v>
      </c>
      <c r="AV18" s="51">
        <f t="shared" si="7"/>
        <v>1766.56</v>
      </c>
      <c r="AW18" s="51"/>
      <c r="AX18" s="52">
        <f>AE18/AU18</f>
        <v>1361.7772257843667</v>
      </c>
      <c r="AY18" s="52">
        <f t="shared" si="22"/>
        <v>-0.22913615966377213</v>
      </c>
      <c r="AZ18" s="53">
        <f t="shared" si="8"/>
        <v>3.7647733720505634E-3</v>
      </c>
      <c r="BA18" s="55">
        <v>141</v>
      </c>
      <c r="BB18" s="42">
        <f t="shared" si="23"/>
        <v>2.6082130965593784</v>
      </c>
      <c r="BC18" s="42">
        <f t="shared" si="9"/>
        <v>2608213.0965593783</v>
      </c>
      <c r="BD18" s="55">
        <f>AE18/(AZ18)</f>
        <v>108.69180148740814</v>
      </c>
      <c r="BE18" s="56">
        <f>(BD18-BA18)/BA18</f>
        <v>-0.22913615966377204</v>
      </c>
      <c r="BF18" s="45">
        <f t="shared" si="10"/>
        <v>4607564927.857935</v>
      </c>
      <c r="BG18" s="45">
        <f t="shared" si="24"/>
        <v>0.4607564927857935</v>
      </c>
      <c r="BH18" s="45">
        <f t="shared" si="11"/>
        <v>1.7001914583795779</v>
      </c>
      <c r="BI18">
        <v>23.978197999999999</v>
      </c>
      <c r="BJ18">
        <v>-1.0344196342977509E-2</v>
      </c>
      <c r="BL18"/>
      <c r="BM18">
        <f t="shared" si="25"/>
        <v>0.20421692333539934</v>
      </c>
      <c r="BN18"/>
      <c r="BO18" s="45">
        <f t="shared" si="41"/>
        <v>7.1489021024247999E-11</v>
      </c>
      <c r="BP18">
        <f t="shared" si="26"/>
        <v>4.2416207560327067E-3</v>
      </c>
      <c r="BQ18">
        <f t="shared" si="27"/>
        <v>7.9000220425086299E-3</v>
      </c>
      <c r="BR18" s="24"/>
      <c r="BS18" s="24"/>
    </row>
    <row r="19" spans="1:71" ht="20.25" customHeight="1">
      <c r="A19" s="22" t="s">
        <v>169</v>
      </c>
      <c r="B19" s="57">
        <v>0.05</v>
      </c>
      <c r="C19" s="22">
        <v>1</v>
      </c>
      <c r="D19" s="22">
        <v>49</v>
      </c>
      <c r="E19" s="22">
        <v>46</v>
      </c>
      <c r="F19" s="24">
        <f t="shared" si="0"/>
        <v>8.1958473100000004E-26</v>
      </c>
      <c r="G19" s="24">
        <f t="shared" si="1"/>
        <v>4.1903173759999999E-29</v>
      </c>
      <c r="H19" s="25">
        <f t="shared" si="13"/>
        <v>2083.4601076018726</v>
      </c>
      <c r="I19" s="25">
        <f t="shared" si="14"/>
        <v>1.0652173913043479</v>
      </c>
      <c r="J19" s="26">
        <f t="shared" si="15"/>
        <v>8.1916569926240009E-26</v>
      </c>
      <c r="K19" s="27">
        <v>167.21</v>
      </c>
      <c r="L19" s="28"/>
      <c r="M19" s="29">
        <f t="shared" si="16"/>
        <v>8.3963056255247689E-4</v>
      </c>
      <c r="N19" s="63">
        <v>1191</v>
      </c>
      <c r="O19" s="30">
        <f>K19/W19</f>
        <v>4.292862515949649E-5</v>
      </c>
      <c r="P19" s="30">
        <v>3.0899999999999998E-4</v>
      </c>
      <c r="R19" s="31">
        <v>7.1999999999999997E-11</v>
      </c>
      <c r="S19" s="31">
        <v>1.3300000000000001E-10</v>
      </c>
      <c r="T19" s="31">
        <f t="shared" si="17"/>
        <v>2.0500000000000002E-10</v>
      </c>
      <c r="U19" s="31">
        <f t="shared" si="18"/>
        <v>1.8472222222222223</v>
      </c>
      <c r="V19" s="31">
        <f t="shared" si="19"/>
        <v>2.0500000000000003</v>
      </c>
      <c r="W19" s="31">
        <f>(5.36-0.00123*N19)*1000000</f>
        <v>3895070.0000000005</v>
      </c>
      <c r="X19" s="32">
        <v>1700</v>
      </c>
      <c r="Y19" s="28">
        <v>0</v>
      </c>
      <c r="Z19" s="28">
        <v>5.36</v>
      </c>
      <c r="AA19" s="28">
        <v>-1.23E-3</v>
      </c>
      <c r="AE19" s="46"/>
      <c r="AF19" s="33">
        <f t="shared" si="2"/>
        <v>0.3328431774116381</v>
      </c>
      <c r="AG19" s="33"/>
      <c r="AH19" s="33"/>
      <c r="AI19" s="33"/>
      <c r="AJ19" s="46"/>
      <c r="AK19" s="47"/>
      <c r="AL19" s="34">
        <f t="shared" si="4"/>
        <v>0</v>
      </c>
      <c r="AM19" s="34" t="e">
        <f t="shared" si="5"/>
        <v>#DIV/0!</v>
      </c>
      <c r="AN19" s="48"/>
      <c r="AO19" s="49"/>
      <c r="AP19" s="49"/>
      <c r="AQ19" s="49"/>
      <c r="AR19" s="37">
        <f t="shared" si="6"/>
        <v>0</v>
      </c>
      <c r="AS19" s="49"/>
      <c r="AT19" s="49"/>
      <c r="AU19" s="50"/>
      <c r="AV19" s="51">
        <f t="shared" si="7"/>
        <v>1700</v>
      </c>
      <c r="AW19" s="51"/>
      <c r="AX19" s="52"/>
      <c r="AY19" s="52"/>
      <c r="AZ19" s="53">
        <f t="shared" si="8"/>
        <v>0</v>
      </c>
      <c r="BA19" s="64">
        <v>123</v>
      </c>
      <c r="BB19" s="42">
        <f t="shared" si="23"/>
        <v>2.8652210394115185</v>
      </c>
      <c r="BC19" s="42">
        <f t="shared" si="9"/>
        <v>2865221.0394115187</v>
      </c>
      <c r="BD19" s="55"/>
      <c r="BE19" s="56"/>
      <c r="BF19" s="45">
        <f t="shared" si="10"/>
        <v>4870875766.9995823</v>
      </c>
      <c r="BG19" s="45">
        <f t="shared" si="24"/>
        <v>0.48708757669995822</v>
      </c>
      <c r="BH19" s="45">
        <f t="shared" si="11"/>
        <v>0.99852953223491447</v>
      </c>
      <c r="BI19">
        <v>15.723757000000001</v>
      </c>
      <c r="BJ19">
        <v>-1.674479721671473E-8</v>
      </c>
      <c r="BL19"/>
      <c r="BM19">
        <f t="shared" si="25"/>
        <v>0.25218650230768064</v>
      </c>
      <c r="BN19"/>
      <c r="BO19" s="45">
        <f t="shared" si="41"/>
        <v>4.9045250160280176E-11</v>
      </c>
      <c r="BP19">
        <f t="shared" si="26"/>
        <v>8.229692775648446E-6</v>
      </c>
      <c r="BQ19">
        <f t="shared" si="27"/>
        <v>6.1147625089962004E-3</v>
      </c>
      <c r="BR19" s="24"/>
      <c r="BS19" s="24"/>
    </row>
    <row r="20" spans="1:71" ht="20.25" customHeight="1">
      <c r="A20" s="22" t="s">
        <v>170</v>
      </c>
      <c r="B20" s="57">
        <v>0.08</v>
      </c>
      <c r="C20" s="22">
        <v>1</v>
      </c>
      <c r="D20" s="22">
        <v>99</v>
      </c>
      <c r="E20" s="22">
        <v>96</v>
      </c>
      <c r="F20" s="24">
        <f t="shared" si="0"/>
        <v>1.6558956810000001E-25</v>
      </c>
      <c r="G20" s="24">
        <f t="shared" si="1"/>
        <v>8.7450101759999993E-29</v>
      </c>
      <c r="H20" s="25">
        <f t="shared" si="13"/>
        <v>1952.7048987521384</v>
      </c>
      <c r="I20" s="25">
        <f t="shared" si="14"/>
        <v>1.03125</v>
      </c>
      <c r="J20" s="26">
        <f t="shared" si="15"/>
        <v>1.6550211799824002E-25</v>
      </c>
      <c r="K20" s="27">
        <v>308.0317</v>
      </c>
      <c r="L20" s="28"/>
      <c r="M20" s="29">
        <f t="shared" si="16"/>
        <v>7.2254335260115603E-4</v>
      </c>
      <c r="N20" s="63">
        <v>1384</v>
      </c>
      <c r="O20" s="30">
        <f>K20/W20</f>
        <v>5.0331977124183008E-5</v>
      </c>
      <c r="P20" s="30">
        <v>1.21E-4</v>
      </c>
      <c r="R20" s="31">
        <v>9.3999999999999999E-11</v>
      </c>
      <c r="S20" s="31">
        <v>1.3300000000000001E-10</v>
      </c>
      <c r="T20" s="31">
        <f t="shared" si="17"/>
        <v>2.2699999999999999E-10</v>
      </c>
      <c r="U20" s="31">
        <f t="shared" si="18"/>
        <v>1.4148936170212767</v>
      </c>
      <c r="V20" s="31">
        <f t="shared" si="19"/>
        <v>2.27</v>
      </c>
      <c r="W20" s="31">
        <v>6120000</v>
      </c>
      <c r="X20" s="32">
        <v>1362</v>
      </c>
      <c r="Y20" s="28">
        <v>0</v>
      </c>
      <c r="Z20" s="28">
        <v>7.34</v>
      </c>
      <c r="AA20" s="28">
        <v>-8.0800000000000002E-4</v>
      </c>
      <c r="AE20" s="46"/>
      <c r="AF20" s="33">
        <f t="shared" si="2"/>
        <v>0.34399093755610216</v>
      </c>
      <c r="AG20" s="33"/>
      <c r="AH20" s="33"/>
      <c r="AI20" s="33"/>
      <c r="AJ20" s="46"/>
      <c r="AK20" s="47"/>
      <c r="AL20" s="34">
        <f t="shared" si="4"/>
        <v>0</v>
      </c>
      <c r="AM20" s="34" t="e">
        <f t="shared" si="5"/>
        <v>#DIV/0!</v>
      </c>
      <c r="AN20" s="48"/>
      <c r="AO20" s="49"/>
      <c r="AP20" s="49"/>
      <c r="AQ20" s="49"/>
      <c r="AR20" s="37">
        <f t="shared" si="6"/>
        <v>0</v>
      </c>
      <c r="AS20" s="49"/>
      <c r="AT20" s="49"/>
      <c r="AU20" s="50"/>
      <c r="AV20" s="51">
        <f t="shared" si="7"/>
        <v>1362</v>
      </c>
      <c r="AW20" s="51"/>
      <c r="AX20" s="52"/>
      <c r="AY20" s="52"/>
      <c r="AZ20" s="53">
        <f t="shared" si="8"/>
        <v>0</v>
      </c>
      <c r="BA20" s="65">
        <v>168</v>
      </c>
      <c r="BB20" s="42">
        <f t="shared" si="23"/>
        <v>3.337838280930177</v>
      </c>
      <c r="BC20" s="42">
        <f t="shared" si="9"/>
        <v>3337838.2809301768</v>
      </c>
      <c r="BD20" s="55"/>
      <c r="BE20" s="56"/>
      <c r="BF20" s="45">
        <f t="shared" si="10"/>
        <v>4546135738.6269007</v>
      </c>
      <c r="BG20" s="45">
        <f t="shared" si="24"/>
        <v>0.45461357386269008</v>
      </c>
      <c r="BH20" s="45">
        <f t="shared" si="11"/>
        <v>1.0319728126683063</v>
      </c>
      <c r="BI20">
        <v>17.560604999999999</v>
      </c>
      <c r="BJ20">
        <v>-2.631744298839491E-7</v>
      </c>
      <c r="BL20"/>
      <c r="BM20">
        <f t="shared" si="25"/>
        <v>0.23863286914181275</v>
      </c>
      <c r="BN20"/>
      <c r="BO20" s="45">
        <f t="shared" si="41"/>
        <v>5.1389852931801533E-11</v>
      </c>
      <c r="BP20">
        <f t="shared" si="26"/>
        <v>2.9213417889489149E-5</v>
      </c>
      <c r="BQ20">
        <f t="shared" si="27"/>
        <v>6.1843690150524804E-3</v>
      </c>
      <c r="BR20" s="24"/>
      <c r="BS20" s="24"/>
    </row>
    <row r="21" spans="1:71" ht="15">
      <c r="A21" s="22" t="s">
        <v>171</v>
      </c>
      <c r="B21" s="57">
        <v>0.09</v>
      </c>
      <c r="C21" s="22">
        <v>1</v>
      </c>
      <c r="D21" s="22">
        <v>101</v>
      </c>
      <c r="E21" s="22">
        <v>98</v>
      </c>
      <c r="F21" s="24">
        <f t="shared" si="0"/>
        <v>1.6893481190000001E-25</v>
      </c>
      <c r="G21" s="24">
        <f t="shared" si="1"/>
        <v>8.9271978879999991E-29</v>
      </c>
      <c r="H21" s="25">
        <f t="shared" si="13"/>
        <v>1950.2904261560993</v>
      </c>
      <c r="I21" s="25">
        <f t="shared" si="14"/>
        <v>1.0306122448979591</v>
      </c>
      <c r="J21" s="26">
        <f t="shared" si="15"/>
        <v>1.6884553992112001E-25</v>
      </c>
      <c r="K21" s="27">
        <v>314.02249999999998</v>
      </c>
      <c r="L21" s="28">
        <f>10^(11.4-35400/N21+27700000/N21^2)/1000</f>
        <v>3.3294860215237095E-3</v>
      </c>
      <c r="M21" s="29">
        <f t="shared" si="16"/>
        <v>7.6394194041252863E-4</v>
      </c>
      <c r="N21" s="63">
        <v>1309</v>
      </c>
      <c r="O21" s="30">
        <f>K21/W21</f>
        <v>4.8535162287480677E-5</v>
      </c>
      <c r="P21" s="30">
        <v>1.4899999999999999E-4</v>
      </c>
      <c r="R21" s="31">
        <v>8.9000000000000003E-11</v>
      </c>
      <c r="S21" s="31">
        <v>1.3300000000000001E-10</v>
      </c>
      <c r="T21" s="31">
        <f t="shared" si="17"/>
        <v>2.2200000000000001E-10</v>
      </c>
      <c r="U21" s="31">
        <f t="shared" si="18"/>
        <v>1.4943820224719102</v>
      </c>
      <c r="V21" s="31">
        <f t="shared" si="19"/>
        <v>2.2200000000000002</v>
      </c>
      <c r="W21" s="31">
        <v>6470000</v>
      </c>
      <c r="X21" s="32">
        <v>1062</v>
      </c>
      <c r="Y21" s="28">
        <v>0</v>
      </c>
      <c r="Z21" s="28">
        <v>7.6040000000000001</v>
      </c>
      <c r="AA21" s="28">
        <v>-7.9100000000000004E-4</v>
      </c>
      <c r="AE21" s="46"/>
      <c r="AF21" s="33">
        <f t="shared" si="2"/>
        <v>0.2817403168244314</v>
      </c>
      <c r="AG21" s="33"/>
      <c r="AH21" s="33"/>
      <c r="AI21" s="33"/>
      <c r="AJ21" s="46"/>
      <c r="AK21" s="47"/>
      <c r="AL21" s="34">
        <f t="shared" si="4"/>
        <v>0</v>
      </c>
      <c r="AM21" s="34" t="e">
        <f t="shared" si="5"/>
        <v>#DIV/0!</v>
      </c>
      <c r="AN21" s="48"/>
      <c r="AO21" s="49"/>
      <c r="AP21" s="49"/>
      <c r="AQ21" s="49"/>
      <c r="AR21" s="37">
        <f t="shared" si="6"/>
        <v>0</v>
      </c>
      <c r="AS21" s="49"/>
      <c r="AT21" s="49"/>
      <c r="AU21" s="50"/>
      <c r="AV21" s="51">
        <f t="shared" si="7"/>
        <v>1062</v>
      </c>
      <c r="AW21" s="51"/>
      <c r="AX21" s="52"/>
      <c r="AY21" s="52"/>
      <c r="AZ21" s="53">
        <f t="shared" si="8"/>
        <v>0</v>
      </c>
      <c r="BA21" s="65">
        <v>174</v>
      </c>
      <c r="BB21" s="42">
        <f t="shared" si="23"/>
        <v>3.5850297351304445</v>
      </c>
      <c r="BC21" s="42">
        <f t="shared" si="9"/>
        <v>3585029.7351304446</v>
      </c>
      <c r="BD21" s="55"/>
      <c r="BE21" s="56"/>
      <c r="BF21" s="45">
        <f t="shared" si="10"/>
        <v>3807301578.7085323</v>
      </c>
      <c r="BG21" s="45">
        <f t="shared" si="24"/>
        <v>0.38073015787085324</v>
      </c>
      <c r="BH21" s="45">
        <f t="shared" si="11"/>
        <v>0.84522095047329426</v>
      </c>
      <c r="BI21">
        <v>17.594118999999999</v>
      </c>
      <c r="BJ21">
        <v>-1.2112876587777396E-7</v>
      </c>
      <c r="BL21"/>
      <c r="BM21">
        <f>SQRT(1/BI21)</f>
        <v>0.23840548196432468</v>
      </c>
      <c r="BN21"/>
      <c r="BO21" s="45">
        <f t="shared" si="41"/>
        <v>5.0210028356518796E-11</v>
      </c>
      <c r="BP21">
        <f t="shared" si="26"/>
        <v>1.9781358835796793E-5</v>
      </c>
      <c r="BQ21">
        <f t="shared" si="27"/>
        <v>5.052110380384057E-3</v>
      </c>
      <c r="BR21" s="24">
        <f t="shared" ref="BR21:BR26" si="42">L21/(W21/1000*(X21+Y21*N21))</f>
        <v>4.8456093479738579E-10</v>
      </c>
      <c r="BS21" s="24"/>
    </row>
    <row r="22" spans="1:71" ht="15">
      <c r="A22" s="22" t="s">
        <v>172</v>
      </c>
      <c r="B22" s="57"/>
      <c r="C22" s="22">
        <v>1</v>
      </c>
      <c r="D22" s="22">
        <v>109</v>
      </c>
      <c r="E22" s="22">
        <v>107</v>
      </c>
      <c r="F22" s="24">
        <f t="shared" si="0"/>
        <v>1.823157871E-25</v>
      </c>
      <c r="G22" s="24">
        <f t="shared" si="1"/>
        <v>9.7470425919999998E-29</v>
      </c>
      <c r="H22" s="25">
        <f t="shared" si="13"/>
        <v>1905.4349775174894</v>
      </c>
      <c r="I22" s="25">
        <f t="shared" si="14"/>
        <v>1.0186915887850467</v>
      </c>
      <c r="J22" s="26">
        <f t="shared" si="15"/>
        <v>1.8221831667407999E-25</v>
      </c>
      <c r="K22" s="27">
        <v>344.3879</v>
      </c>
      <c r="L22" s="28">
        <f>0.478*EXP(10900/(8.3144598*N22))/1000</f>
        <v>1.5506403023444345E-3</v>
      </c>
      <c r="M22" s="29">
        <f t="shared" si="16"/>
        <v>8.9766606822262122E-4</v>
      </c>
      <c r="N22" s="63">
        <v>1114</v>
      </c>
      <c r="O22" s="30">
        <f>K22/W22</f>
        <v>7.5193864628820956E-5</v>
      </c>
      <c r="P22" s="30">
        <v>3.3300000000000002E-4</v>
      </c>
      <c r="R22" s="31">
        <v>1.16E-10</v>
      </c>
      <c r="S22" s="31">
        <v>1.81E-10</v>
      </c>
      <c r="T22" s="31">
        <f t="shared" si="17"/>
        <v>2.9700000000000001E-10</v>
      </c>
      <c r="U22" s="31">
        <f t="shared" si="18"/>
        <v>1.5603448275862069</v>
      </c>
      <c r="V22" s="31">
        <f t="shared" si="19"/>
        <v>2.97</v>
      </c>
      <c r="W22" s="31">
        <v>4580000</v>
      </c>
      <c r="X22" s="32">
        <v>1248</v>
      </c>
      <c r="Y22" s="28">
        <v>0</v>
      </c>
      <c r="Z22" s="28">
        <v>6.3746999999999998</v>
      </c>
      <c r="AA22" s="28">
        <v>-1.5222E-3</v>
      </c>
      <c r="AE22" s="46"/>
      <c r="AF22" s="33">
        <f t="shared" si="2"/>
        <v>0.24646691710132676</v>
      </c>
      <c r="AG22" s="33"/>
      <c r="AH22" s="33"/>
      <c r="AI22" s="33"/>
      <c r="AJ22" s="46"/>
      <c r="AK22" s="47"/>
      <c r="AL22" s="34">
        <f t="shared" si="4"/>
        <v>0</v>
      </c>
      <c r="AM22" s="34" t="e">
        <f t="shared" si="5"/>
        <v>#DIV/0!</v>
      </c>
      <c r="AN22" s="48"/>
      <c r="AO22" s="49"/>
      <c r="AP22" s="49"/>
      <c r="AQ22" s="49"/>
      <c r="AR22" s="37">
        <f t="shared" si="6"/>
        <v>0</v>
      </c>
      <c r="AS22" s="49"/>
      <c r="AT22" s="49"/>
      <c r="AU22" s="50"/>
      <c r="AV22" s="51">
        <f t="shared" si="7"/>
        <v>1248</v>
      </c>
      <c r="AW22" s="51"/>
      <c r="AX22" s="52"/>
      <c r="AY22" s="52"/>
      <c r="AZ22" s="53">
        <f t="shared" si="8"/>
        <v>0</v>
      </c>
      <c r="BA22" s="65">
        <v>150</v>
      </c>
      <c r="BB22" s="42">
        <f t="shared" si="23"/>
        <v>1.9948436051324685</v>
      </c>
      <c r="BC22" s="42">
        <f t="shared" si="9"/>
        <v>1994843.6051324685</v>
      </c>
      <c r="BD22" s="55"/>
      <c r="BE22" s="56"/>
      <c r="BF22" s="45">
        <f t="shared" si="10"/>
        <v>2489564819.2053208</v>
      </c>
      <c r="BG22" s="45">
        <f t="shared" si="24"/>
        <v>0.2489564819205321</v>
      </c>
      <c r="BH22" s="45">
        <f t="shared" si="11"/>
        <v>0.73940075130398031</v>
      </c>
      <c r="BI22">
        <v>30.854755000000001</v>
      </c>
      <c r="BJ22">
        <v>-2.5395582396995064E-5</v>
      </c>
      <c r="BL22"/>
      <c r="BM22">
        <f t="shared" si="25"/>
        <v>0.18002754073948021</v>
      </c>
      <c r="BN22"/>
      <c r="BO22" s="45">
        <f t="shared" si="41"/>
        <v>5.0724368963330039E-11</v>
      </c>
      <c r="BP22">
        <f t="shared" si="26"/>
        <v>1.6332662437976018E-4</v>
      </c>
      <c r="BQ22">
        <f t="shared" si="27"/>
        <v>8.7161654033558866E-3</v>
      </c>
      <c r="BR22" s="24">
        <f t="shared" si="42"/>
        <v>2.7128826250287524E-10</v>
      </c>
      <c r="BS22" s="24"/>
    </row>
    <row r="23" spans="1:71" ht="15">
      <c r="A23" s="28" t="s">
        <v>173</v>
      </c>
      <c r="B23" s="66"/>
      <c r="C23" s="28">
        <v>2</v>
      </c>
      <c r="D23" s="67">
        <v>33.76</v>
      </c>
      <c r="E23" s="67">
        <v>33.44</v>
      </c>
      <c r="F23" s="24">
        <f t="shared" si="0"/>
        <v>5.6467715343999995E-26</v>
      </c>
      <c r="G23" s="24">
        <f t="shared" si="1"/>
        <v>3.0461785446399997E-29</v>
      </c>
      <c r="H23" s="25">
        <f t="shared" si="13"/>
        <v>1871.4620768599771</v>
      </c>
      <c r="I23" s="25">
        <f t="shared" si="14"/>
        <v>1.0095693779904307</v>
      </c>
      <c r="J23" s="26">
        <f t="shared" si="15"/>
        <v>5.6437253558553592E-26</v>
      </c>
      <c r="K23" s="28">
        <v>81.162404000000009</v>
      </c>
      <c r="L23" s="28">
        <f>0.141*EXP(18800/(8.3144598*N23))/1000</f>
        <v>3.6048872982003179E-3</v>
      </c>
      <c r="M23" s="29">
        <f t="shared" si="16"/>
        <v>1.43348623853211E-3</v>
      </c>
      <c r="N23" s="28">
        <v>697.6</v>
      </c>
      <c r="O23" s="28">
        <v>4.6549051207293618E-5</v>
      </c>
      <c r="P23" s="28">
        <v>3.0722637834585992E-4</v>
      </c>
      <c r="T23" s="24">
        <f>0.68*T9+0.32*T14</f>
        <v>2.9788000000000001E-10</v>
      </c>
      <c r="U23" s="24"/>
      <c r="V23" s="31">
        <f t="shared" si="19"/>
        <v>2.9788000000000001</v>
      </c>
      <c r="W23" s="24">
        <v>1741629.2032000001</v>
      </c>
      <c r="X23" s="28">
        <v>1968.0306331357569</v>
      </c>
      <c r="AB23" s="28">
        <v>2</v>
      </c>
      <c r="AC23" s="28">
        <v>3</v>
      </c>
      <c r="AD23" s="28">
        <f t="shared" si="20"/>
        <v>5</v>
      </c>
      <c r="AE23" s="46">
        <v>0.43524000000000002</v>
      </c>
      <c r="AF23" s="33">
        <f t="shared" si="2"/>
        <v>0.33375408853502531</v>
      </c>
      <c r="AG23" s="33">
        <f t="shared" si="21"/>
        <v>0.23317229911077728</v>
      </c>
      <c r="AH23" s="33"/>
      <c r="AI23" s="33"/>
      <c r="AJ23" s="46">
        <v>0.28255485787268969</v>
      </c>
      <c r="AK23" s="47">
        <f t="shared" ref="AK23:AK41" si="43">(AE23-AJ23)/AE23</f>
        <v>0.35080677816218714</v>
      </c>
      <c r="AL23" s="34">
        <f t="shared" si="4"/>
        <v>2227290.4609544491</v>
      </c>
      <c r="AM23" s="34">
        <f t="shared" si="5"/>
        <v>1707948.0233861972</v>
      </c>
      <c r="AN23" s="48">
        <v>1120431343.2759011</v>
      </c>
      <c r="AO23" s="49">
        <f t="shared" ref="AO23:AO40" si="44">AJ23/AN23</f>
        <v>2.5218399999999988E-10</v>
      </c>
      <c r="AP23" s="49"/>
      <c r="AQ23" s="49"/>
      <c r="AR23" s="37">
        <f t="shared" si="6"/>
        <v>3.8845753701199731E-10</v>
      </c>
      <c r="AS23" s="49">
        <f t="shared" ref="AS23:AS40" si="45">AE23/AN23</f>
        <v>3.8845753701199716E-10</v>
      </c>
      <c r="AT23" s="49">
        <f t="shared" ref="AT23:AT41" si="46">(AS23-AO23)/AO23</f>
        <v>0.54037344562699197</v>
      </c>
      <c r="AU23" s="50">
        <f t="shared" ref="AU23:AU41" si="47">AJ23/AV23</f>
        <v>1.4357238810987487E-4</v>
      </c>
      <c r="AV23" s="51">
        <f t="shared" si="7"/>
        <v>1968.0306331357569</v>
      </c>
      <c r="AW23" s="51"/>
      <c r="AX23" s="52">
        <f t="shared" ref="AX23:AX41" si="48">AE23/AU23</f>
        <v>3031.5021274627966</v>
      </c>
      <c r="AY23" s="52">
        <f t="shared" si="22"/>
        <v>0.54037344562699197</v>
      </c>
      <c r="AZ23" s="53">
        <f t="shared" si="8"/>
        <v>3.5539989488832884E-3</v>
      </c>
      <c r="BA23" s="55">
        <v>79.503360000000001</v>
      </c>
      <c r="BB23" s="42">
        <f t="shared" si="23"/>
        <v>1.707948023386197</v>
      </c>
      <c r="BC23" s="42">
        <f t="shared" si="9"/>
        <v>1707948.0233861969</v>
      </c>
      <c r="BD23" s="55">
        <f t="shared" ref="BD23:BD41" si="49">AE23/(AZ23)</f>
        <v>122.46486458212317</v>
      </c>
      <c r="BE23" s="56">
        <f t="shared" ref="BE23:BE41" si="50">(BD23-BA23)/BA23</f>
        <v>0.54037344562699197</v>
      </c>
      <c r="BF23" s="45">
        <f t="shared" si="10"/>
        <v>3361294029.8277016</v>
      </c>
      <c r="BG23" s="45">
        <f t="shared" si="24"/>
        <v>0.33612940298277016</v>
      </c>
      <c r="BH23" s="45">
        <f t="shared" si="11"/>
        <v>1.0012622656050758</v>
      </c>
      <c r="BI23">
        <v>17.256965000000001</v>
      </c>
      <c r="BJ23"/>
      <c r="BK23"/>
      <c r="BL23"/>
      <c r="BM23">
        <f t="shared" si="25"/>
        <v>0.24072311291726189</v>
      </c>
      <c r="BN23"/>
      <c r="BO23" s="45">
        <f t="shared" si="41"/>
        <v>6.8026854610840082E-11</v>
      </c>
      <c r="BP23"/>
      <c r="BQ23"/>
      <c r="BR23" s="24">
        <f t="shared" si="42"/>
        <v>1.0517297026523455E-9</v>
      </c>
      <c r="BS23" s="24"/>
    </row>
    <row r="24" spans="1:71" ht="15">
      <c r="A24" s="28" t="s">
        <v>80</v>
      </c>
      <c r="B24" s="66"/>
      <c r="C24" s="28">
        <v>2</v>
      </c>
      <c r="D24" s="67">
        <v>12.34</v>
      </c>
      <c r="E24" s="67">
        <v>11.34</v>
      </c>
      <c r="F24" s="24">
        <f t="shared" si="0"/>
        <v>2.0640154245999999E-26</v>
      </c>
      <c r="G24" s="24">
        <f t="shared" si="1"/>
        <v>1.0330043270399999E-29</v>
      </c>
      <c r="H24" s="25">
        <f t="shared" si="13"/>
        <v>2174.2671429464549</v>
      </c>
      <c r="I24" s="25">
        <f t="shared" si="14"/>
        <v>1.088183421516755</v>
      </c>
      <c r="J24" s="26">
        <f t="shared" si="15"/>
        <v>2.06298242027296E-26</v>
      </c>
      <c r="K24" s="28">
        <v>33.103140000000003</v>
      </c>
      <c r="L24" s="28">
        <f>0.116*EXP(31200/(8.3144598*N24))/1000</f>
        <v>1.9398692129051695E-2</v>
      </c>
      <c r="M24" s="29">
        <f t="shared" si="16"/>
        <v>1.364256480218281E-3</v>
      </c>
      <c r="N24" s="28">
        <v>733</v>
      </c>
      <c r="O24" s="28">
        <v>1.6714173769923689E-5</v>
      </c>
      <c r="P24" s="28">
        <v>1.409526898683356E-4</v>
      </c>
      <c r="T24" s="24">
        <f>0.66*T2+0.34*T10</f>
        <v>1.9472000000000003E-10</v>
      </c>
      <c r="U24" s="24"/>
      <c r="V24" s="31">
        <f t="shared" si="19"/>
        <v>1.9472000000000003</v>
      </c>
      <c r="W24" s="24">
        <v>1986063.3540000001</v>
      </c>
      <c r="X24" s="28">
        <v>2547.6863757231322</v>
      </c>
      <c r="AB24" s="28">
        <v>2</v>
      </c>
      <c r="AC24" s="28">
        <v>3</v>
      </c>
      <c r="AD24" s="28">
        <f t="shared" si="20"/>
        <v>5</v>
      </c>
      <c r="AE24" s="46">
        <v>1.1000000000000001</v>
      </c>
      <c r="AF24" s="33">
        <f t="shared" si="2"/>
        <v>0.71488518084414443</v>
      </c>
      <c r="AG24" s="33">
        <f t="shared" si="21"/>
        <v>0.35010438105077785</v>
      </c>
      <c r="AH24" s="33">
        <f>1/3*BC24*AV24*AP24</f>
        <v>0.60953584013575091</v>
      </c>
      <c r="AI24" s="33">
        <f>1/3*BC24*AV24*AQ24</f>
        <v>1.28305844543897</v>
      </c>
      <c r="AJ24" s="46">
        <v>0.62426158899966577</v>
      </c>
      <c r="AK24" s="47">
        <f t="shared" si="43"/>
        <v>0.43248946454575843</v>
      </c>
      <c r="AL24" s="34">
        <f t="shared" si="4"/>
        <v>6652079.2470877897</v>
      </c>
      <c r="AM24" s="34">
        <f t="shared" si="5"/>
        <v>4323157.1595853958</v>
      </c>
      <c r="AN24" s="48">
        <v>3671349531.8618751</v>
      </c>
      <c r="AO24" s="49">
        <f t="shared" si="44"/>
        <v>1.7003600000000001E-10</v>
      </c>
      <c r="AP24" s="49">
        <v>1.6602500929042107E-10</v>
      </c>
      <c r="AQ24" s="49">
        <v>3.4947869558698333E-10</v>
      </c>
      <c r="AR24" s="37">
        <f t="shared" si="6"/>
        <v>2.9961734518972644E-10</v>
      </c>
      <c r="AS24" s="49">
        <f t="shared" si="45"/>
        <v>2.9961734518972644E-10</v>
      </c>
      <c r="AT24" s="49">
        <f t="shared" si="46"/>
        <v>0.76208182496486876</v>
      </c>
      <c r="AU24" s="50">
        <f t="shared" si="47"/>
        <v>2.4503078359575407E-4</v>
      </c>
      <c r="AV24" s="51">
        <f t="shared" si="7"/>
        <v>2547.6863757231322</v>
      </c>
      <c r="AW24" s="51"/>
      <c r="AX24" s="52">
        <f t="shared" si="48"/>
        <v>4489.23185837235</v>
      </c>
      <c r="AY24" s="52">
        <f t="shared" si="22"/>
        <v>0.76208182496486909</v>
      </c>
      <c r="AZ24" s="53">
        <f t="shared" si="8"/>
        <v>8.6393422043187697E-3</v>
      </c>
      <c r="BA24" s="55">
        <v>72.25800000000001</v>
      </c>
      <c r="BB24" s="42">
        <f t="shared" si="23"/>
        <v>4.3231571595853948</v>
      </c>
      <c r="BC24" s="42">
        <f t="shared" si="9"/>
        <v>4323157.1595853949</v>
      </c>
      <c r="BD24" s="55">
        <f t="shared" si="49"/>
        <v>127.32450850831152</v>
      </c>
      <c r="BE24" s="56">
        <f t="shared" si="50"/>
        <v>0.76208182496486909</v>
      </c>
      <c r="BF24" s="45">
        <f t="shared" si="10"/>
        <v>11014048595.585625</v>
      </c>
      <c r="BG24" s="45">
        <f t="shared" si="24"/>
        <v>1.1014048595585626</v>
      </c>
      <c r="BH24" s="45">
        <f t="shared" si="11"/>
        <v>2.144655542532433</v>
      </c>
      <c r="BI24">
        <v>5.4335149999999999</v>
      </c>
      <c r="BJ24"/>
      <c r="BK24">
        <v>0.94088177613873047</v>
      </c>
      <c r="BL24">
        <f t="shared" ref="BL24:BL30" si="51">SQRT(BK24)/BI24</f>
        <v>0.1785199095266308</v>
      </c>
      <c r="BM24">
        <f t="shared" si="25"/>
        <v>0.42900224494995404</v>
      </c>
      <c r="BN24"/>
      <c r="BO24" s="45">
        <f t="shared" si="41"/>
        <v>7.9248560164897531E-11</v>
      </c>
      <c r="BP24"/>
      <c r="BQ24"/>
      <c r="BR24" s="24">
        <f t="shared" si="42"/>
        <v>3.8338347353322035E-9</v>
      </c>
      <c r="BS24" s="24"/>
    </row>
    <row r="25" spans="1:71" ht="15">
      <c r="A25" s="28" t="s">
        <v>42</v>
      </c>
      <c r="B25" s="66"/>
      <c r="C25" s="28">
        <v>3</v>
      </c>
      <c r="D25" s="67">
        <v>19.64</v>
      </c>
      <c r="E25" s="67">
        <v>19.64</v>
      </c>
      <c r="F25" s="24">
        <f t="shared" si="0"/>
        <v>3.2850294116000003E-26</v>
      </c>
      <c r="G25" s="24">
        <f t="shared" si="1"/>
        <v>1.78908333184E-29</v>
      </c>
      <c r="H25" s="25">
        <f t="shared" si="13"/>
        <v>1836.1522647586683</v>
      </c>
      <c r="I25" s="25">
        <f t="shared" si="14"/>
        <v>1</v>
      </c>
      <c r="J25" s="26">
        <f t="shared" si="15"/>
        <v>3.2832403282681602E-26</v>
      </c>
      <c r="K25" s="28">
        <v>41.290994999999988</v>
      </c>
      <c r="L25" s="28">
        <f>10^(0.213+-1200/N25+1350000/N25^2)/1000</f>
        <v>1.2003439447166342E-2</v>
      </c>
      <c r="M25" s="29">
        <f t="shared" si="16"/>
        <v>1.3605442176870747E-3</v>
      </c>
      <c r="N25" s="28">
        <v>735</v>
      </c>
      <c r="O25" s="28">
        <v>1.9405588331960499E-5</v>
      </c>
      <c r="P25" s="28">
        <v>3.1252324985815613E-4</v>
      </c>
      <c r="T25" s="24">
        <f>0.465*T2+0.115*T3+0.42*T4</f>
        <v>2.3803E-10</v>
      </c>
      <c r="U25" s="24"/>
      <c r="V25" s="31">
        <f t="shared" si="19"/>
        <v>2.3803000000000001</v>
      </c>
      <c r="W25" s="24">
        <v>2102415.4449999998</v>
      </c>
      <c r="X25" s="28">
        <v>2012.468707779205</v>
      </c>
      <c r="AB25" s="28">
        <v>3</v>
      </c>
      <c r="AC25" s="28">
        <v>3</v>
      </c>
      <c r="AD25" s="28">
        <f t="shared" si="20"/>
        <v>6</v>
      </c>
      <c r="AE25" s="46">
        <v>0.78024246508674777</v>
      </c>
      <c r="AF25" s="33">
        <f t="shared" si="2"/>
        <v>0.54326858976638281</v>
      </c>
      <c r="AG25" s="33">
        <f t="shared" si="21"/>
        <v>0.30371824903687866</v>
      </c>
      <c r="AH25" s="33">
        <f>1/3*BC25*AV25*AP25</f>
        <v>0.48209294921946866</v>
      </c>
      <c r="AI25" s="33">
        <f>1/3*BC25*AV25*AQ25</f>
        <v>0.85046707066330796</v>
      </c>
      <c r="AJ25" s="46">
        <v>0.39969771709442198</v>
      </c>
      <c r="AK25" s="47">
        <f t="shared" si="43"/>
        <v>0.48772627102527244</v>
      </c>
      <c r="AL25" s="34">
        <f t="shared" si="4"/>
        <v>4886411.1374480864</v>
      </c>
      <c r="AM25" s="34">
        <f t="shared" si="5"/>
        <v>3402318.9027080513</v>
      </c>
      <c r="AN25" s="48">
        <v>2282353441.8618789</v>
      </c>
      <c r="AO25" s="49">
        <f t="shared" si="44"/>
        <v>1.7512524999999998E-10</v>
      </c>
      <c r="AP25" s="49">
        <v>2.1122624584656404E-10</v>
      </c>
      <c r="AQ25" s="49">
        <v>3.7262724303100115E-10</v>
      </c>
      <c r="AR25" s="37">
        <f t="shared" si="6"/>
        <v>3.418587370281478E-10</v>
      </c>
      <c r="AS25" s="49">
        <f t="shared" si="45"/>
        <v>3.4185873702814765E-10</v>
      </c>
      <c r="AT25" s="49">
        <f t="shared" si="46"/>
        <v>0.95208136478404848</v>
      </c>
      <c r="AU25" s="50">
        <f t="shared" si="47"/>
        <v>1.9861064947215777E-4</v>
      </c>
      <c r="AV25" s="51">
        <f t="shared" si="7"/>
        <v>2012.468707779205</v>
      </c>
      <c r="AW25" s="51"/>
      <c r="AX25" s="52">
        <f t="shared" si="48"/>
        <v>3928.5026616668206</v>
      </c>
      <c r="AY25" s="52">
        <f t="shared" si="22"/>
        <v>0.95208136478404826</v>
      </c>
      <c r="AZ25" s="53">
        <f t="shared" si="8"/>
        <v>6.0538246258091295E-3</v>
      </c>
      <c r="BA25" s="55">
        <v>66.024000000000001</v>
      </c>
      <c r="BB25" s="42">
        <f t="shared" si="23"/>
        <v>3.4023189027080507</v>
      </c>
      <c r="BC25" s="42">
        <f t="shared" si="9"/>
        <v>3402318.9027080508</v>
      </c>
      <c r="BD25" s="55">
        <f t="shared" si="49"/>
        <v>128.88422002850203</v>
      </c>
      <c r="BE25" s="56">
        <f t="shared" si="50"/>
        <v>0.95208136478404859</v>
      </c>
      <c r="BF25" s="45">
        <f t="shared" si="10"/>
        <v>6847060325.5856342</v>
      </c>
      <c r="BG25" s="45">
        <f t="shared" si="24"/>
        <v>0.68470603255856344</v>
      </c>
      <c r="BH25" s="45">
        <f t="shared" si="11"/>
        <v>1.6298057692991486</v>
      </c>
      <c r="BI25">
        <v>8.9301490000000001</v>
      </c>
      <c r="BJ25"/>
      <c r="BK25">
        <v>0.88069482477212113</v>
      </c>
      <c r="BL25">
        <f t="shared" si="51"/>
        <v>0.10508821540807349</v>
      </c>
      <c r="BM25">
        <f t="shared" si="25"/>
        <v>0.33463444897360917</v>
      </c>
      <c r="BN25"/>
      <c r="BO25" s="45">
        <f t="shared" si="41"/>
        <v>7.5565506684457585E-11</v>
      </c>
      <c r="BP25"/>
      <c r="BQ25"/>
      <c r="BR25" s="24">
        <f t="shared" si="42"/>
        <v>2.8369914793196441E-9</v>
      </c>
      <c r="BS25" s="24"/>
    </row>
    <row r="26" spans="1:71" ht="15">
      <c r="A26" s="28" t="s">
        <v>174</v>
      </c>
      <c r="B26" s="66"/>
      <c r="C26" s="28">
        <v>4</v>
      </c>
      <c r="D26" s="67">
        <v>23.315000000000001</v>
      </c>
      <c r="E26" s="67">
        <v>22.74</v>
      </c>
      <c r="F26" s="24">
        <f t="shared" si="0"/>
        <v>3.8997179598500003E-26</v>
      </c>
      <c r="G26" s="24">
        <f t="shared" si="1"/>
        <v>2.0714742854399996E-29</v>
      </c>
      <c r="H26" s="25">
        <f t="shared" si="13"/>
        <v>1930.1835567339556</v>
      </c>
      <c r="I26" s="25">
        <f t="shared" si="14"/>
        <v>1.0252858399296396</v>
      </c>
      <c r="J26" s="26">
        <f t="shared" si="15"/>
        <v>3.8976464855645601E-26</v>
      </c>
      <c r="K26" s="28">
        <v>66.133683500000004</v>
      </c>
      <c r="L26" s="28">
        <f>0.062*EXP(38800/(8.3144598*N26))/1000</f>
        <v>3.0468148860508516E-2</v>
      </c>
      <c r="M26" s="29">
        <f t="shared" si="16"/>
        <v>1.3280212483399733E-3</v>
      </c>
      <c r="N26" s="28">
        <v>753</v>
      </c>
      <c r="O26" s="28">
        <v>1.9202817056926548E-5</v>
      </c>
      <c r="P26" s="28">
        <v>1.6787041064891779E-4</v>
      </c>
      <c r="T26" s="24">
        <f>0.675*T2+0.2*T10+0.005*T20+0.12*T21</f>
        <v>2.0225E-10</v>
      </c>
      <c r="U26" s="24"/>
      <c r="V26" s="31">
        <f t="shared" si="19"/>
        <v>2.0225</v>
      </c>
      <c r="W26" s="24">
        <v>2609440.5150000001</v>
      </c>
      <c r="X26" s="28">
        <v>1781.433208193873</v>
      </c>
      <c r="AB26" s="28">
        <v>4</v>
      </c>
      <c r="AC26" s="28">
        <v>11</v>
      </c>
      <c r="AD26" s="28">
        <f t="shared" si="20"/>
        <v>15</v>
      </c>
      <c r="AE26" s="46">
        <v>1.1599999999999999</v>
      </c>
      <c r="AF26" s="33">
        <f t="shared" si="2"/>
        <v>0.51681594759710647</v>
      </c>
      <c r="AG26" s="33">
        <f t="shared" si="21"/>
        <v>0.5544690106921496</v>
      </c>
      <c r="AH26" s="33"/>
      <c r="AI26" s="33"/>
      <c r="AJ26" s="46">
        <v>0.43510012746839721</v>
      </c>
      <c r="AK26" s="47">
        <f t="shared" si="43"/>
        <v>0.62491368321689889</v>
      </c>
      <c r="AL26" s="34">
        <f t="shared" si="4"/>
        <v>9658755.4388015848</v>
      </c>
      <c r="AM26" s="34">
        <f t="shared" si="5"/>
        <v>4303274.8661318505</v>
      </c>
      <c r="AN26" s="48">
        <v>2555332250.1711068</v>
      </c>
      <c r="AO26" s="49">
        <f t="shared" si="44"/>
        <v>1.7027145000000005E-10</v>
      </c>
      <c r="AP26" s="49"/>
      <c r="AQ26" s="49"/>
      <c r="AR26" s="37">
        <f t="shared" si="6"/>
        <v>4.5395271003303986E-10</v>
      </c>
      <c r="AS26" s="49">
        <f t="shared" si="45"/>
        <v>4.5395271003303991E-10</v>
      </c>
      <c r="AT26" s="49">
        <f t="shared" si="46"/>
        <v>1.6660529996839741</v>
      </c>
      <c r="AU26" s="50">
        <f t="shared" si="47"/>
        <v>2.4424161706827535E-4</v>
      </c>
      <c r="AV26" s="51">
        <f t="shared" si="7"/>
        <v>1781.433208193873</v>
      </c>
      <c r="AW26" s="51"/>
      <c r="AX26" s="52">
        <f t="shared" si="48"/>
        <v>4749.3953484419217</v>
      </c>
      <c r="AY26" s="52">
        <f t="shared" si="22"/>
        <v>1.6660529996839748</v>
      </c>
      <c r="AZ26" s="53">
        <f t="shared" si="8"/>
        <v>5.265324952724598E-3</v>
      </c>
      <c r="BA26" s="55">
        <v>82.635000000000005</v>
      </c>
      <c r="BB26" s="42">
        <f t="shared" si="23"/>
        <v>4.3032748661318507</v>
      </c>
      <c r="BC26" s="42">
        <f t="shared" si="9"/>
        <v>4303274.8661318505</v>
      </c>
      <c r="BD26" s="55">
        <f t="shared" si="49"/>
        <v>220.30928962888524</v>
      </c>
      <c r="BE26" s="56">
        <f t="shared" si="50"/>
        <v>1.6660529996839741</v>
      </c>
      <c r="BF26" s="45">
        <f t="shared" si="10"/>
        <v>7665996750.5133219</v>
      </c>
      <c r="BG26" s="45">
        <f t="shared" si="24"/>
        <v>0.7665996750513322</v>
      </c>
      <c r="BH26" s="45">
        <f t="shared" si="11"/>
        <v>1.5504478427913193</v>
      </c>
      <c r="BI26">
        <v>6.8531060000000004</v>
      </c>
      <c r="BJ26"/>
      <c r="BK26">
        <v>0.94088177613873047</v>
      </c>
      <c r="BL26">
        <f t="shared" si="51"/>
        <v>0.141540289353702</v>
      </c>
      <c r="BM26">
        <f t="shared" si="25"/>
        <v>0.38199376592330547</v>
      </c>
      <c r="BN26"/>
      <c r="BO26" s="45">
        <f t="shared" si="41"/>
        <v>7.3293601125975928E-11</v>
      </c>
      <c r="BP26"/>
      <c r="BQ26"/>
      <c r="BR26" s="24">
        <f t="shared" si="42"/>
        <v>6.5543423785317211E-9</v>
      </c>
      <c r="BS26" s="24"/>
    </row>
    <row r="27" spans="1:71" ht="15">
      <c r="A27" s="28" t="s">
        <v>63</v>
      </c>
      <c r="B27" s="66"/>
      <c r="C27" s="28">
        <v>4</v>
      </c>
      <c r="D27" s="67">
        <v>14.792</v>
      </c>
      <c r="E27" s="67">
        <v>14.388</v>
      </c>
      <c r="F27" s="24">
        <f t="shared" si="0"/>
        <v>2.4741423144799998E-26</v>
      </c>
      <c r="G27" s="24">
        <f t="shared" si="1"/>
        <v>1.3106584001279998E-29</v>
      </c>
      <c r="H27" s="25">
        <f t="shared" si="13"/>
        <v>1940.7144105304449</v>
      </c>
      <c r="I27" s="25">
        <f t="shared" si="14"/>
        <v>1.0280789546844593</v>
      </c>
      <c r="J27" s="26">
        <f t="shared" si="15"/>
        <v>2.4728316560798717E-26</v>
      </c>
      <c r="K27" s="28">
        <v>40.153548000000008</v>
      </c>
      <c r="L27" s="28"/>
      <c r="M27" s="29">
        <f t="shared" si="16"/>
        <v>1.4084507042253522E-3</v>
      </c>
      <c r="N27" s="28">
        <v>710</v>
      </c>
      <c r="O27" s="28">
        <v>1.69198810550489E-5</v>
      </c>
      <c r="P27" s="28">
        <v>1.8512201652073131E-4</v>
      </c>
      <c r="T27" s="24">
        <f>0.712*T2+0.23*T10+0.05*T19+0.008*T21</f>
        <v>1.9924399999999998E-10</v>
      </c>
      <c r="U27" s="24"/>
      <c r="V27" s="31">
        <f t="shared" si="19"/>
        <v>1.9924399999999998</v>
      </c>
      <c r="W27" s="24">
        <v>2163027.5660000001</v>
      </c>
      <c r="X27" s="28">
        <v>2319.1206460873409</v>
      </c>
      <c r="AB27" s="28">
        <v>4</v>
      </c>
      <c r="AC27" s="28">
        <v>11</v>
      </c>
      <c r="AD27" s="28">
        <f t="shared" si="20"/>
        <v>15</v>
      </c>
      <c r="AE27" s="46">
        <v>1.24</v>
      </c>
      <c r="AF27" s="33">
        <f t="shared" si="2"/>
        <v>0.66880040429891452</v>
      </c>
      <c r="AG27" s="33">
        <f t="shared" si="21"/>
        <v>0.46064483524281086</v>
      </c>
      <c r="AH27" s="33"/>
      <c r="AI27" s="33"/>
      <c r="AJ27" s="46">
        <v>0.58242618348722919</v>
      </c>
      <c r="AK27" s="47">
        <f t="shared" si="43"/>
        <v>0.53030146492965391</v>
      </c>
      <c r="AL27" s="34">
        <f t="shared" si="4"/>
        <v>8050713.0166514972</v>
      </c>
      <c r="AM27" s="34">
        <f t="shared" si="5"/>
        <v>4342193.6455089152</v>
      </c>
      <c r="AN27" s="48">
        <v>3356690310.8696609</v>
      </c>
      <c r="AO27" s="49">
        <f t="shared" si="44"/>
        <v>1.7351204000000004E-10</v>
      </c>
      <c r="AP27" s="49"/>
      <c r="AQ27" s="49"/>
      <c r="AR27" s="37">
        <f t="shared" si="6"/>
        <v>3.6941149917364215E-10</v>
      </c>
      <c r="AS27" s="49">
        <f t="shared" si="45"/>
        <v>3.6941149917364205E-10</v>
      </c>
      <c r="AT27" s="49">
        <f t="shared" si="46"/>
        <v>1.129025162597604</v>
      </c>
      <c r="AU27" s="50">
        <f t="shared" si="47"/>
        <v>2.5114095916909632E-4</v>
      </c>
      <c r="AV27" s="51">
        <f t="shared" si="7"/>
        <v>2319.1206460873409</v>
      </c>
      <c r="AW27" s="51"/>
      <c r="AX27" s="52">
        <f t="shared" si="48"/>
        <v>4937.466210619561</v>
      </c>
      <c r="AY27" s="52">
        <f t="shared" si="22"/>
        <v>1.1290251625976038</v>
      </c>
      <c r="AZ27" s="53">
        <f t="shared" si="8"/>
        <v>7.9274661762207006E-3</v>
      </c>
      <c r="BA27" s="55">
        <v>73.469400000000007</v>
      </c>
      <c r="BB27" s="42">
        <f t="shared" si="23"/>
        <v>4.3421936455089156</v>
      </c>
      <c r="BC27" s="42">
        <f t="shared" si="9"/>
        <v>4342193.6455089152</v>
      </c>
      <c r="BD27" s="55">
        <f t="shared" si="49"/>
        <v>156.41820128094841</v>
      </c>
      <c r="BE27" s="56">
        <f t="shared" si="50"/>
        <v>1.1290251625976038</v>
      </c>
      <c r="BF27" s="45">
        <f t="shared" si="10"/>
        <v>10070070932.608982</v>
      </c>
      <c r="BG27" s="45">
        <f t="shared" si="24"/>
        <v>1.0070070932608983</v>
      </c>
      <c r="BH27" s="45">
        <f t="shared" si="11"/>
        <v>2.0064012128967437</v>
      </c>
      <c r="BI27">
        <v>5.9524229999999996</v>
      </c>
      <c r="BJ27"/>
      <c r="BK27">
        <v>0.94088177613873047</v>
      </c>
      <c r="BL27">
        <f t="shared" si="51"/>
        <v>0.16295727071338706</v>
      </c>
      <c r="BM27">
        <f t="shared" si="25"/>
        <v>0.40987658295684953</v>
      </c>
      <c r="BN27"/>
      <c r="BO27" s="45">
        <f t="shared" si="41"/>
        <v>7.7474648342839842E-11</v>
      </c>
      <c r="BP27"/>
      <c r="BQ27"/>
      <c r="BR27" s="24"/>
      <c r="BS27" s="24"/>
    </row>
    <row r="28" spans="1:71" ht="15">
      <c r="A28" s="28" t="s">
        <v>21</v>
      </c>
      <c r="B28" s="66"/>
      <c r="C28" s="28">
        <v>2</v>
      </c>
      <c r="D28" s="67">
        <v>12.27</v>
      </c>
      <c r="E28" s="67">
        <v>11.73</v>
      </c>
      <c r="F28" s="24">
        <f t="shared" si="0"/>
        <v>2.0523070712999998E-26</v>
      </c>
      <c r="G28" s="24">
        <f t="shared" si="1"/>
        <v>1.0685309308799999E-29</v>
      </c>
      <c r="H28" s="25">
        <f t="shared" si="13"/>
        <v>2009.1011113290388</v>
      </c>
      <c r="I28" s="25">
        <f t="shared" si="14"/>
        <v>1.0460358056265984</v>
      </c>
      <c r="J28" s="26">
        <f t="shared" si="15"/>
        <v>2.0512385403691198E-26</v>
      </c>
      <c r="K28" s="28">
        <v>31.62816999999999</v>
      </c>
      <c r="L28" s="28">
        <f>0.118*EXP(30100/(8.3144598*N28))/1000</f>
        <v>1.6585959930776259E-2</v>
      </c>
      <c r="M28" s="29">
        <f t="shared" si="16"/>
        <v>1.366120218579235E-3</v>
      </c>
      <c r="N28" s="28">
        <v>732</v>
      </c>
      <c r="O28" s="28">
        <v>1.59424661503112E-5</v>
      </c>
      <c r="P28" s="28">
        <v>1.6222658639521151E-4</v>
      </c>
      <c r="T28" s="24">
        <f>0.73*T2+0.27*T10</f>
        <v>1.9765999999999999E-10</v>
      </c>
      <c r="U28" s="24"/>
      <c r="V28" s="31">
        <f t="shared" si="19"/>
        <v>1.9765999999999999</v>
      </c>
      <c r="W28" s="24">
        <v>1989043.9480000001</v>
      </c>
      <c r="X28" s="28">
        <v>2547.687552638462</v>
      </c>
      <c r="AB28" s="28">
        <v>2</v>
      </c>
      <c r="AC28" s="28">
        <v>3</v>
      </c>
      <c r="AD28" s="28">
        <f t="shared" si="20"/>
        <v>5</v>
      </c>
      <c r="AE28" s="46">
        <v>0.98602842355479869</v>
      </c>
      <c r="AF28" s="33">
        <f t="shared" si="2"/>
        <v>0.74333870635594579</v>
      </c>
      <c r="AG28" s="33">
        <f t="shared" si="21"/>
        <v>0.24612852064032351</v>
      </c>
      <c r="AH28" s="33"/>
      <c r="AI28" s="33"/>
      <c r="AJ28" s="46">
        <v>0.66180310738547476</v>
      </c>
      <c r="AK28" s="47">
        <f t="shared" si="43"/>
        <v>0.32881944214187764</v>
      </c>
      <c r="AL28" s="34">
        <f t="shared" si="4"/>
        <v>5874159.4732041424</v>
      </c>
      <c r="AM28" s="34">
        <f t="shared" si="5"/>
        <v>4428361.2920590648</v>
      </c>
      <c r="AN28" s="48">
        <v>3760693647.4549508</v>
      </c>
      <c r="AO28" s="49">
        <f t="shared" si="44"/>
        <v>1.7597899999999999E-10</v>
      </c>
      <c r="AP28" s="49"/>
      <c r="AQ28" s="49"/>
      <c r="AR28" s="37">
        <f t="shared" si="6"/>
        <v>2.6219323241660301E-10</v>
      </c>
      <c r="AS28" s="49">
        <f t="shared" si="45"/>
        <v>2.6219323241660306E-10</v>
      </c>
      <c r="AT28" s="49">
        <f t="shared" si="46"/>
        <v>0.48991204869105448</v>
      </c>
      <c r="AU28" s="50">
        <f t="shared" si="47"/>
        <v>2.5976619727175398E-4</v>
      </c>
      <c r="AV28" s="51">
        <f t="shared" si="7"/>
        <v>2547.687552638462</v>
      </c>
      <c r="AW28" s="51"/>
      <c r="AX28" s="52">
        <f t="shared" si="48"/>
        <v>3795.8303809762697</v>
      </c>
      <c r="AY28" s="52">
        <f t="shared" si="22"/>
        <v>0.48991204869105454</v>
      </c>
      <c r="AZ28" s="53">
        <f t="shared" si="8"/>
        <v>9.3741144688377284E-3</v>
      </c>
      <c r="BA28" s="55">
        <v>70.599000000000004</v>
      </c>
      <c r="BB28" s="42">
        <f t="shared" si="23"/>
        <v>4.4283612920590647</v>
      </c>
      <c r="BC28" s="42">
        <f t="shared" si="9"/>
        <v>4428361.2920590648</v>
      </c>
      <c r="BD28" s="55">
        <f t="shared" si="49"/>
        <v>105.18630072553975</v>
      </c>
      <c r="BE28" s="56">
        <f t="shared" si="50"/>
        <v>0.48991204869105437</v>
      </c>
      <c r="BF28" s="45">
        <f t="shared" si="10"/>
        <v>11282080942.364857</v>
      </c>
      <c r="BG28" s="45">
        <f t="shared" si="24"/>
        <v>1.1282080942364856</v>
      </c>
      <c r="BH28" s="45">
        <f t="shared" si="11"/>
        <v>2.2300161190678374</v>
      </c>
      <c r="BI28">
        <v>5.3614920000000001</v>
      </c>
      <c r="BJ28"/>
      <c r="BK28">
        <v>0.94088177613873047</v>
      </c>
      <c r="BL28">
        <f t="shared" si="51"/>
        <v>0.18091803666061451</v>
      </c>
      <c r="BM28">
        <f t="shared" si="25"/>
        <v>0.43187410912122187</v>
      </c>
      <c r="BN28"/>
      <c r="BO28" s="45">
        <f t="shared" si="41"/>
        <v>8.0983625331959697E-11</v>
      </c>
      <c r="BP28"/>
      <c r="BQ28"/>
      <c r="BR28" s="24">
        <f>L28/(W28/1000*(X28+Y28*N28))</f>
        <v>3.2730306153599925E-9</v>
      </c>
      <c r="BS28" s="24"/>
    </row>
    <row r="29" spans="1:71" ht="15">
      <c r="A29" s="28" t="s">
        <v>23</v>
      </c>
      <c r="B29" s="66"/>
      <c r="C29" s="28">
        <v>3</v>
      </c>
      <c r="D29" s="67">
        <v>13.154999999999999</v>
      </c>
      <c r="E29" s="67">
        <v>12.86</v>
      </c>
      <c r="F29" s="24">
        <f t="shared" si="0"/>
        <v>2.2003341094499998E-26</v>
      </c>
      <c r="G29" s="24">
        <f t="shared" si="1"/>
        <v>1.1714669881599998E-29</v>
      </c>
      <c r="H29" s="25">
        <f t="shared" si="13"/>
        <v>1921.3587403123072</v>
      </c>
      <c r="I29" s="25">
        <f t="shared" si="14"/>
        <v>1.0229393468118195</v>
      </c>
      <c r="J29" s="26">
        <f t="shared" si="15"/>
        <v>2.1991626424618399E-26</v>
      </c>
      <c r="K29" s="28">
        <v>34.403649999999985</v>
      </c>
      <c r="L29" s="28">
        <f>0.123*EXP(29800/(8.3144598*N29))/1000</f>
        <v>1.6457220475546555E-2</v>
      </c>
      <c r="M29" s="29">
        <f t="shared" si="16"/>
        <v>1.366120218579235E-3</v>
      </c>
      <c r="N29" s="28">
        <v>732</v>
      </c>
      <c r="O29" s="28">
        <v>1.6204764243863241E-5</v>
      </c>
      <c r="P29" s="28">
        <v>1.625831359942148E-4</v>
      </c>
      <c r="T29" s="24">
        <f>0.725*T2+0.265*T10+0.01*T21</f>
        <v>1.9799999999999999E-10</v>
      </c>
      <c r="U29" s="24"/>
      <c r="V29" s="31">
        <f t="shared" si="19"/>
        <v>1.98</v>
      </c>
      <c r="W29" s="24">
        <v>2039490.53</v>
      </c>
      <c r="X29" s="28">
        <v>2441.8705732183512</v>
      </c>
      <c r="AB29" s="28">
        <v>3</v>
      </c>
      <c r="AC29" s="28">
        <v>7</v>
      </c>
      <c r="AD29" s="28">
        <f t="shared" si="20"/>
        <v>10</v>
      </c>
      <c r="AE29" s="46">
        <v>0.89056771657477962</v>
      </c>
      <c r="AF29" s="33">
        <f t="shared" si="2"/>
        <v>0.71187944439400763</v>
      </c>
      <c r="AG29" s="33">
        <f t="shared" si="21"/>
        <v>0.2006453511115657</v>
      </c>
      <c r="AH29" s="33"/>
      <c r="AI29" s="33"/>
      <c r="AJ29" s="46">
        <v>0.63042335803936922</v>
      </c>
      <c r="AK29" s="47">
        <f t="shared" si="43"/>
        <v>0.29211069938168649</v>
      </c>
      <c r="AL29" s="34">
        <f t="shared" si="4"/>
        <v>5525866.2760937605</v>
      </c>
      <c r="AM29" s="34">
        <f t="shared" si="5"/>
        <v>4417126.896931367</v>
      </c>
      <c r="AN29" s="48">
        <v>3595350729.2626648</v>
      </c>
      <c r="AO29" s="49">
        <f t="shared" si="44"/>
        <v>1.7534405000000001E-10</v>
      </c>
      <c r="AP29" s="49"/>
      <c r="AQ29" s="49"/>
      <c r="AR29" s="37">
        <f t="shared" si="6"/>
        <v>2.4769981669004444E-10</v>
      </c>
      <c r="AS29" s="49">
        <f t="shared" si="45"/>
        <v>2.4769981669004444E-10</v>
      </c>
      <c r="AT29" s="49">
        <f t="shared" si="46"/>
        <v>0.41265025354464224</v>
      </c>
      <c r="AU29" s="50">
        <f t="shared" si="47"/>
        <v>2.5817230649062621E-4</v>
      </c>
      <c r="AV29" s="51">
        <f t="shared" si="7"/>
        <v>2441.8705732183512</v>
      </c>
      <c r="AW29" s="51"/>
      <c r="AX29" s="52">
        <f t="shared" si="48"/>
        <v>3449.509084380104</v>
      </c>
      <c r="AY29" s="52">
        <f t="shared" si="22"/>
        <v>0.41265025354464197</v>
      </c>
      <c r="AZ29" s="53">
        <f t="shared" si="8"/>
        <v>8.8074401955806451E-3</v>
      </c>
      <c r="BA29" s="55">
        <v>71.578500000000005</v>
      </c>
      <c r="BB29" s="42">
        <f t="shared" si="23"/>
        <v>4.4171268969313671</v>
      </c>
      <c r="BC29" s="42">
        <f t="shared" si="9"/>
        <v>4417126.896931367</v>
      </c>
      <c r="BD29" s="55">
        <f t="shared" si="49"/>
        <v>101.11538617334517</v>
      </c>
      <c r="BE29" s="56">
        <f t="shared" si="50"/>
        <v>0.41265025354464208</v>
      </c>
      <c r="BF29" s="45">
        <f t="shared" si="10"/>
        <v>10786052187.787994</v>
      </c>
      <c r="BG29" s="45">
        <f t="shared" si="24"/>
        <v>1.0786052187787996</v>
      </c>
      <c r="BH29" s="45">
        <f t="shared" si="11"/>
        <v>2.1356383331820226</v>
      </c>
      <c r="BI29">
        <v>5.481452</v>
      </c>
      <c r="BJ29"/>
      <c r="BK29">
        <v>0.94088177613873047</v>
      </c>
      <c r="BL29">
        <f t="shared" si="51"/>
        <v>0.1769586974786227</v>
      </c>
      <c r="BM29">
        <f t="shared" si="25"/>
        <v>0.42712224670269727</v>
      </c>
      <c r="BN29"/>
      <c r="BO29" s="45">
        <f t="shared" si="41"/>
        <v>8.023034085118668E-11</v>
      </c>
      <c r="BP29"/>
      <c r="BQ29"/>
      <c r="BR29" s="24">
        <f>L29/(W29/1000*(X29+Y29*N29))</f>
        <v>3.304548673097048E-9</v>
      </c>
      <c r="BS29" s="24"/>
    </row>
    <row r="30" spans="1:71" ht="15">
      <c r="A30" s="28" t="s">
        <v>25</v>
      </c>
      <c r="B30" s="66"/>
      <c r="C30" s="28">
        <v>3</v>
      </c>
      <c r="D30" s="67">
        <v>14.04</v>
      </c>
      <c r="E30" s="67">
        <v>13.72</v>
      </c>
      <c r="F30" s="24">
        <f t="shared" si="0"/>
        <v>2.3483611476E-26</v>
      </c>
      <c r="G30" s="24">
        <f t="shared" si="1"/>
        <v>1.2498077043199999E-29</v>
      </c>
      <c r="H30" s="25">
        <f t="shared" si="13"/>
        <v>1922.802532707738</v>
      </c>
      <c r="I30" s="25">
        <f t="shared" si="14"/>
        <v>1.0233236151603498</v>
      </c>
      <c r="J30" s="26">
        <f t="shared" si="15"/>
        <v>2.3471113398956799E-26</v>
      </c>
      <c r="K30" s="28">
        <v>37.179130000000008</v>
      </c>
      <c r="L30" s="28">
        <f>0.123*EXP(29800/(8.3144598*N30))/1000</f>
        <v>1.6457220475546555E-2</v>
      </c>
      <c r="M30" s="29">
        <f t="shared" si="16"/>
        <v>1.366120218579235E-3</v>
      </c>
      <c r="N30" s="28">
        <v>732</v>
      </c>
      <c r="O30" s="28">
        <v>1.6467062337415279E-5</v>
      </c>
      <c r="P30" s="28">
        <v>1.629283268847662E-4</v>
      </c>
      <c r="T30" s="24">
        <f>0.72*T2+0.26*T10+0.02*T21</f>
        <v>1.9834000000000001E-10</v>
      </c>
      <c r="U30" s="24"/>
      <c r="V30" s="31">
        <f t="shared" si="19"/>
        <v>1.9834000000000001</v>
      </c>
      <c r="W30" s="24">
        <v>2089937.112</v>
      </c>
      <c r="X30" s="28">
        <v>2348.7520215904742</v>
      </c>
      <c r="AB30" s="28">
        <v>3</v>
      </c>
      <c r="AC30" s="28">
        <v>7</v>
      </c>
      <c r="AD30" s="28">
        <f t="shared" si="20"/>
        <v>10</v>
      </c>
      <c r="AE30" s="46">
        <v>0.80397278022492213</v>
      </c>
      <c r="AF30" s="33">
        <f t="shared" si="2"/>
        <v>0.68421941732878677</v>
      </c>
      <c r="AG30" s="33">
        <f t="shared" si="21"/>
        <v>0.14895201161242394</v>
      </c>
      <c r="AH30" s="33"/>
      <c r="AI30" s="33"/>
      <c r="AJ30" s="46">
        <v>0.60277957505526136</v>
      </c>
      <c r="AK30" s="47">
        <f t="shared" si="43"/>
        <v>0.25024877722026145</v>
      </c>
      <c r="AL30" s="34">
        <f t="shared" si="4"/>
        <v>5177440.5902498215</v>
      </c>
      <c r="AM30" s="34">
        <f t="shared" si="5"/>
        <v>4406250.3993282951</v>
      </c>
      <c r="AN30" s="48">
        <v>3449729844.352057</v>
      </c>
      <c r="AO30" s="49">
        <f t="shared" si="44"/>
        <v>1.7473239999999999E-10</v>
      </c>
      <c r="AP30" s="49"/>
      <c r="AQ30" s="49"/>
      <c r="AR30" s="37">
        <f t="shared" si="6"/>
        <v>2.3305383798131243E-10</v>
      </c>
      <c r="AS30" s="49">
        <f t="shared" si="45"/>
        <v>2.3305383798131233E-10</v>
      </c>
      <c r="AT30" s="49">
        <f t="shared" si="46"/>
        <v>0.33377575069828114</v>
      </c>
      <c r="AU30" s="50">
        <f t="shared" si="47"/>
        <v>2.5663823575853054E-4</v>
      </c>
      <c r="AV30" s="51">
        <f t="shared" si="7"/>
        <v>2348.7520215904742</v>
      </c>
      <c r="AW30" s="51"/>
      <c r="AX30" s="52">
        <f t="shared" si="48"/>
        <v>3132.7084908009401</v>
      </c>
      <c r="AY30" s="52">
        <f t="shared" si="22"/>
        <v>0.33377575069828114</v>
      </c>
      <c r="AZ30" s="53">
        <f t="shared" si="8"/>
        <v>8.3075549912519815E-3</v>
      </c>
      <c r="BA30" s="55">
        <v>72.558000000000007</v>
      </c>
      <c r="BB30" s="42">
        <f t="shared" si="23"/>
        <v>4.4062503993282949</v>
      </c>
      <c r="BC30" s="42">
        <f t="shared" si="9"/>
        <v>4406250.3993282951</v>
      </c>
      <c r="BD30" s="55">
        <f t="shared" si="49"/>
        <v>96.776100919165899</v>
      </c>
      <c r="BE30" s="56">
        <f t="shared" si="50"/>
        <v>0.33377575069828125</v>
      </c>
      <c r="BF30" s="45">
        <f t="shared" si="10"/>
        <v>10349189533.056168</v>
      </c>
      <c r="BG30" s="45">
        <f t="shared" si="24"/>
        <v>1.0349189533056169</v>
      </c>
      <c r="BH30" s="45">
        <f t="shared" si="11"/>
        <v>2.0526582519863603</v>
      </c>
      <c r="BI30">
        <v>5.6014119999999998</v>
      </c>
      <c r="BJ30"/>
      <c r="BK30">
        <v>0.94088177613873047</v>
      </c>
      <c r="BL30">
        <f t="shared" si="51"/>
        <v>0.17316894493952442</v>
      </c>
      <c r="BM30">
        <f t="shared" si="25"/>
        <v>0.422523862534678</v>
      </c>
      <c r="BN30"/>
      <c r="BO30" s="45">
        <f t="shared" si="41"/>
        <v>7.9502869672740091E-11</v>
      </c>
      <c r="BP30"/>
      <c r="BQ30"/>
      <c r="BR30" s="24">
        <f>L30/(W30/1000*(X30+Y30*N30))</f>
        <v>3.352633671505172E-9</v>
      </c>
      <c r="BS30" s="24"/>
    </row>
    <row r="31" spans="1:71" ht="15">
      <c r="A31" s="28" t="s">
        <v>175</v>
      </c>
      <c r="B31" s="66"/>
      <c r="C31" s="28">
        <v>2</v>
      </c>
      <c r="D31" s="67">
        <v>31.24</v>
      </c>
      <c r="E31" s="67">
        <v>30.56</v>
      </c>
      <c r="F31" s="24">
        <f t="shared" si="0"/>
        <v>5.2252708155999992E-26</v>
      </c>
      <c r="G31" s="24">
        <f t="shared" si="1"/>
        <v>2.7838282393599999E-29</v>
      </c>
      <c r="H31" s="25">
        <f t="shared" si="13"/>
        <v>1918.7749643041277</v>
      </c>
      <c r="I31" s="25">
        <f t="shared" si="14"/>
        <v>1.0222513089005236</v>
      </c>
      <c r="J31" s="26">
        <f t="shared" si="15"/>
        <v>5.2224869873606396E-26</v>
      </c>
      <c r="K31" s="28">
        <v>88.599896000000015</v>
      </c>
      <c r="L31" s="28"/>
      <c r="M31" s="29">
        <f t="shared" si="16"/>
        <v>1.4335889900365566E-3</v>
      </c>
      <c r="N31" s="28">
        <v>697.55</v>
      </c>
      <c r="O31" s="28">
        <v>5.0411903343394867E-5</v>
      </c>
      <c r="P31" s="28">
        <v>2.3528262366250769E-4</v>
      </c>
      <c r="T31" s="24">
        <f>0.32*T9+0.68*T14</f>
        <v>2.7411999999999998E-10</v>
      </c>
      <c r="U31" s="24"/>
      <c r="V31" s="31">
        <f t="shared" si="19"/>
        <v>2.7411999999999996</v>
      </c>
      <c r="W31" s="24">
        <v>1755710.5584</v>
      </c>
      <c r="X31" s="28">
        <v>2039.5014589190009</v>
      </c>
      <c r="AB31" s="28">
        <v>2</v>
      </c>
      <c r="AC31" s="28">
        <v>3</v>
      </c>
      <c r="AD31" s="28">
        <f t="shared" si="20"/>
        <v>5</v>
      </c>
      <c r="AE31" s="46">
        <v>0.45966666666666672</v>
      </c>
      <c r="AF31" s="33">
        <f t="shared" si="2"/>
        <v>0.31844809429710103</v>
      </c>
      <c r="AG31" s="33">
        <f t="shared" si="21"/>
        <v>0.30721951929564689</v>
      </c>
      <c r="AH31" s="33"/>
      <c r="AI31" s="33"/>
      <c r="AJ31" s="46">
        <v>0.26536256928250768</v>
      </c>
      <c r="AK31" s="47">
        <f t="shared" si="43"/>
        <v>0.42270652077772086</v>
      </c>
      <c r="AL31" s="34">
        <f t="shared" si="4"/>
        <v>2466604.5183689054</v>
      </c>
      <c r="AM31" s="34">
        <f t="shared" si="5"/>
        <v>1708815.4639431399</v>
      </c>
      <c r="AN31" s="48">
        <v>1161710543.9117939</v>
      </c>
      <c r="AO31" s="49">
        <f t="shared" si="44"/>
        <v>2.2842400000000006E-10</v>
      </c>
      <c r="AP31" s="49"/>
      <c r="AQ31" s="49"/>
      <c r="AR31" s="37">
        <f t="shared" si="6"/>
        <v>3.9568089407094861E-10</v>
      </c>
      <c r="AS31" s="49">
        <f t="shared" si="45"/>
        <v>3.9568089407094871E-10</v>
      </c>
      <c r="AT31" s="49">
        <f t="shared" si="46"/>
        <v>0.732221194230679</v>
      </c>
      <c r="AU31" s="50">
        <f t="shared" si="47"/>
        <v>1.3011148784524923E-4</v>
      </c>
      <c r="AV31" s="51">
        <f t="shared" si="7"/>
        <v>2039.5014589190009</v>
      </c>
      <c r="AW31" s="51"/>
      <c r="AX31" s="52">
        <f t="shared" si="48"/>
        <v>3532.8676528038841</v>
      </c>
      <c r="AY31" s="52">
        <f t="shared" si="22"/>
        <v>0.73222119423067911</v>
      </c>
      <c r="AZ31" s="53">
        <f t="shared" si="8"/>
        <v>3.0804304165936228E-3</v>
      </c>
      <c r="BA31" s="55">
        <v>86.14464000000001</v>
      </c>
      <c r="BB31" s="42">
        <f t="shared" si="23"/>
        <v>1.7088154639431397</v>
      </c>
      <c r="BC31" s="42">
        <f t="shared" si="9"/>
        <v>1708815.4639431396</v>
      </c>
      <c r="BD31" s="55">
        <f t="shared" si="49"/>
        <v>149.22157117737191</v>
      </c>
      <c r="BE31" s="56">
        <f t="shared" si="50"/>
        <v>0.73222119423067877</v>
      </c>
      <c r="BF31" s="45">
        <f t="shared" si="10"/>
        <v>3485131631.7353826</v>
      </c>
      <c r="BG31" s="45">
        <f t="shared" si="24"/>
        <v>0.34851316317353825</v>
      </c>
      <c r="BH31" s="45">
        <f t="shared" si="11"/>
        <v>0.95534428289130302</v>
      </c>
      <c r="BI31">
        <v>15.754555999999999</v>
      </c>
      <c r="BJ31"/>
      <c r="BK31"/>
      <c r="BL31"/>
      <c r="BM31">
        <f t="shared" si="25"/>
        <v>0.25193987866994549</v>
      </c>
      <c r="BN31"/>
      <c r="BO31" s="45">
        <f t="shared" si="41"/>
        <v>6.5517737810532597E-11</v>
      </c>
      <c r="BP31"/>
      <c r="BQ31"/>
      <c r="BR31" s="24"/>
      <c r="BS31" s="24"/>
    </row>
    <row r="32" spans="1:71" ht="15">
      <c r="A32" s="28" t="s">
        <v>176</v>
      </c>
      <c r="B32" s="66"/>
      <c r="C32" s="28">
        <v>3</v>
      </c>
      <c r="D32" s="67">
        <v>31.2639</v>
      </c>
      <c r="E32" s="67">
        <v>31.1128</v>
      </c>
      <c r="F32" s="24">
        <f t="shared" si="0"/>
        <v>5.2292683819409995E-26</v>
      </c>
      <c r="G32" s="24">
        <f t="shared" si="1"/>
        <v>2.8341849229567998E-29</v>
      </c>
      <c r="H32" s="25">
        <f t="shared" si="13"/>
        <v>1854.0301999029296</v>
      </c>
      <c r="I32" s="25">
        <f t="shared" si="14"/>
        <v>1.004856522074516</v>
      </c>
      <c r="J32" s="26">
        <f t="shared" si="15"/>
        <v>5.2264341970180427E-26</v>
      </c>
      <c r="K32" s="28">
        <v>70.265004930000003</v>
      </c>
      <c r="L32" s="28"/>
      <c r="M32" s="29">
        <f t="shared" si="16"/>
        <v>1.4824697946779336E-3</v>
      </c>
      <c r="N32" s="28">
        <v>674.55</v>
      </c>
      <c r="O32" s="28">
        <v>3.9907749542334093E-5</v>
      </c>
      <c r="P32" s="28">
        <v>3.2881887812902358E-4</v>
      </c>
      <c r="T32" s="24">
        <f>0.4598*T8+0.3891*T9+0.1511*T14</f>
        <v>2.9247459999999999E-10</v>
      </c>
      <c r="U32" s="24"/>
      <c r="V32" s="31">
        <f t="shared" si="19"/>
        <v>2.9247459999999998</v>
      </c>
      <c r="W32" s="24">
        <v>1761444.9958345001</v>
      </c>
      <c r="X32" s="28">
        <v>2024.776905844504</v>
      </c>
      <c r="AB32" s="28">
        <v>3</v>
      </c>
      <c r="AC32" s="28">
        <v>4</v>
      </c>
      <c r="AD32" s="28">
        <f t="shared" si="20"/>
        <v>7</v>
      </c>
      <c r="AE32" s="46">
        <v>0.46554761904761921</v>
      </c>
      <c r="AF32" s="33">
        <f t="shared" si="2"/>
        <v>0.36878913157884635</v>
      </c>
      <c r="AG32" s="33">
        <f t="shared" si="21"/>
        <v>0.20783800305264966</v>
      </c>
      <c r="AH32" s="33"/>
      <c r="AI32" s="33"/>
      <c r="AJ32" s="46">
        <v>0.28383633978433381</v>
      </c>
      <c r="AK32" s="47">
        <f t="shared" si="43"/>
        <v>0.39031727760742513</v>
      </c>
      <c r="AL32" s="34">
        <f t="shared" si="4"/>
        <v>2358413.9237225675</v>
      </c>
      <c r="AM32" s="34">
        <f t="shared" si="5"/>
        <v>1868245.883444505</v>
      </c>
      <c r="AN32" s="48">
        <v>1260927039.745832</v>
      </c>
      <c r="AO32" s="49">
        <f t="shared" si="44"/>
        <v>2.2510131898000011E-10</v>
      </c>
      <c r="AP32" s="49"/>
      <c r="AQ32" s="49"/>
      <c r="AR32" s="37">
        <f t="shared" si="6"/>
        <v>3.692105921857784E-10</v>
      </c>
      <c r="AS32" s="49">
        <f t="shared" si="45"/>
        <v>3.6921059218577845E-10</v>
      </c>
      <c r="AT32" s="49">
        <f t="shared" si="46"/>
        <v>0.64019737360393791</v>
      </c>
      <c r="AU32" s="50">
        <f t="shared" si="47"/>
        <v>1.4018153751410453E-4</v>
      </c>
      <c r="AV32" s="51">
        <f t="shared" si="7"/>
        <v>2024.776905844504</v>
      </c>
      <c r="AW32" s="51"/>
      <c r="AX32" s="52">
        <f t="shared" si="48"/>
        <v>3321.033763100063</v>
      </c>
      <c r="AY32" s="52">
        <f t="shared" si="22"/>
        <v>0.6401973736039378</v>
      </c>
      <c r="AZ32" s="53">
        <f t="shared" si="8"/>
        <v>3.8069460808386811E-3</v>
      </c>
      <c r="BA32" s="55">
        <v>74.557488799999987</v>
      </c>
      <c r="BB32" s="42">
        <f t="shared" si="23"/>
        <v>1.8682458834445048</v>
      </c>
      <c r="BC32" s="42">
        <f t="shared" si="9"/>
        <v>1868245.8834445048</v>
      </c>
      <c r="BD32" s="55">
        <f t="shared" si="49"/>
        <v>122.288997312265</v>
      </c>
      <c r="BE32" s="56">
        <f t="shared" si="50"/>
        <v>0.64019737360393791</v>
      </c>
      <c r="BF32" s="45">
        <f t="shared" si="10"/>
        <v>3782781119.2374964</v>
      </c>
      <c r="BG32" s="45">
        <f t="shared" si="24"/>
        <v>0.37827811192374966</v>
      </c>
      <c r="BH32" s="45">
        <f t="shared" si="11"/>
        <v>1.1063673947365391</v>
      </c>
      <c r="BI32">
        <v>15.825305</v>
      </c>
      <c r="BJ32"/>
      <c r="BK32"/>
      <c r="BL32"/>
      <c r="BM32">
        <f t="shared" si="25"/>
        <v>0.25137608350806889</v>
      </c>
      <c r="BN32"/>
      <c r="BO32" s="45">
        <f t="shared" si="41"/>
        <v>6.9748258098570313E-11</v>
      </c>
      <c r="BP32"/>
      <c r="BQ32"/>
      <c r="BR32" s="24"/>
      <c r="BS32" s="24"/>
    </row>
    <row r="33" spans="1:71" ht="15">
      <c r="A33" s="28" t="s">
        <v>64</v>
      </c>
      <c r="B33" s="66"/>
      <c r="C33" s="28">
        <v>3</v>
      </c>
      <c r="D33" s="67">
        <v>24.785</v>
      </c>
      <c r="E33" s="67">
        <v>24.72</v>
      </c>
      <c r="F33" s="24">
        <f t="shared" si="0"/>
        <v>4.1455933791499998E-26</v>
      </c>
      <c r="G33" s="24">
        <f t="shared" si="1"/>
        <v>2.2518401203199998E-29</v>
      </c>
      <c r="H33" s="25">
        <f t="shared" si="13"/>
        <v>1845.8211004781881</v>
      </c>
      <c r="I33" s="25">
        <f t="shared" si="14"/>
        <v>1.0026294498381878</v>
      </c>
      <c r="J33" s="26">
        <f t="shared" si="15"/>
        <v>4.1433415390296795E-26</v>
      </c>
      <c r="K33" s="28">
        <v>52.812707000000003</v>
      </c>
      <c r="L33" s="28"/>
      <c r="M33" s="29">
        <f t="shared" si="16"/>
        <v>1.0416666666666667E-3</v>
      </c>
      <c r="N33" s="28">
        <v>960</v>
      </c>
      <c r="O33" s="28">
        <v>2.5195547395480521E-5</v>
      </c>
      <c r="P33" s="28">
        <v>3.1944977764052052E-4</v>
      </c>
      <c r="T33" s="24">
        <f>0.345*T3+0.59*T4+0.065*T11</f>
        <v>2.5429000000000001E-10</v>
      </c>
      <c r="U33" s="24"/>
      <c r="V33" s="31">
        <f t="shared" si="19"/>
        <v>2.5428999999999999</v>
      </c>
      <c r="W33" s="24">
        <v>2110100.6</v>
      </c>
      <c r="X33" s="28">
        <v>1885.1934295243609</v>
      </c>
      <c r="AB33" s="28">
        <v>3</v>
      </c>
      <c r="AC33" s="28">
        <v>4</v>
      </c>
      <c r="AD33" s="28">
        <f t="shared" si="20"/>
        <v>7</v>
      </c>
      <c r="AE33" s="46">
        <v>0.82855603900974906</v>
      </c>
      <c r="AF33" s="33">
        <f t="shared" si="2"/>
        <v>0.44305679600100989</v>
      </c>
      <c r="AG33" s="33">
        <f t="shared" si="21"/>
        <v>0.46526634875471984</v>
      </c>
      <c r="AH33" s="33"/>
      <c r="AI33" s="33"/>
      <c r="AJ33" s="46">
        <v>0.33711022330844781</v>
      </c>
      <c r="AK33" s="47">
        <f t="shared" si="43"/>
        <v>0.59313527699183033</v>
      </c>
      <c r="AL33" s="34">
        <f t="shared" si="4"/>
        <v>5185109.6218861248</v>
      </c>
      <c r="AM33" s="34">
        <f t="shared" si="5"/>
        <v>2772652.600218202</v>
      </c>
      <c r="AN33" s="48">
        <v>1742328821.428329</v>
      </c>
      <c r="AO33" s="49">
        <f t="shared" si="44"/>
        <v>1.9348255000000005E-10</v>
      </c>
      <c r="AP33" s="49"/>
      <c r="AQ33" s="49"/>
      <c r="AR33" s="37">
        <f t="shared" si="6"/>
        <v>4.7554516048842826E-10</v>
      </c>
      <c r="AS33" s="49">
        <f t="shared" si="45"/>
        <v>4.7554516048842846E-10</v>
      </c>
      <c r="AT33" s="49">
        <f t="shared" si="46"/>
        <v>1.4578193769331051</v>
      </c>
      <c r="AU33" s="50">
        <f t="shared" si="47"/>
        <v>1.7881996511811605E-4</v>
      </c>
      <c r="AV33" s="51">
        <f t="shared" si="7"/>
        <v>1885.1934295243609</v>
      </c>
      <c r="AW33" s="51"/>
      <c r="AX33" s="52">
        <f t="shared" si="48"/>
        <v>4633.4649403519479</v>
      </c>
      <c r="AY33" s="52">
        <f t="shared" si="22"/>
        <v>1.4578193769331049</v>
      </c>
      <c r="AZ33" s="53">
        <f t="shared" si="8"/>
        <v>4.8256149689507762E-3</v>
      </c>
      <c r="BA33" s="55">
        <v>69.858500000000006</v>
      </c>
      <c r="BB33" s="42">
        <f t="shared" si="23"/>
        <v>2.7726526002182017</v>
      </c>
      <c r="BC33" s="42">
        <f t="shared" si="9"/>
        <v>2772652.6002182015</v>
      </c>
      <c r="BD33" s="55">
        <f t="shared" si="49"/>
        <v>171.69957494348131</v>
      </c>
      <c r="BE33" s="56">
        <f t="shared" si="50"/>
        <v>1.4578193769331047</v>
      </c>
      <c r="BF33" s="45">
        <f t="shared" si="10"/>
        <v>5226986464.2849884</v>
      </c>
      <c r="BG33" s="45">
        <f t="shared" si="24"/>
        <v>0.52269864642849884</v>
      </c>
      <c r="BH33" s="45">
        <f t="shared" si="11"/>
        <v>1.3291703880030297</v>
      </c>
      <c r="BI33">
        <v>11.825414</v>
      </c>
      <c r="BJ33"/>
      <c r="BK33">
        <v>0.86751984321381936</v>
      </c>
      <c r="BL33">
        <f>SQRT(BK33)/BI33</f>
        <v>7.8763200412624287E-2</v>
      </c>
      <c r="BM33">
        <f t="shared" si="25"/>
        <v>0.29079827298894118</v>
      </c>
      <c r="BN33"/>
      <c r="BO33" s="45">
        <f t="shared" si="41"/>
        <v>7.0152371915140857E-11</v>
      </c>
      <c r="BP33"/>
      <c r="BQ33"/>
      <c r="BR33" s="24"/>
      <c r="BS33" s="24"/>
    </row>
    <row r="34" spans="1:71" ht="15">
      <c r="A34" s="28" t="s">
        <v>177</v>
      </c>
      <c r="B34" s="66"/>
      <c r="C34" s="28">
        <v>2</v>
      </c>
      <c r="D34" s="67">
        <v>26.687999999999999</v>
      </c>
      <c r="E34" s="67">
        <v>26.687999999999999</v>
      </c>
      <c r="F34" s="24">
        <f t="shared" si="0"/>
        <v>4.46389332672E-26</v>
      </c>
      <c r="G34" s="24">
        <f t="shared" si="1"/>
        <v>2.4311128289279996E-29</v>
      </c>
      <c r="H34" s="25">
        <f t="shared" si="13"/>
        <v>1836.1522647586687</v>
      </c>
      <c r="I34" s="25">
        <f t="shared" si="14"/>
        <v>1</v>
      </c>
      <c r="J34" s="26">
        <f t="shared" si="15"/>
        <v>4.4614622138910719E-26</v>
      </c>
      <c r="K34" s="28">
        <v>55.835751400000007</v>
      </c>
      <c r="L34" s="28">
        <f>0.087*EXP(20900/(8.3144598*N34))/1000</f>
        <v>4.643717802745531E-3</v>
      </c>
      <c r="M34" s="29">
        <f t="shared" si="16"/>
        <v>1.5822784810126582E-3</v>
      </c>
      <c r="N34" s="28">
        <v>632</v>
      </c>
      <c r="O34" s="28">
        <v>3.2950648962882389E-5</v>
      </c>
      <c r="P34" s="28">
        <v>3.3829968336054601E-4</v>
      </c>
      <c r="T34" s="24">
        <f>0.582*T7+0.418*T9</f>
        <v>2.8291599999999996E-10</v>
      </c>
      <c r="U34" s="24"/>
      <c r="V34" s="31">
        <f t="shared" si="19"/>
        <v>2.8291599999999995</v>
      </c>
      <c r="W34" s="24">
        <v>1676175.3472</v>
      </c>
      <c r="X34" s="28">
        <v>2084.8843456983841</v>
      </c>
      <c r="AB34" s="28">
        <v>2</v>
      </c>
      <c r="AC34" s="28">
        <v>2</v>
      </c>
      <c r="AD34" s="28">
        <f t="shared" si="20"/>
        <v>4</v>
      </c>
      <c r="AE34" s="46">
        <v>0.58438111223711209</v>
      </c>
      <c r="AF34" s="33">
        <f t="shared" si="2"/>
        <v>0.40937294269104435</v>
      </c>
      <c r="AG34" s="33">
        <f t="shared" si="21"/>
        <v>0.29947608826046096</v>
      </c>
      <c r="AH34" s="33"/>
      <c r="AI34" s="33"/>
      <c r="AJ34" s="46">
        <v>0.33404178089988812</v>
      </c>
      <c r="AK34" s="47">
        <f t="shared" si="43"/>
        <v>0.42838367992230558</v>
      </c>
      <c r="AL34" s="34">
        <f t="shared" si="4"/>
        <v>2972199.4380712733</v>
      </c>
      <c r="AM34" s="34">
        <f t="shared" si="5"/>
        <v>2082096.7768277484</v>
      </c>
      <c r="AN34" s="48">
        <v>1446976992.079078</v>
      </c>
      <c r="AO34" s="49">
        <f t="shared" si="44"/>
        <v>2.3085493600000004E-10</v>
      </c>
      <c r="AP34" s="49"/>
      <c r="AQ34" s="49"/>
      <c r="AR34" s="37">
        <f t="shared" si="6"/>
        <v>4.0386344457174019E-10</v>
      </c>
      <c r="AS34" s="49">
        <f t="shared" si="45"/>
        <v>4.0386344457174019E-10</v>
      </c>
      <c r="AT34" s="49">
        <f t="shared" si="46"/>
        <v>0.74942520861559625</v>
      </c>
      <c r="AU34" s="50">
        <f t="shared" si="47"/>
        <v>1.6022077272012539E-4</v>
      </c>
      <c r="AV34" s="51">
        <f t="shared" si="7"/>
        <v>2084.8843456983841</v>
      </c>
      <c r="AW34" s="51"/>
      <c r="AX34" s="52">
        <f t="shared" si="48"/>
        <v>3647.3492314127866</v>
      </c>
      <c r="AY34" s="52">
        <f t="shared" si="22"/>
        <v>0.74942520861559625</v>
      </c>
      <c r="AZ34" s="53">
        <f t="shared" si="8"/>
        <v>4.8689566300173584E-3</v>
      </c>
      <c r="BA34" s="55">
        <v>68.606440000000006</v>
      </c>
      <c r="BB34" s="42">
        <f t="shared" si="23"/>
        <v>2.0820967768277483</v>
      </c>
      <c r="BC34" s="42">
        <f t="shared" si="9"/>
        <v>2082096.7768277482</v>
      </c>
      <c r="BD34" s="55">
        <f t="shared" si="49"/>
        <v>120.0218356093734</v>
      </c>
      <c r="BE34" s="56">
        <f t="shared" si="50"/>
        <v>0.74942520861559625</v>
      </c>
      <c r="BF34" s="45">
        <f t="shared" si="10"/>
        <v>4340930976.2372341</v>
      </c>
      <c r="BG34" s="45">
        <f t="shared" si="24"/>
        <v>0.43409309762372345</v>
      </c>
      <c r="BH34" s="45">
        <f t="shared" si="11"/>
        <v>1.2281188280731332</v>
      </c>
      <c r="BI34">
        <v>11.149857000000001</v>
      </c>
      <c r="BJ34"/>
      <c r="BK34"/>
      <c r="BL34"/>
      <c r="BM34">
        <f t="shared" si="25"/>
        <v>0.29947829454524799</v>
      </c>
      <c r="BN34"/>
      <c r="BO34" s="45">
        <f t="shared" si="41"/>
        <v>8.0379280649617566E-11</v>
      </c>
      <c r="BP34"/>
      <c r="BQ34"/>
      <c r="BR34" s="24">
        <f t="shared" ref="BR34:BR41" si="52">L34/(W34/1000*(X34+Y34*N34))</f>
        <v>1.3288146350028744E-9</v>
      </c>
      <c r="BS34" s="24"/>
    </row>
    <row r="35" spans="1:71" ht="15">
      <c r="A35" s="28" t="s">
        <v>178</v>
      </c>
      <c r="B35" s="66"/>
      <c r="C35" s="28">
        <v>2</v>
      </c>
      <c r="D35" s="67">
        <v>15.2</v>
      </c>
      <c r="E35" s="67">
        <v>15.2</v>
      </c>
      <c r="F35" s="24">
        <f t="shared" si="0"/>
        <v>2.5423852879999997E-26</v>
      </c>
      <c r="G35" s="24">
        <f t="shared" si="1"/>
        <v>1.3846266111999999E-29</v>
      </c>
      <c r="H35" s="25">
        <f t="shared" si="13"/>
        <v>1836.152264758668</v>
      </c>
      <c r="I35" s="25">
        <f t="shared" si="14"/>
        <v>1</v>
      </c>
      <c r="J35" s="26">
        <f t="shared" si="15"/>
        <v>2.5410006613887998E-26</v>
      </c>
      <c r="K35" s="28">
        <v>32.358600000000003</v>
      </c>
      <c r="L35" s="28">
        <f>0.116*EXP(26800/(8.3144598*N35))/1000</f>
        <v>3.9071251973790879E-3</v>
      </c>
      <c r="M35" s="29">
        <f t="shared" si="16"/>
        <v>1.0911074740861974E-3</v>
      </c>
      <c r="N35" s="28">
        <v>916.5</v>
      </c>
      <c r="O35" s="28">
        <v>1.5885583505580338E-5</v>
      </c>
      <c r="P35" s="28">
        <v>2.7773488865206569E-4</v>
      </c>
      <c r="T35" s="24">
        <f>0.6*T2+0.4*T3</f>
        <v>2.1940000000000001E-10</v>
      </c>
      <c r="U35" s="24"/>
      <c r="V35" s="31">
        <f t="shared" si="19"/>
        <v>2.194</v>
      </c>
      <c r="W35" s="24">
        <v>2014141.42</v>
      </c>
      <c r="X35" s="28">
        <v>2298.228366828082</v>
      </c>
      <c r="AB35" s="28">
        <v>2</v>
      </c>
      <c r="AC35" s="28">
        <v>2</v>
      </c>
      <c r="AD35" s="28">
        <f t="shared" si="20"/>
        <v>4</v>
      </c>
      <c r="AE35" s="46">
        <v>0.86544945017475028</v>
      </c>
      <c r="AF35" s="33">
        <f t="shared" si="2"/>
        <v>0.7046599791446102</v>
      </c>
      <c r="AG35" s="33">
        <f t="shared" si="21"/>
        <v>0.18578724730563259</v>
      </c>
      <c r="AH35" s="33">
        <f>1/3*BC35*AV35*AP35</f>
        <v>0.61490801049838506</v>
      </c>
      <c r="AI35" s="33">
        <f>1/3*BC35*AV35*AQ35</f>
        <v>0.73223097949286997</v>
      </c>
      <c r="AJ35" s="46">
        <v>0.56745362404407373</v>
      </c>
      <c r="AK35" s="47">
        <f t="shared" si="43"/>
        <v>0.34432493552397042</v>
      </c>
      <c r="AL35" s="34">
        <f t="shared" si="4"/>
        <v>5149121.7057821807</v>
      </c>
      <c r="AM35" s="34">
        <f t="shared" si="5"/>
        <v>4192480.558023226</v>
      </c>
      <c r="AN35" s="48">
        <v>3211759248.6080689</v>
      </c>
      <c r="AO35" s="49">
        <f t="shared" si="44"/>
        <v>1.7668000000000003E-10</v>
      </c>
      <c r="AP35" s="49">
        <v>1.9145520037495888E-10</v>
      </c>
      <c r="AQ35" s="49">
        <v>2.2798439198399093E-10</v>
      </c>
      <c r="AR35" s="37">
        <f t="shared" si="6"/>
        <v>2.6946274087941807E-10</v>
      </c>
      <c r="AS35" s="49">
        <f t="shared" si="45"/>
        <v>2.6946274087941797E-10</v>
      </c>
      <c r="AT35" s="49">
        <f t="shared" si="46"/>
        <v>0.52514569209541506</v>
      </c>
      <c r="AU35" s="50">
        <f t="shared" si="47"/>
        <v>2.4690915499718129E-4</v>
      </c>
      <c r="AV35" s="51">
        <f t="shared" si="7"/>
        <v>2298.228366828082</v>
      </c>
      <c r="AW35" s="51"/>
      <c r="AX35" s="52">
        <f t="shared" si="48"/>
        <v>3505.1330931193306</v>
      </c>
      <c r="AY35" s="52">
        <f t="shared" si="22"/>
        <v>0.52514569209541506</v>
      </c>
      <c r="AZ35" s="53">
        <f t="shared" si="8"/>
        <v>8.5203246853464507E-3</v>
      </c>
      <c r="BA35" s="55">
        <v>66.600000000000009</v>
      </c>
      <c r="BB35" s="42">
        <f t="shared" si="23"/>
        <v>4.1924805580232256</v>
      </c>
      <c r="BC35" s="42">
        <f t="shared" si="9"/>
        <v>4192480.558023226</v>
      </c>
      <c r="BD35" s="55">
        <f t="shared" si="49"/>
        <v>101.57470309355466</v>
      </c>
      <c r="BE35" s="56">
        <f t="shared" si="50"/>
        <v>0.52514569209541517</v>
      </c>
      <c r="BF35" s="45">
        <f t="shared" si="10"/>
        <v>9635277745.8242054</v>
      </c>
      <c r="BG35" s="45">
        <f t="shared" si="24"/>
        <v>0.96352777458242056</v>
      </c>
      <c r="BH35" s="45">
        <f t="shared" si="11"/>
        <v>2.1139799374338306</v>
      </c>
      <c r="BI35">
        <v>7.2110900000000004</v>
      </c>
      <c r="BJ35"/>
      <c r="BK35">
        <v>0.84938808944422806</v>
      </c>
      <c r="BL35">
        <f>SQRT(BK35)/BI35</f>
        <v>0.1278062721294666</v>
      </c>
      <c r="BM35">
        <f t="shared" si="25"/>
        <v>0.372391313567767</v>
      </c>
      <c r="BN35"/>
      <c r="BO35" s="45">
        <f t="shared" si="41"/>
        <v>7.7509943442870599E-11</v>
      </c>
      <c r="BP35"/>
      <c r="BQ35"/>
      <c r="BR35" s="24">
        <f t="shared" si="52"/>
        <v>8.4406168446792717E-10</v>
      </c>
      <c r="BS35" s="24"/>
    </row>
    <row r="36" spans="1:71" ht="15">
      <c r="A36" s="28" t="s">
        <v>179</v>
      </c>
      <c r="B36" s="66"/>
      <c r="C36" s="28">
        <v>2</v>
      </c>
      <c r="D36" s="67">
        <v>57.97</v>
      </c>
      <c r="E36" s="67">
        <v>57.23</v>
      </c>
      <c r="F36" s="24">
        <f t="shared" si="0"/>
        <v>9.6961891543000003E-26</v>
      </c>
      <c r="G36" s="24">
        <f t="shared" si="1"/>
        <v>5.2133013788799995E-29</v>
      </c>
      <c r="H36" s="25">
        <f t="shared" si="13"/>
        <v>1883.9431857125064</v>
      </c>
      <c r="I36" s="25">
        <f t="shared" si="14"/>
        <v>1.0129302813209855</v>
      </c>
      <c r="J36" s="26">
        <f t="shared" si="15"/>
        <v>9.6909758529211207E-26</v>
      </c>
      <c r="K36" s="28">
        <v>164.240723</v>
      </c>
      <c r="L36" s="28">
        <f>10^(-1.2675+1704/N36+0/N36^2)/1000</f>
        <v>8.0532167424896099E-3</v>
      </c>
      <c r="M36" s="29">
        <f t="shared" si="16"/>
        <v>1.2755102040816326E-3</v>
      </c>
      <c r="N36" s="28">
        <v>784</v>
      </c>
      <c r="O36" s="28">
        <v>4.607843109406244E-5</v>
      </c>
      <c r="P36" s="28">
        <v>3.4092675768507421E-4</v>
      </c>
      <c r="T36" s="24">
        <f>0.63*T8+0.37*T22</f>
        <v>2.8818000000000003E-10</v>
      </c>
      <c r="U36" s="24"/>
      <c r="V36" s="31">
        <f t="shared" si="19"/>
        <v>2.8818000000000001</v>
      </c>
      <c r="W36" s="24">
        <v>2996639.6639999989</v>
      </c>
      <c r="X36" s="28">
        <v>1451.7494609289899</v>
      </c>
      <c r="AB36" s="28">
        <v>2</v>
      </c>
      <c r="AC36" s="28">
        <v>4</v>
      </c>
      <c r="AD36" s="28">
        <f t="shared" si="20"/>
        <v>6</v>
      </c>
      <c r="AE36" s="46">
        <v>0.23926257714495269</v>
      </c>
      <c r="AF36" s="33">
        <f t="shared" si="2"/>
        <v>0.30071201279338977</v>
      </c>
      <c r="AG36" s="33">
        <f t="shared" si="21"/>
        <v>0.2568284450568678</v>
      </c>
      <c r="AH36" s="33">
        <f>1/3*BC36*AV36*AP36</f>
        <v>0.2841819778633502</v>
      </c>
      <c r="AI36" s="33">
        <f>1/3*BC36*AV36*AQ36</f>
        <v>0.29301529878909899</v>
      </c>
      <c r="AJ36" s="46">
        <v>0.24768639859495001</v>
      </c>
      <c r="AK36" s="47">
        <f t="shared" si="43"/>
        <v>-3.5207434236127544E-2</v>
      </c>
      <c r="AL36" s="34">
        <f t="shared" si="4"/>
        <v>1715696.7182316666</v>
      </c>
      <c r="AM36" s="34">
        <f t="shared" si="5"/>
        <v>2156336.4385642759</v>
      </c>
      <c r="AN36" s="48">
        <v>1043486754.089075</v>
      </c>
      <c r="AO36" s="49">
        <f t="shared" si="44"/>
        <v>2.3736419999999999E-10</v>
      </c>
      <c r="AP36" s="49">
        <v>2.7233884546184811E-10</v>
      </c>
      <c r="AQ36" s="49">
        <v>2.8080404244794684E-10</v>
      </c>
      <c r="AR36" s="37">
        <f t="shared" si="6"/>
        <v>2.2929143681734602E-10</v>
      </c>
      <c r="AS36" s="49">
        <f t="shared" si="45"/>
        <v>2.292914368173461E-10</v>
      </c>
      <c r="AT36" s="49">
        <f t="shared" si="46"/>
        <v>-3.4010028397938236E-2</v>
      </c>
      <c r="AU36" s="50">
        <f t="shared" si="47"/>
        <v>1.7061235789021947E-4</v>
      </c>
      <c r="AV36" s="51">
        <f t="shared" si="7"/>
        <v>1451.7494609289899</v>
      </c>
      <c r="AW36" s="51"/>
      <c r="AX36" s="52">
        <f t="shared" si="48"/>
        <v>1402.3754205361033</v>
      </c>
      <c r="AY36" s="52">
        <f t="shared" si="22"/>
        <v>-3.401002839793834E-2</v>
      </c>
      <c r="AZ36" s="53">
        <f t="shared" si="8"/>
        <v>2.4928029681277083E-3</v>
      </c>
      <c r="BA36" s="55">
        <v>99.360600000000005</v>
      </c>
      <c r="BB36" s="42">
        <f t="shared" si="23"/>
        <v>2.1563364385642765</v>
      </c>
      <c r="BC36" s="42">
        <f t="shared" si="9"/>
        <v>2156336.4385642763</v>
      </c>
      <c r="BD36" s="55">
        <f t="shared" si="49"/>
        <v>95.981343172363822</v>
      </c>
      <c r="BE36" s="56">
        <f t="shared" si="50"/>
        <v>-3.401002839793825E-2</v>
      </c>
      <c r="BF36" s="45">
        <f t="shared" si="10"/>
        <v>3130460262.2672262</v>
      </c>
      <c r="BG36" s="45">
        <f t="shared" si="24"/>
        <v>0.31304602622672262</v>
      </c>
      <c r="BH36" s="45">
        <f t="shared" si="11"/>
        <v>0.90213603838016931</v>
      </c>
      <c r="BI36">
        <v>20.202092</v>
      </c>
      <c r="BJ36"/>
      <c r="BK36">
        <v>0.85032989965629047</v>
      </c>
      <c r="BL36">
        <f>SQRT(BK36)/BI36</f>
        <v>4.5645438184397667E-2</v>
      </c>
      <c r="BM36">
        <f t="shared" si="25"/>
        <v>0.22248555925638236</v>
      </c>
      <c r="BN36"/>
      <c r="BO36" s="45">
        <f t="shared" si="41"/>
        <v>6.082567252784218E-11</v>
      </c>
      <c r="BP36"/>
      <c r="BQ36"/>
      <c r="BR36" s="24">
        <f t="shared" si="52"/>
        <v>1.8511567318115176E-9</v>
      </c>
      <c r="BS36" s="24"/>
    </row>
    <row r="37" spans="1:71" ht="15">
      <c r="A37" s="28" t="s">
        <v>180</v>
      </c>
      <c r="B37" s="66"/>
      <c r="C37" s="28">
        <v>2</v>
      </c>
      <c r="D37" s="67">
        <v>55.701999999999998</v>
      </c>
      <c r="E37" s="67">
        <v>55.018000000000001</v>
      </c>
      <c r="F37" s="24">
        <f t="shared" si="0"/>
        <v>9.3168385073799999E-26</v>
      </c>
      <c r="G37" s="24">
        <f t="shared" si="1"/>
        <v>5.0118017694079994E-29</v>
      </c>
      <c r="H37" s="25">
        <f t="shared" si="13"/>
        <v>1882.0912368640552</v>
      </c>
      <c r="I37" s="25">
        <f t="shared" si="14"/>
        <v>1.0124322948853102</v>
      </c>
      <c r="J37" s="26">
        <f t="shared" si="15"/>
        <v>9.3118267056105916E-26</v>
      </c>
      <c r="K37" s="28">
        <v>156.23418179999999</v>
      </c>
      <c r="L37" s="28">
        <f>10^(-1.2179+1557/N37+0/N37^2)/1000</f>
        <v>5.8623181999963962E-3</v>
      </c>
      <c r="M37" s="29">
        <f>N37^-1</f>
        <v>1.2755102040816326E-3</v>
      </c>
      <c r="N37" s="28">
        <v>784</v>
      </c>
      <c r="O37" s="28">
        <v>4.5172248870240592E-5</v>
      </c>
      <c r="P37" s="28">
        <v>3.4144514086291769E-4</v>
      </c>
      <c r="T37" s="24">
        <f>0.658*T8+0.342*T22</f>
        <v>2.8778800000000003E-10</v>
      </c>
      <c r="U37" s="24"/>
      <c r="V37" s="31">
        <f t="shared" si="19"/>
        <v>2.8778800000000002</v>
      </c>
      <c r="W37" s="24">
        <v>2899543.8624</v>
      </c>
      <c r="X37" s="28">
        <v>1470.4555590061771</v>
      </c>
      <c r="AB37" s="28">
        <v>2</v>
      </c>
      <c r="AC37" s="28">
        <v>4</v>
      </c>
      <c r="AD37" s="28">
        <f t="shared" si="20"/>
        <v>6</v>
      </c>
      <c r="AE37" s="46">
        <v>0.27567442291687039</v>
      </c>
      <c r="AF37" s="33">
        <f t="shared" si="2"/>
        <v>0.30324621782896993</v>
      </c>
      <c r="AG37" s="33">
        <f t="shared" si="21"/>
        <v>0.10001578898893286</v>
      </c>
      <c r="AH37" s="33">
        <f>1/3*BC37*AV37*AP37</f>
        <v>0.28696722884280707</v>
      </c>
      <c r="AI37" s="33">
        <f>1/3*BC37*AV37*AQ37</f>
        <v>0.316517898560285</v>
      </c>
      <c r="AJ37" s="46">
        <v>0.25155328115048259</v>
      </c>
      <c r="AK37" s="47">
        <f t="shared" si="43"/>
        <v>8.7498656970659658E-2</v>
      </c>
      <c r="AL37" s="34">
        <f t="shared" si="4"/>
        <v>1954308.6049635103</v>
      </c>
      <c r="AM37" s="34">
        <f t="shared" si="5"/>
        <v>2149770.3220167966</v>
      </c>
      <c r="AN37" s="48">
        <v>1053713906.865366</v>
      </c>
      <c r="AO37" s="49">
        <f t="shared" si="44"/>
        <v>2.3873015199999994E-10</v>
      </c>
      <c r="AP37" s="49">
        <v>2.7233884546184811E-10</v>
      </c>
      <c r="AQ37" s="49">
        <v>3.0038314622028315E-10</v>
      </c>
      <c r="AR37" s="37">
        <f t="shared" si="6"/>
        <v>2.6162169932534978E-10</v>
      </c>
      <c r="AS37" s="49">
        <f t="shared" si="45"/>
        <v>2.6162169932534978E-10</v>
      </c>
      <c r="AT37" s="49">
        <f t="shared" si="46"/>
        <v>9.5888798015551224E-2</v>
      </c>
      <c r="AU37" s="50">
        <f t="shared" si="47"/>
        <v>1.7107166524671954E-4</v>
      </c>
      <c r="AV37" s="51">
        <f t="shared" si="7"/>
        <v>1470.4555590061771</v>
      </c>
      <c r="AW37" s="51"/>
      <c r="AX37" s="52">
        <f t="shared" si="48"/>
        <v>1611.4557750945648</v>
      </c>
      <c r="AY37" s="52">
        <f t="shared" si="22"/>
        <v>9.5888798015551238E-2</v>
      </c>
      <c r="AZ37" s="53">
        <f t="shared" si="8"/>
        <v>2.5903963007551708E-3</v>
      </c>
      <c r="BA37" s="55">
        <v>97.109960000000001</v>
      </c>
      <c r="BB37" s="42">
        <f t="shared" si="23"/>
        <v>2.1497703220167965</v>
      </c>
      <c r="BC37" s="42">
        <f t="shared" si="9"/>
        <v>2149770.3220167966</v>
      </c>
      <c r="BD37" s="55">
        <f t="shared" si="49"/>
        <v>106.42171733973825</v>
      </c>
      <c r="BE37" s="56">
        <f t="shared" si="50"/>
        <v>9.5888798015551127E-2</v>
      </c>
      <c r="BF37" s="45">
        <f t="shared" si="10"/>
        <v>3161141720.5960979</v>
      </c>
      <c r="BG37" s="45">
        <f t="shared" si="24"/>
        <v>0.31611417205960979</v>
      </c>
      <c r="BH37" s="45">
        <f t="shared" si="11"/>
        <v>0.90973865348690997</v>
      </c>
      <c r="BI37">
        <v>19.728639999999999</v>
      </c>
      <c r="BJ37"/>
      <c r="BK37">
        <v>0.85032989965629047</v>
      </c>
      <c r="BL37">
        <f>SQRT(BK37)/BI37</f>
        <v>4.674084688967485E-2</v>
      </c>
      <c r="BM37">
        <f t="shared" si="25"/>
        <v>0.22513935936671312</v>
      </c>
      <c r="BN37"/>
      <c r="BO37" s="45">
        <f t="shared" si="41"/>
        <v>6.1467473368525471E-11</v>
      </c>
      <c r="BP37"/>
      <c r="BQ37"/>
      <c r="BR37" s="24">
        <f t="shared" si="52"/>
        <v>1.3749528367298905E-9</v>
      </c>
      <c r="BS37" s="24"/>
    </row>
    <row r="38" spans="1:71" customFormat="1" ht="18.75">
      <c r="A38" t="s">
        <v>181</v>
      </c>
      <c r="K38">
        <v>128.10887</v>
      </c>
      <c r="L38" s="28">
        <f>0.0767*EXP(39300/(8.3144598*N38))/1000</f>
        <v>9.0410766995504526E-3</v>
      </c>
      <c r="N38">
        <v>991</v>
      </c>
      <c r="O38">
        <v>3.02434243367421E-5</v>
      </c>
      <c r="P38">
        <v>2.3876282234647119E-4</v>
      </c>
      <c r="R38" s="68"/>
      <c r="S38" s="68"/>
      <c r="T38" s="45">
        <f>0.582*T3+0.388*T4+0.3*T21</f>
        <v>3.0851800000000002E-10</v>
      </c>
      <c r="U38" s="45"/>
      <c r="V38" s="31">
        <f t="shared" si="19"/>
        <v>3.0851800000000003</v>
      </c>
      <c r="W38">
        <v>3498633.56</v>
      </c>
      <c r="X38">
        <f>AV38</f>
        <v>1348.6175138087231</v>
      </c>
      <c r="AB38">
        <v>3</v>
      </c>
      <c r="AC38">
        <v>6</v>
      </c>
      <c r="AD38" s="28">
        <f t="shared" si="20"/>
        <v>9</v>
      </c>
      <c r="AE38" s="69">
        <v>0.49395061728395051</v>
      </c>
      <c r="AF38" s="33">
        <f t="shared" si="2"/>
        <v>0.46048978694812209</v>
      </c>
      <c r="AG38" s="33">
        <f t="shared" si="21"/>
        <v>6.7741246118522933E-2</v>
      </c>
      <c r="AH38" s="33"/>
      <c r="AI38" s="33"/>
      <c r="AJ38" s="69">
        <v>0.25347401642401401</v>
      </c>
      <c r="AK38" s="47">
        <f t="shared" si="43"/>
        <v>0.48684340588989905</v>
      </c>
      <c r="AL38" s="34">
        <f t="shared" si="4"/>
        <v>3561520.7957820492</v>
      </c>
      <c r="AM38" s="34">
        <f t="shared" si="5"/>
        <v>3320258.9389987397</v>
      </c>
      <c r="AN38" s="70">
        <v>1492586451.837889</v>
      </c>
      <c r="AO38" s="49">
        <f t="shared" si="44"/>
        <v>1.6982200000000003E-10</v>
      </c>
      <c r="AP38" s="49"/>
      <c r="AQ38" s="49"/>
      <c r="AR38" s="37">
        <f t="shared" si="6"/>
        <v>3.3093601826261161E-10</v>
      </c>
      <c r="AS38" s="49">
        <f t="shared" si="45"/>
        <v>3.3093601826261176E-10</v>
      </c>
      <c r="AT38" s="49">
        <f t="shared" si="46"/>
        <v>0.94872288786265446</v>
      </c>
      <c r="AU38" s="50">
        <f t="shared" si="47"/>
        <v>1.8795100451288126E-4</v>
      </c>
      <c r="AV38" s="71">
        <v>1348.6175138087231</v>
      </c>
      <c r="AW38" s="71"/>
      <c r="AX38" s="52">
        <f t="shared" si="48"/>
        <v>2628.0818161314883</v>
      </c>
      <c r="AY38" s="52">
        <f t="shared" si="22"/>
        <v>0.94872288786265457</v>
      </c>
      <c r="AZ38" s="53">
        <f t="shared" si="8"/>
        <v>2.5242393286330268E-3</v>
      </c>
      <c r="BA38" s="72">
        <v>100.416</v>
      </c>
      <c r="BB38" s="42">
        <f t="shared" si="23"/>
        <v>3.32025893899874</v>
      </c>
      <c r="BC38" s="42">
        <f t="shared" si="9"/>
        <v>3320258.9389987402</v>
      </c>
      <c r="BD38" s="55">
        <f t="shared" si="49"/>
        <v>195.68295750761632</v>
      </c>
      <c r="BE38" s="56">
        <f t="shared" si="50"/>
        <v>0.94872288786265468</v>
      </c>
      <c r="BF38" s="45">
        <f t="shared" si="10"/>
        <v>4477759355.51367</v>
      </c>
      <c r="BG38" s="45">
        <f t="shared" si="24"/>
        <v>0.44777593555136702</v>
      </c>
      <c r="BH38" s="45">
        <f t="shared" si="11"/>
        <v>1.3814693608443664</v>
      </c>
      <c r="BI38">
        <v>13.560829999999999</v>
      </c>
      <c r="BM38">
        <f t="shared" si="25"/>
        <v>0.27155441257725826</v>
      </c>
      <c r="BO38" s="45">
        <f t="shared" si="41"/>
        <v>7.9480140515285723E-11</v>
      </c>
      <c r="BR38" s="24">
        <f t="shared" si="52"/>
        <v>1.9161649880499741E-9</v>
      </c>
      <c r="BS38" s="24"/>
    </row>
    <row r="39" spans="1:71" customFormat="1" ht="18.75">
      <c r="A39" t="s">
        <v>182</v>
      </c>
      <c r="G39" s="68"/>
      <c r="H39" s="68"/>
      <c r="K39">
        <v>154.66795999999999</v>
      </c>
      <c r="L39" s="28">
        <f>0.0767*EXP(39300/(8.3144598*N39))/1000</f>
        <v>8.1514268008243823E-3</v>
      </c>
      <c r="N39">
        <v>1013</v>
      </c>
      <c r="O39">
        <v>3.2645143022437789E-5</v>
      </c>
      <c r="P39">
        <v>2.2077562764566649E-4</v>
      </c>
      <c r="T39" s="45">
        <f>0.576*T3+0.384*T4+0.4*T21</f>
        <v>3.2822400000000001E-10</v>
      </c>
      <c r="U39" s="45"/>
      <c r="V39" s="31">
        <f t="shared" si="19"/>
        <v>3.2822400000000003</v>
      </c>
      <c r="W39">
        <v>3957693.64</v>
      </c>
      <c r="X39">
        <f>AV39</f>
        <v>1272.126022947567</v>
      </c>
      <c r="AB39">
        <v>3</v>
      </c>
      <c r="AC39">
        <v>6</v>
      </c>
      <c r="AD39" s="28">
        <f t="shared" si="20"/>
        <v>9</v>
      </c>
      <c r="AE39" s="69">
        <v>0.45693693693693682</v>
      </c>
      <c r="AF39" s="33">
        <f t="shared" si="2"/>
        <v>0.47293540020198699</v>
      </c>
      <c r="AG39" s="33">
        <f t="shared" si="21"/>
        <v>3.5012409748039611E-2</v>
      </c>
      <c r="AH39" s="33"/>
      <c r="AI39" s="33"/>
      <c r="AJ39" s="69">
        <v>0.24265777297582219</v>
      </c>
      <c r="AK39" s="47">
        <f t="shared" si="43"/>
        <v>0.46894690851111454</v>
      </c>
      <c r="AL39" s="34">
        <f t="shared" si="4"/>
        <v>3283046.6227647751</v>
      </c>
      <c r="AM39" s="34">
        <f t="shared" si="5"/>
        <v>3397993.9963429333</v>
      </c>
      <c r="AN39" s="70">
        <v>1440892196.1891489</v>
      </c>
      <c r="AO39" s="49">
        <f t="shared" si="44"/>
        <v>1.68408E-10</v>
      </c>
      <c r="AP39" s="49"/>
      <c r="AQ39" s="49"/>
      <c r="AR39" s="37">
        <f t="shared" si="6"/>
        <v>3.1712083537230426E-10</v>
      </c>
      <c r="AS39" s="49">
        <f t="shared" si="45"/>
        <v>3.171208353723041E-10</v>
      </c>
      <c r="AT39" s="49">
        <f t="shared" si="46"/>
        <v>0.88305089646753188</v>
      </c>
      <c r="AU39" s="50">
        <f t="shared" si="47"/>
        <v>1.9074979097870697E-4</v>
      </c>
      <c r="AV39" s="71">
        <v>1272.126022947567</v>
      </c>
      <c r="AW39" s="71"/>
      <c r="AX39" s="52">
        <f t="shared" si="48"/>
        <v>2395.4780479310921</v>
      </c>
      <c r="AY39" s="52">
        <f t="shared" si="22"/>
        <v>0.88305089646753188</v>
      </c>
      <c r="AZ39" s="53">
        <f t="shared" si="8"/>
        <v>2.1875249979790693E-3</v>
      </c>
      <c r="BA39" s="72">
        <v>110.928</v>
      </c>
      <c r="BB39" s="42">
        <f t="shared" si="23"/>
        <v>3.3979939963429326</v>
      </c>
      <c r="BC39" s="42">
        <f t="shared" si="9"/>
        <v>3397993.9963429328</v>
      </c>
      <c r="BD39" s="55">
        <f t="shared" si="49"/>
        <v>208.88306984335037</v>
      </c>
      <c r="BE39" s="56">
        <f t="shared" si="50"/>
        <v>0.88305089646753188</v>
      </c>
      <c r="BF39" s="45">
        <f t="shared" si="10"/>
        <v>4322676588.5674448</v>
      </c>
      <c r="BG39" s="45">
        <f t="shared" si="24"/>
        <v>0.43226765885674451</v>
      </c>
      <c r="BH39" s="45">
        <f t="shared" si="11"/>
        <v>1.418806200605961</v>
      </c>
      <c r="BI39">
        <v>14.137014000000001</v>
      </c>
      <c r="BM39">
        <f t="shared" si="25"/>
        <v>0.26596295891484367</v>
      </c>
      <c r="BO39" s="45">
        <f t="shared" si="41"/>
        <v>8.2815712857628237E-11</v>
      </c>
      <c r="BR39" s="24">
        <f t="shared" si="52"/>
        <v>1.619053960080521E-9</v>
      </c>
      <c r="BS39" s="24"/>
    </row>
    <row r="40" spans="1:71" customFormat="1" ht="18.75">
      <c r="A40" t="s">
        <v>183</v>
      </c>
      <c r="G40" s="68"/>
      <c r="H40" s="68"/>
      <c r="K40">
        <v>181.22704999999999</v>
      </c>
      <c r="L40" s="28">
        <f>0.0767*EXP(39300/(8.3144598*N40))/1000</f>
        <v>7.8587878713746243E-3</v>
      </c>
      <c r="N40">
        <v>1021</v>
      </c>
      <c r="O40">
        <v>3.4949140082044292E-5</v>
      </c>
      <c r="P40">
        <v>2.050117820240356E-4</v>
      </c>
      <c r="T40" s="45">
        <f>0.57*T3+0.38*T4+0.5*T21</f>
        <v>3.4792999999999996E-10</v>
      </c>
      <c r="U40" s="45"/>
      <c r="V40" s="31">
        <f t="shared" si="19"/>
        <v>3.4792999999999994</v>
      </c>
      <c r="W40">
        <v>4426131.4000000004</v>
      </c>
      <c r="X40">
        <f>AV40</f>
        <v>1215.1718333840431</v>
      </c>
      <c r="AB40">
        <v>3</v>
      </c>
      <c r="AC40">
        <v>6</v>
      </c>
      <c r="AD40" s="28">
        <f t="shared" si="20"/>
        <v>9</v>
      </c>
      <c r="AE40" s="69">
        <v>0.43928571428571439</v>
      </c>
      <c r="AF40" s="33">
        <f t="shared" si="2"/>
        <v>0.48970392040175686</v>
      </c>
      <c r="AG40" s="33">
        <f t="shared" si="21"/>
        <v>0.1147731521340804</v>
      </c>
      <c r="AH40" s="33"/>
      <c r="AI40" s="33"/>
      <c r="AJ40" s="69">
        <v>0.23920093487850599</v>
      </c>
      <c r="AK40" s="47">
        <f t="shared" si="43"/>
        <v>0.45547754661803525</v>
      </c>
      <c r="AL40" s="34">
        <f t="shared" si="4"/>
        <v>3117014.0748641295</v>
      </c>
      <c r="AM40" s="34">
        <f t="shared" si="5"/>
        <v>3474763.6054825806</v>
      </c>
      <c r="AN40" s="70">
        <v>1407478287.0168049</v>
      </c>
      <c r="AO40" s="49">
        <f t="shared" si="44"/>
        <v>1.6994999999999999E-10</v>
      </c>
      <c r="AP40" s="49"/>
      <c r="AQ40" s="49"/>
      <c r="AR40" s="37">
        <f t="shared" si="6"/>
        <v>3.1210834180383304E-10</v>
      </c>
      <c r="AS40" s="49">
        <f t="shared" si="45"/>
        <v>3.1210834180383304E-10</v>
      </c>
      <c r="AT40" s="49">
        <f t="shared" si="46"/>
        <v>0.83647156106992093</v>
      </c>
      <c r="AU40" s="50">
        <f t="shared" si="47"/>
        <v>1.9684535825058817E-4</v>
      </c>
      <c r="AV40" s="71">
        <v>1215.1718333840431</v>
      </c>
      <c r="AW40" s="71"/>
      <c r="AX40" s="52">
        <f t="shared" si="48"/>
        <v>2231.6285138229914</v>
      </c>
      <c r="AY40" s="52">
        <f t="shared" si="22"/>
        <v>0.83647156106992082</v>
      </c>
      <c r="AZ40" s="53">
        <f t="shared" si="8"/>
        <v>1.9697046679718875E-3</v>
      </c>
      <c r="BA40" s="72">
        <v>121.44</v>
      </c>
      <c r="BB40" s="42">
        <f t="shared" si="23"/>
        <v>3.4747636054825808</v>
      </c>
      <c r="BC40" s="42">
        <f t="shared" si="9"/>
        <v>3474763.6054825806</v>
      </c>
      <c r="BD40" s="55">
        <f t="shared" si="49"/>
        <v>223.02110637633118</v>
      </c>
      <c r="BE40" s="56">
        <f t="shared" si="50"/>
        <v>0.83647156106992082</v>
      </c>
      <c r="BF40" s="45">
        <f t="shared" si="10"/>
        <v>4222434861.0504155</v>
      </c>
      <c r="BG40" s="45">
        <f t="shared" si="24"/>
        <v>0.42224348610504159</v>
      </c>
      <c r="BH40" s="45">
        <f t="shared" si="11"/>
        <v>1.4691117612052709</v>
      </c>
      <c r="BI40">
        <v>14.713198</v>
      </c>
      <c r="BM40">
        <f t="shared" si="25"/>
        <v>0.2607032590276197</v>
      </c>
      <c r="BO40" s="45">
        <f t="shared" si="41"/>
        <v>8.6051727262289109E-11</v>
      </c>
      <c r="BR40" s="24">
        <f t="shared" si="52"/>
        <v>1.4611458502924743E-9</v>
      </c>
      <c r="BS40" s="24"/>
    </row>
    <row r="41" spans="1:71" ht="15">
      <c r="A41" s="73" t="s">
        <v>184</v>
      </c>
      <c r="B41" s="66">
        <v>0.01</v>
      </c>
      <c r="C41" s="73">
        <v>1</v>
      </c>
      <c r="D41" s="73">
        <v>10</v>
      </c>
      <c r="E41" s="73">
        <v>10</v>
      </c>
      <c r="F41" s="24">
        <f>D41*1.6726219E-27</f>
        <v>1.6726219000000001E-26</v>
      </c>
      <c r="G41" s="24">
        <f t="shared" si="1"/>
        <v>9.1093856E-30</v>
      </c>
      <c r="H41" s="25">
        <f t="shared" si="13"/>
        <v>1836.1522647586683</v>
      </c>
      <c r="I41" s="25">
        <f t="shared" si="14"/>
        <v>1</v>
      </c>
      <c r="J41" s="26">
        <f t="shared" si="15"/>
        <v>1.6717109614400002E-26</v>
      </c>
      <c r="K41" s="58">
        <v>18.015000000000001</v>
      </c>
      <c r="L41" s="74">
        <v>1.7930000000000001E-3</v>
      </c>
      <c r="M41" s="29">
        <f t="shared" si="16"/>
        <v>3.6609921288669233E-3</v>
      </c>
      <c r="N41" s="28">
        <v>273.14999999999998</v>
      </c>
      <c r="O41" s="62">
        <v>1.802E-5</v>
      </c>
      <c r="P41" s="62">
        <v>5.1E-5</v>
      </c>
      <c r="T41" s="24">
        <v>3.1000000000000002E-10</v>
      </c>
      <c r="U41" s="24"/>
      <c r="V41" s="31">
        <f t="shared" si="19"/>
        <v>3.1</v>
      </c>
      <c r="W41" s="24">
        <v>999840</v>
      </c>
      <c r="X41" s="28">
        <v>1403</v>
      </c>
      <c r="Y41" s="28">
        <v>0</v>
      </c>
      <c r="Z41" s="62">
        <v>999840</v>
      </c>
      <c r="AA41" s="28">
        <v>0</v>
      </c>
      <c r="AE41" s="75">
        <v>0.56100000000000005</v>
      </c>
      <c r="AF41" s="33">
        <f t="shared" si="2"/>
        <v>0.60645622271550126</v>
      </c>
      <c r="AG41" s="33">
        <f t="shared" si="21"/>
        <v>8.1027134965242775E-2</v>
      </c>
      <c r="AH41" s="33"/>
      <c r="AI41" s="33"/>
      <c r="AJ41" s="75">
        <f>AN41*T41</f>
        <v>0.60645622271550126</v>
      </c>
      <c r="AK41" s="47">
        <f t="shared" si="43"/>
        <v>-8.1027134965242775E-2</v>
      </c>
      <c r="AL41" s="34">
        <f t="shared" si="4"/>
        <v>3869588.2095969468</v>
      </c>
      <c r="AM41" s="34">
        <f t="shared" si="5"/>
        <v>4183129.8557158709</v>
      </c>
      <c r="AN41" s="48">
        <f>1/3*BA41/O41*X41</f>
        <v>1956310395.8564556</v>
      </c>
      <c r="AO41" s="76">
        <f>T41</f>
        <v>3.1000000000000002E-10</v>
      </c>
      <c r="AP41" s="76"/>
      <c r="AQ41" s="76"/>
      <c r="AR41" s="37">
        <f t="shared" si="6"/>
        <v>2.8676430958411341E-10</v>
      </c>
      <c r="AS41" s="49">
        <f>AE41/(1/3*BA41/O41*X41)</f>
        <v>2.8676430958411341E-10</v>
      </c>
      <c r="AT41" s="49">
        <f t="shared" si="46"/>
        <v>-7.4953840051247111E-2</v>
      </c>
      <c r="AU41" s="50">
        <f t="shared" si="47"/>
        <v>4.3225675175730669E-4</v>
      </c>
      <c r="AV41" s="51">
        <f>X41+Y41*N41</f>
        <v>1403</v>
      </c>
      <c r="AW41" s="51"/>
      <c r="AX41" s="52">
        <f t="shared" si="48"/>
        <v>1297.8397624081001</v>
      </c>
      <c r="AY41" s="52">
        <f t="shared" si="22"/>
        <v>-7.495384005124725E-2</v>
      </c>
      <c r="AZ41" s="53">
        <f t="shared" si="8"/>
        <v>8.0453200147983725E-3</v>
      </c>
      <c r="BA41" s="77">
        <v>75.38</v>
      </c>
      <c r="BB41" s="42">
        <f t="shared" si="23"/>
        <v>4.1831298557158707</v>
      </c>
      <c r="BC41" s="42">
        <f t="shared" si="9"/>
        <v>4183129.8557158709</v>
      </c>
      <c r="BD41" s="55">
        <f t="shared" si="49"/>
        <v>69.72997953693698</v>
      </c>
      <c r="BE41" s="56">
        <f t="shared" si="50"/>
        <v>-7.4953840051247222E-2</v>
      </c>
      <c r="BF41" s="45">
        <f t="shared" si="10"/>
        <v>5868931187.5693665</v>
      </c>
      <c r="BG41" s="45">
        <f t="shared" si="24"/>
        <v>0.58689311875693662</v>
      </c>
      <c r="BH41" s="45">
        <f t="shared" si="11"/>
        <v>1.8193686681465038</v>
      </c>
      <c r="BI41"/>
      <c r="BJ41"/>
      <c r="BK41"/>
      <c r="BL41"/>
      <c r="BM41"/>
      <c r="BN41"/>
      <c r="BO41"/>
      <c r="BP41"/>
      <c r="BQ41"/>
      <c r="BR41" s="24">
        <f t="shared" si="52"/>
        <v>1.2781802750592626E-9</v>
      </c>
      <c r="BS41" s="24"/>
    </row>
    <row r="42" spans="1:71">
      <c r="M42" s="28"/>
      <c r="N42" s="28"/>
      <c r="AG42" s="78">
        <f>AVERAGE(AG2:AG41)</f>
        <v>0.26496424665034751</v>
      </c>
    </row>
    <row r="43" spans="1:71">
      <c r="M43" s="28"/>
      <c r="N43" s="28"/>
      <c r="AG43" s="78">
        <f>MAX(AG2:AG41)</f>
        <v>0.5544690106921496</v>
      </c>
    </row>
    <row r="44" spans="1:71">
      <c r="M44" s="28"/>
      <c r="N44" s="28"/>
      <c r="AG44" s="78">
        <f>MIN(AG2:AG41)</f>
        <v>3.5012409748039611E-2</v>
      </c>
      <c r="AO44" s="78">
        <v>0</v>
      </c>
    </row>
    <row r="45" spans="1:71">
      <c r="M45" s="28"/>
      <c r="N45" s="28"/>
      <c r="AO45" s="78">
        <v>250</v>
      </c>
    </row>
    <row r="46" spans="1:71">
      <c r="M46" s="28"/>
      <c r="N46" s="28"/>
      <c r="AF46" s="78" t="s">
        <v>185</v>
      </c>
    </row>
    <row r="47" spans="1:71">
      <c r="M47" s="28"/>
      <c r="N47" s="28"/>
      <c r="AF47" s="78" t="s">
        <v>186</v>
      </c>
    </row>
    <row r="48" spans="1:71">
      <c r="K48" s="28"/>
      <c r="M48" s="28"/>
      <c r="N48" s="28"/>
      <c r="AF48" s="78" t="s">
        <v>187</v>
      </c>
    </row>
    <row r="49" spans="7:32">
      <c r="M49" s="28"/>
      <c r="N49" s="28"/>
      <c r="AF49" s="78" t="s">
        <v>188</v>
      </c>
    </row>
    <row r="50" spans="7:32">
      <c r="M50" s="28"/>
      <c r="N50" s="28"/>
      <c r="AF50" s="78" t="s">
        <v>189</v>
      </c>
    </row>
    <row r="51" spans="7:32">
      <c r="G51" s="73" t="s">
        <v>157</v>
      </c>
      <c r="H51" s="73">
        <v>5.6672851556149997</v>
      </c>
      <c r="M51" s="28"/>
      <c r="N51" s="28"/>
      <c r="AF51" s="78" t="s">
        <v>190</v>
      </c>
    </row>
    <row r="52" spans="7:32">
      <c r="G52" s="73" t="s">
        <v>158</v>
      </c>
      <c r="H52" s="73">
        <v>3.6125286079999999</v>
      </c>
      <c r="M52" s="28"/>
      <c r="N52" s="28"/>
      <c r="AF52" s="78" t="s">
        <v>191</v>
      </c>
    </row>
    <row r="53" spans="7:32">
      <c r="G53" s="73" t="s">
        <v>159</v>
      </c>
      <c r="H53" s="73">
        <v>2.1603079999999997</v>
      </c>
      <c r="M53" s="28"/>
      <c r="N53" s="28"/>
      <c r="AF53" s="78" t="s">
        <v>192</v>
      </c>
    </row>
    <row r="54" spans="7:32">
      <c r="M54" s="28"/>
      <c r="N54" s="28"/>
      <c r="AF54" s="78" t="s">
        <v>193</v>
      </c>
    </row>
    <row r="55" spans="7:32">
      <c r="M55" s="28"/>
      <c r="N55" s="28"/>
      <c r="AF55" s="78" t="s">
        <v>194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EFE-C2E4-40BF-B69D-827973F85C12}">
  <sheetPr>
    <outlinePr summaryBelow="0"/>
  </sheetPr>
  <dimension ref="A1:BD56"/>
  <sheetViews>
    <sheetView zoomScale="60" zoomScaleNormal="60" workbookViewId="0">
      <pane xSplit="3" topLeftCell="R1" activePane="topRight" state="frozen"/>
      <selection pane="topRight" activeCell="AI3" sqref="AI3:AI17"/>
    </sheetView>
  </sheetViews>
  <sheetFormatPr defaultColWidth="9.125" defaultRowHeight="14.25"/>
  <cols>
    <col min="1" max="1" width="40.125" style="73" customWidth="1"/>
    <col min="2" max="2" width="7.875" style="73" hidden="1" customWidth="1"/>
    <col min="3" max="3" width="6.375" style="73" hidden="1" customWidth="1"/>
    <col min="4" max="4" width="8.375" style="73" customWidth="1"/>
    <col min="5" max="5" width="9" style="73" customWidth="1"/>
    <col min="6" max="6" width="10.375" style="73" customWidth="1"/>
    <col min="7" max="7" width="11.125" style="73" customWidth="1"/>
    <col min="8" max="8" width="12.75" style="73" customWidth="1"/>
    <col min="9" max="9" width="13" style="73" customWidth="1"/>
    <col min="10" max="10" width="10.625" style="73" customWidth="1"/>
    <col min="11" max="11" width="12.125" style="58" customWidth="1"/>
    <col min="12" max="12" width="13.875" style="58" customWidth="1"/>
    <col min="13" max="13" width="2.375" style="62" customWidth="1"/>
    <col min="14" max="14" width="14.625" style="62" customWidth="1"/>
    <col min="15" max="15" width="13.125" style="62" customWidth="1"/>
    <col min="16" max="16" width="8.875" style="28" customWidth="1"/>
    <col min="17" max="17" width="9.375" style="62" customWidth="1"/>
    <col min="18" max="18" width="2.25" customWidth="1"/>
    <col min="19" max="20" width="5.625" style="62" customWidth="1"/>
    <col min="21" max="22" width="12" style="62" customWidth="1"/>
    <col min="23" max="23" width="12.125" style="24" customWidth="1"/>
    <col min="24" max="24" width="10.125" style="28" customWidth="1"/>
    <col min="25" max="25" width="7.625" style="28" customWidth="1"/>
    <col min="26" max="26" width="6.25" style="28" customWidth="1"/>
    <col min="27" max="27" width="8.375" style="28" customWidth="1"/>
    <col min="28" max="28" width="7.875" style="28" customWidth="1"/>
    <col min="29" max="29" width="6.125" style="28" customWidth="1"/>
    <col min="30" max="33" width="8.875" style="28" customWidth="1"/>
    <col min="34" max="34" width="13.625" style="28" customWidth="1"/>
    <col min="35" max="37" width="11.75" style="28" customWidth="1"/>
    <col min="38" max="38" width="4.25" style="28" customWidth="1"/>
    <col min="39" max="39" width="15.125" customWidth="1"/>
    <col min="40" max="42" width="15.125" hidden="1" customWidth="1"/>
    <col min="43" max="43" width="11.875" style="28" customWidth="1"/>
    <col min="44" max="44" width="9.125" style="28"/>
    <col min="45" max="45" width="14.75" style="28" bestFit="1" customWidth="1"/>
    <col min="46" max="46" width="11" style="28" customWidth="1"/>
    <col min="47" max="49" width="10.875" style="28" customWidth="1"/>
    <col min="50" max="50" width="11" style="28" customWidth="1"/>
    <col min="51" max="52" width="10.875" style="28" customWidth="1"/>
    <col min="53" max="16384" width="9.125" style="28"/>
  </cols>
  <sheetData>
    <row r="1" spans="1:56">
      <c r="AI1" s="89" t="s">
        <v>264</v>
      </c>
      <c r="AJ1" s="89"/>
      <c r="AK1" s="87"/>
      <c r="AL1" s="87"/>
      <c r="AT1" s="89" t="s">
        <v>261</v>
      </c>
      <c r="AU1" s="89"/>
      <c r="AV1" s="89"/>
      <c r="AW1" s="87"/>
      <c r="AX1" s="89" t="s">
        <v>260</v>
      </c>
      <c r="AY1" s="89"/>
      <c r="AZ1" s="89"/>
    </row>
    <row r="2" spans="1:56" s="10" customFormat="1" ht="20.25" customHeight="1" thickBot="1">
      <c r="A2" s="3" t="s">
        <v>96</v>
      </c>
      <c r="B2" s="4" t="s">
        <v>97</v>
      </c>
      <c r="C2" s="3" t="s">
        <v>98</v>
      </c>
      <c r="D2" s="3" t="s">
        <v>99</v>
      </c>
      <c r="E2" s="3" t="s">
        <v>100</v>
      </c>
      <c r="F2" s="5" t="s">
        <v>101</v>
      </c>
      <c r="G2" s="5" t="s">
        <v>102</v>
      </c>
      <c r="H2" s="3" t="s">
        <v>103</v>
      </c>
      <c r="I2" s="3" t="s">
        <v>104</v>
      </c>
      <c r="J2" s="3" t="s">
        <v>105</v>
      </c>
      <c r="K2" s="6" t="s">
        <v>106</v>
      </c>
      <c r="L2" s="6" t="s">
        <v>107</v>
      </c>
      <c r="M2" s="7" t="s">
        <v>108</v>
      </c>
      <c r="N2" s="7" t="s">
        <v>109</v>
      </c>
      <c r="O2" s="7" t="s">
        <v>110</v>
      </c>
      <c r="P2" s="10" t="s">
        <v>230</v>
      </c>
      <c r="Q2" s="8" t="s">
        <v>111</v>
      </c>
      <c r="R2" s="4"/>
      <c r="S2" s="7" t="s">
        <v>112</v>
      </c>
      <c r="T2" s="7" t="s">
        <v>113</v>
      </c>
      <c r="U2" s="7" t="s">
        <v>114</v>
      </c>
      <c r="V2" s="83" t="s">
        <v>197</v>
      </c>
      <c r="W2" s="9" t="s">
        <v>115</v>
      </c>
      <c r="X2" s="10" t="s">
        <v>116</v>
      </c>
      <c r="Y2" s="10" t="s">
        <v>117</v>
      </c>
      <c r="Z2" s="10" t="s">
        <v>118</v>
      </c>
      <c r="AA2" s="10" t="s">
        <v>119</v>
      </c>
      <c r="AB2" s="10" t="s">
        <v>120</v>
      </c>
      <c r="AC2" s="10" t="s">
        <v>121</v>
      </c>
      <c r="AD2" s="10" t="s">
        <v>122</v>
      </c>
      <c r="AE2" s="10" t="s">
        <v>231</v>
      </c>
      <c r="AF2" s="10" t="s">
        <v>234</v>
      </c>
      <c r="AG2" s="10" t="s">
        <v>17</v>
      </c>
      <c r="AH2" s="10" t="s">
        <v>18</v>
      </c>
      <c r="AI2" s="10" t="s">
        <v>263</v>
      </c>
      <c r="AJ2" s="10" t="s">
        <v>262</v>
      </c>
      <c r="AK2" s="10" t="s">
        <v>267</v>
      </c>
      <c r="AM2" s="82" t="s">
        <v>224</v>
      </c>
      <c r="AN2" s="82" t="s">
        <v>225</v>
      </c>
      <c r="AO2" s="82"/>
      <c r="AP2" s="82" t="s">
        <v>226</v>
      </c>
      <c r="AQ2" s="4" t="s">
        <v>232</v>
      </c>
      <c r="AR2" s="4" t="s">
        <v>233</v>
      </c>
      <c r="AS2" s="84" t="s">
        <v>227</v>
      </c>
      <c r="AT2" s="4" t="s">
        <v>235</v>
      </c>
      <c r="AU2" s="4" t="s">
        <v>236</v>
      </c>
      <c r="AV2" s="4" t="s">
        <v>237</v>
      </c>
      <c r="AW2" s="4" t="s">
        <v>270</v>
      </c>
      <c r="AX2" s="4" t="s">
        <v>235</v>
      </c>
      <c r="AY2" s="4" t="s">
        <v>236</v>
      </c>
      <c r="AZ2" s="4" t="s">
        <v>237</v>
      </c>
      <c r="BA2" s="4"/>
      <c r="BB2" s="4"/>
      <c r="BC2" s="10" t="s">
        <v>151</v>
      </c>
    </row>
    <row r="3" spans="1:56" ht="20.25" customHeight="1">
      <c r="A3" s="22" t="s">
        <v>152</v>
      </c>
      <c r="B3" s="23">
        <v>9.9499999999999993</v>
      </c>
      <c r="C3" s="22">
        <v>1</v>
      </c>
      <c r="D3" s="22">
        <v>12</v>
      </c>
      <c r="E3" s="22">
        <v>12</v>
      </c>
      <c r="F3" s="24">
        <f t="shared" ref="F3:F38" si="0">D3*1.6726219E-27</f>
        <v>2.0071462799999999E-26</v>
      </c>
      <c r="G3" s="24">
        <f t="shared" ref="G3:G42" si="1">E3*9.1093856E-31</f>
        <v>1.0931262719999999E-29</v>
      </c>
      <c r="H3" s="25">
        <f>((F3*D3)/(G3*E3))</f>
        <v>1836.1522647586683</v>
      </c>
      <c r="I3" s="25">
        <f>D3/E3</f>
        <v>1</v>
      </c>
      <c r="J3" s="26">
        <f>(F3)-(G3)</f>
        <v>2.0060531537279999E-26</v>
      </c>
      <c r="K3" s="27">
        <v>25.939</v>
      </c>
      <c r="L3" s="28">
        <f>0.115*EXP(27000/(8.3144598*N3))/1000</f>
        <v>2.0988673196732184E-3</v>
      </c>
      <c r="M3" s="29">
        <f>N3^-1</f>
        <v>8.9433439162902998E-4</v>
      </c>
      <c r="N3" s="27">
        <v>1118.1500000000001</v>
      </c>
      <c r="O3" s="30">
        <v>1.42E-5</v>
      </c>
      <c r="P3" s="28">
        <f>6.0223E+23/O3</f>
        <v>4.2410563380281691E+28</v>
      </c>
      <c r="Q3" s="30">
        <v>2.6800000000000001E-4</v>
      </c>
      <c r="S3" s="31">
        <v>7.5999999999999996E-11</v>
      </c>
      <c r="T3" s="31">
        <v>1.3300000000000001E-10</v>
      </c>
      <c r="U3" s="31">
        <f>T3+S3</f>
        <v>2.09E-10</v>
      </c>
      <c r="V3" s="31">
        <f>U3*10000000000</f>
        <v>2.09</v>
      </c>
      <c r="W3" s="31">
        <v>1810000</v>
      </c>
      <c r="X3" s="32">
        <v>2547.8000000000002</v>
      </c>
      <c r="Y3" s="28">
        <v>0</v>
      </c>
      <c r="Z3" s="24">
        <v>2.3580999999999999</v>
      </c>
      <c r="AA3" s="24">
        <v>-4.9019999999999999E-4</v>
      </c>
      <c r="AB3" s="28">
        <v>1</v>
      </c>
      <c r="AC3" s="28">
        <v>1</v>
      </c>
      <c r="AD3" s="28">
        <f>AB3+AC3</f>
        <v>2</v>
      </c>
      <c r="AE3" s="28">
        <f t="shared" ref="AE3:AE14" si="2">6.0223E+23/O3*ABS(AQ3)/(ABS(AQ3)+ABS(AR3))</f>
        <v>2.1205281690140846E+28</v>
      </c>
      <c r="AF3" s="28">
        <f t="shared" ref="AF3:AF14" si="3">6.0223E+23/O3*ABS(AR3)/(ABS(AQ3)+ABS(AR3))</f>
        <v>2.1205281690140846E+28</v>
      </c>
      <c r="AG3" s="28">
        <v>1.2596773073498</v>
      </c>
      <c r="AH3" s="28" t="s">
        <v>54</v>
      </c>
      <c r="AI3" s="88">
        <f>WalzPDFpeaks!D3*0.000000000001</f>
        <v>1.8399999999999998E-10</v>
      </c>
      <c r="AJ3" s="88">
        <f>WalzPDFpeaks!F3*0.000000000001</f>
        <v>2.8200000000000001E-10</v>
      </c>
      <c r="AK3" s="88">
        <f>WalzPDFpeaks!H3*0.000000000001</f>
        <v>2.84E-10</v>
      </c>
      <c r="AL3" s="28" t="s">
        <v>272</v>
      </c>
      <c r="AM3">
        <v>5.9</v>
      </c>
      <c r="AN3" t="s">
        <v>210</v>
      </c>
      <c r="AO3" t="s">
        <v>203</v>
      </c>
      <c r="AP3" t="s">
        <v>204</v>
      </c>
      <c r="AQ3">
        <v>1</v>
      </c>
      <c r="AR3">
        <f>AQ3*-1</f>
        <v>-1</v>
      </c>
      <c r="AS3">
        <f t="shared" ref="AS3:AS23" si="4">SQRT(($AM$46*AM3*$AM$48*N3)/(AE3*(AQ3*$AM$50)^2+AF3*(AR3*$AM$50)^2))</f>
        <v>2.7220278683722049E-11</v>
      </c>
      <c r="AT3" s="45">
        <f t="shared" ref="AT3:AT10" si="5">(AQ3*AR3*$AM$50)/(4*PI()*$AM$46*AM3*AI3)*EXP(-AI3/AS3)</f>
        <v>-1.5379712256758634E-3</v>
      </c>
      <c r="AU3" s="45">
        <f t="shared" ref="AU3:AU10" si="6">(AQ3*AQ3*$AM$50)/(4*PI()*$AM$46*AM3*AJ3)*EXP(-AJ3/AS3)</f>
        <v>2.7412279946817221E-5</v>
      </c>
      <c r="AV3" s="45">
        <f t="shared" ref="AV3:AV10" si="7">(AR3*AR3*$AM$50)/(4*PI()*$AM$46*AM3*AK3)*EXP(-AK3/AS3)</f>
        <v>2.5291017306485122E-5</v>
      </c>
      <c r="AW3" s="45"/>
      <c r="AX3" s="45">
        <f t="shared" ref="AX3:AX13" si="8">(AQ3*AR3*$AM$50)/(4*PI()*$AM$46*AM3*$AM$52)*EXP(-$AM$52/AS3)</f>
        <v>-6.5464268762555351E-5</v>
      </c>
      <c r="AY3" s="45">
        <f t="shared" ref="AY3:AY13" si="9">(AQ3*AQ3*$AM$50)/(4*PI()*$AM$46*AM3*$AM$52)*EXP(-$AM$52/AS3)</f>
        <v>6.5464268762555351E-5</v>
      </c>
      <c r="AZ3" s="45">
        <f t="shared" ref="AZ3:AZ13" si="10">(AR3*AR3*$AM$50)/(4*PI()*$AM$46*AM3*$AM$52)*EXP(-$AM$52/AS3)</f>
        <v>6.5464268762555351E-5</v>
      </c>
      <c r="BA3"/>
      <c r="BB3"/>
      <c r="BC3" s="24">
        <f t="shared" ref="BC3:BC10" si="11">L3/(W3/1000*(X3+Y3*N3))</f>
        <v>4.5513588360128237E-10</v>
      </c>
      <c r="BD3" s="24"/>
    </row>
    <row r="4" spans="1:56" ht="20.25" customHeight="1">
      <c r="A4" s="22" t="s">
        <v>153</v>
      </c>
      <c r="B4" s="23">
        <v>6.9</v>
      </c>
      <c r="C4" s="22">
        <v>1</v>
      </c>
      <c r="D4" s="22">
        <v>20</v>
      </c>
      <c r="E4" s="22">
        <v>20</v>
      </c>
      <c r="F4" s="24">
        <f t="shared" si="0"/>
        <v>3.3452438000000001E-26</v>
      </c>
      <c r="G4" s="24">
        <f t="shared" si="1"/>
        <v>1.82187712E-29</v>
      </c>
      <c r="H4" s="25">
        <f t="shared" ref="H4:H42" si="12">((F4*D4)/(G4*E4))</f>
        <v>1836.1522647586683</v>
      </c>
      <c r="I4" s="25">
        <f t="shared" ref="I4:I42" si="13">D4/E4</f>
        <v>1</v>
      </c>
      <c r="J4" s="26">
        <f t="shared" ref="J4:J42" si="14">(F4)-(G4)</f>
        <v>3.3434219228800004E-26</v>
      </c>
      <c r="K4" s="27">
        <v>41.988</v>
      </c>
      <c r="L4" s="28">
        <f>0.12*EXP(26500/(8.3144598*N4))/1000</f>
        <v>1.4814456494713717E-3</v>
      </c>
      <c r="M4" s="29">
        <f t="shared" ref="M4:M42" si="15">N4^-1</f>
        <v>7.885502503647044E-4</v>
      </c>
      <c r="N4" s="27">
        <v>1268.1500000000001</v>
      </c>
      <c r="O4" s="30">
        <v>2.16E-5</v>
      </c>
      <c r="P4" s="28">
        <f t="shared" ref="P4:P42" si="16">6.0223E+23/O4</f>
        <v>2.7881018518518517E+28</v>
      </c>
      <c r="Q4" s="30">
        <v>2.8800000000000001E-4</v>
      </c>
      <c r="S4" s="31">
        <v>1.02E-10</v>
      </c>
      <c r="T4" s="31">
        <v>1.3300000000000001E-10</v>
      </c>
      <c r="U4" s="31">
        <f t="shared" ref="U4:U23" si="17">T4+S4</f>
        <v>2.3500000000000002E-10</v>
      </c>
      <c r="V4" s="31">
        <f t="shared" ref="V4:V42" si="18">U4*10000000000</f>
        <v>2.35</v>
      </c>
      <c r="W4" s="31">
        <v>1950000</v>
      </c>
      <c r="X4" s="32">
        <v>2085.5</v>
      </c>
      <c r="Y4" s="28">
        <v>0</v>
      </c>
      <c r="Z4" s="24">
        <v>2.7549999999999999</v>
      </c>
      <c r="AA4" s="28">
        <v>-6.3599999999999996E-4</v>
      </c>
      <c r="AB4" s="28">
        <v>1</v>
      </c>
      <c r="AC4" s="28">
        <v>1</v>
      </c>
      <c r="AD4" s="28">
        <f t="shared" ref="AD4:AD41" si="19">AB4+AC4</f>
        <v>2</v>
      </c>
      <c r="AE4" s="28">
        <f t="shared" si="2"/>
        <v>1.3940509259259258E+28</v>
      </c>
      <c r="AF4" s="28">
        <f t="shared" si="3"/>
        <v>1.3940509259259258E+28</v>
      </c>
      <c r="AG4" s="28">
        <v>1.17915204552163</v>
      </c>
      <c r="AH4" s="28" t="s">
        <v>282</v>
      </c>
      <c r="AI4" s="88">
        <f>WalzPDFpeaks!D4*0.000000000001</f>
        <v>2.1399999999999998E-10</v>
      </c>
      <c r="AJ4" s="88">
        <f>WalzPDFpeaks!F4*0.000000000001</f>
        <v>3.2600000000000001E-10</v>
      </c>
      <c r="AK4" s="88">
        <f>WalzPDFpeaks!H4*0.000000000001</f>
        <v>3.3399999999999998E-10</v>
      </c>
      <c r="AL4" s="28" t="s">
        <v>273</v>
      </c>
      <c r="AM4">
        <v>5.9</v>
      </c>
      <c r="AN4" t="s">
        <v>211</v>
      </c>
      <c r="AO4" t="s">
        <v>203</v>
      </c>
      <c r="AP4" t="s">
        <v>204</v>
      </c>
      <c r="AQ4">
        <v>1</v>
      </c>
      <c r="AR4">
        <f t="shared" ref="AR4:AR19" si="20">AQ4*-1</f>
        <v>-1</v>
      </c>
      <c r="AS4">
        <f t="shared" si="4"/>
        <v>3.5752840346591388E-11</v>
      </c>
      <c r="AT4" s="45">
        <f t="shared" si="5"/>
        <v>-2.867818834700974E-3</v>
      </c>
      <c r="AU4" s="45">
        <f t="shared" si="6"/>
        <v>8.2085995226339041E-5</v>
      </c>
      <c r="AV4" s="45">
        <f t="shared" si="7"/>
        <v>6.4056490768239833E-5</v>
      </c>
      <c r="AW4" s="45"/>
      <c r="AX4" s="45">
        <f t="shared" si="8"/>
        <v>-6.4235936444315676E-4</v>
      </c>
      <c r="AY4" s="45">
        <f t="shared" si="9"/>
        <v>6.4235936444315676E-4</v>
      </c>
      <c r="AZ4" s="45">
        <f t="shared" si="10"/>
        <v>6.4235936444315676E-4</v>
      </c>
      <c r="BA4"/>
      <c r="BB4"/>
      <c r="BC4" s="24">
        <f t="shared" si="11"/>
        <v>3.6428468840931505E-10</v>
      </c>
      <c r="BD4" s="24"/>
    </row>
    <row r="5" spans="1:56" ht="20.25" customHeight="1">
      <c r="A5" s="22" t="s">
        <v>154</v>
      </c>
      <c r="B5" s="57">
        <v>5.0999999999999996</v>
      </c>
      <c r="C5" s="22">
        <v>1</v>
      </c>
      <c r="D5" s="22">
        <v>28</v>
      </c>
      <c r="E5" s="22">
        <v>28</v>
      </c>
      <c r="F5" s="24">
        <f t="shared" si="0"/>
        <v>4.6833413199999998E-26</v>
      </c>
      <c r="G5" s="24">
        <f t="shared" si="1"/>
        <v>2.5506279679999997E-29</v>
      </c>
      <c r="H5" s="25">
        <f t="shared" si="12"/>
        <v>1836.1522647586683</v>
      </c>
      <c r="I5" s="25">
        <f t="shared" si="13"/>
        <v>1</v>
      </c>
      <c r="J5" s="26">
        <f t="shared" si="14"/>
        <v>4.680790692032E-26</v>
      </c>
      <c r="K5" s="27">
        <v>58.097000000000001</v>
      </c>
      <c r="L5" s="28">
        <f>0.107*EXP(23800/(8.3144598*N5))/1000</f>
        <v>1.3500630387524655E-3</v>
      </c>
      <c r="M5" s="29">
        <f t="shared" si="15"/>
        <v>8.856219279989372E-4</v>
      </c>
      <c r="N5" s="27">
        <v>1129.1500000000001</v>
      </c>
      <c r="O5" s="30">
        <v>3.04E-5</v>
      </c>
      <c r="P5" s="28">
        <f t="shared" si="16"/>
        <v>1.9810197368421051E+28</v>
      </c>
      <c r="Q5" s="30">
        <v>3.4099999999999999E-4</v>
      </c>
      <c r="S5" s="31">
        <v>1.3799999999999999E-10</v>
      </c>
      <c r="T5" s="31">
        <v>1.3300000000000001E-10</v>
      </c>
      <c r="U5" s="31">
        <f t="shared" si="17"/>
        <v>2.7099999999999999E-10</v>
      </c>
      <c r="V5" s="31">
        <f t="shared" si="18"/>
        <v>2.71</v>
      </c>
      <c r="W5" s="31">
        <v>1910000</v>
      </c>
      <c r="X5" s="32">
        <v>1816.4</v>
      </c>
      <c r="Y5" s="28">
        <v>0</v>
      </c>
      <c r="Z5" s="28">
        <v>2.6463999999999999</v>
      </c>
      <c r="AA5" s="28">
        <v>-6.5149999999999995E-4</v>
      </c>
      <c r="AB5" s="28">
        <v>1</v>
      </c>
      <c r="AC5" s="28">
        <v>1</v>
      </c>
      <c r="AD5" s="28">
        <f t="shared" si="19"/>
        <v>2</v>
      </c>
      <c r="AE5" s="28">
        <f t="shared" si="2"/>
        <v>9.9050986842105257E+27</v>
      </c>
      <c r="AF5" s="28">
        <f t="shared" si="3"/>
        <v>9.9050986842105257E+27</v>
      </c>
      <c r="AG5" s="28">
        <v>0.62277172330456099</v>
      </c>
      <c r="AH5" s="28" t="s">
        <v>57</v>
      </c>
      <c r="AI5" s="88">
        <f>WalzPDFpeaks!D5*0.000000000001</f>
        <v>2.4399999999999998E-10</v>
      </c>
      <c r="AJ5" s="88">
        <f>WalzPDFpeaks!F5*0.000000000001</f>
        <v>3.7999999999999998E-10</v>
      </c>
      <c r="AK5" s="88">
        <f>WalzPDFpeaks!H5*0.000000000001</f>
        <v>3.8400000000000002E-10</v>
      </c>
      <c r="AL5" s="28" t="s">
        <v>274</v>
      </c>
      <c r="AM5">
        <v>5.9</v>
      </c>
      <c r="AN5" t="s">
        <v>212</v>
      </c>
      <c r="AO5" t="s">
        <v>203</v>
      </c>
      <c r="AP5" t="s">
        <v>204</v>
      </c>
      <c r="AQ5">
        <v>1</v>
      </c>
      <c r="AR5">
        <f t="shared" si="20"/>
        <v>-1</v>
      </c>
      <c r="AS5">
        <f t="shared" si="4"/>
        <v>4.0023122874836718E-11</v>
      </c>
      <c r="AT5" s="45">
        <f t="shared" si="5"/>
        <v>-2.2511071847353434E-3</v>
      </c>
      <c r="AU5" s="45">
        <f t="shared" si="6"/>
        <v>4.8334168730991109E-5</v>
      </c>
      <c r="AV5" s="45">
        <f t="shared" si="7"/>
        <v>4.3281496521753598E-5</v>
      </c>
      <c r="AW5" s="45"/>
      <c r="AX5" s="45">
        <f t="shared" si="8"/>
        <v>-1.3975067443463746E-3</v>
      </c>
      <c r="AY5" s="45">
        <f t="shared" si="9"/>
        <v>1.3975067443463746E-3</v>
      </c>
      <c r="AZ5" s="45">
        <f t="shared" si="10"/>
        <v>1.3975067443463746E-3</v>
      </c>
      <c r="BA5"/>
      <c r="BB5"/>
      <c r="BC5" s="24">
        <f t="shared" si="11"/>
        <v>3.8914296812648964E-10</v>
      </c>
      <c r="BD5" s="24"/>
    </row>
    <row r="6" spans="1:56" ht="20.25" customHeight="1">
      <c r="A6" s="22" t="s">
        <v>155</v>
      </c>
      <c r="B6" s="57"/>
      <c r="C6" s="22">
        <v>1</v>
      </c>
      <c r="D6" s="22">
        <v>46</v>
      </c>
      <c r="E6" s="22">
        <v>46</v>
      </c>
      <c r="F6" s="24">
        <f t="shared" si="0"/>
        <v>7.6940607399999996E-26</v>
      </c>
      <c r="G6" s="24">
        <f t="shared" si="1"/>
        <v>4.1903173759999999E-29</v>
      </c>
      <c r="H6" s="25">
        <f t="shared" si="12"/>
        <v>1836.1522647586683</v>
      </c>
      <c r="I6" s="25">
        <f t="shared" si="13"/>
        <v>1</v>
      </c>
      <c r="J6" s="26">
        <f t="shared" si="14"/>
        <v>7.689870422624E-26</v>
      </c>
      <c r="K6" s="58">
        <v>104.4662</v>
      </c>
      <c r="L6" s="28">
        <f>0.115*EXP(27000/(8.3144598*N6))/1000</f>
        <v>2.5481160758264749E-3</v>
      </c>
      <c r="M6" s="29">
        <f t="shared" si="15"/>
        <v>9.5406191861851825E-4</v>
      </c>
      <c r="N6" s="28">
        <v>1048.1500000000001</v>
      </c>
      <c r="O6" s="30">
        <v>3.57E-5</v>
      </c>
      <c r="P6" s="28">
        <f t="shared" si="16"/>
        <v>1.6869187675070028E+28</v>
      </c>
      <c r="Q6" s="30">
        <v>3.4900000000000003E-4</v>
      </c>
      <c r="S6" s="31">
        <v>1.5199999999999999E-10</v>
      </c>
      <c r="T6" s="31">
        <v>1.3300000000000001E-10</v>
      </c>
      <c r="U6" s="31">
        <f t="shared" si="17"/>
        <v>2.85E-10</v>
      </c>
      <c r="V6" s="31">
        <f t="shared" si="18"/>
        <v>2.85</v>
      </c>
      <c r="W6" s="31">
        <f>K6/O6</f>
        <v>2926224.0896358541</v>
      </c>
      <c r="X6" s="32">
        <v>1760.4</v>
      </c>
      <c r="Y6" s="28">
        <v>0</v>
      </c>
      <c r="Z6" s="31">
        <f>W6*100^3/1000</f>
        <v>2926224089.6358538</v>
      </c>
      <c r="AA6" s="28">
        <v>0</v>
      </c>
      <c r="AE6" s="28">
        <f t="shared" si="2"/>
        <v>8.4345938375350141E+27</v>
      </c>
      <c r="AF6" s="28">
        <f t="shared" si="3"/>
        <v>8.4345938375350141E+27</v>
      </c>
      <c r="AI6" s="88">
        <f>WalzPDFpeaks!D6*0.000000000001</f>
        <v>2.5599999999999999E-10</v>
      </c>
      <c r="AJ6" s="88">
        <f>WalzPDFpeaks!F6*0.000000000001</f>
        <v>4.0000000000000001E-10</v>
      </c>
      <c r="AK6" s="88">
        <f>WalzPDFpeaks!H6*0.000000000001</f>
        <v>4.0599999999999999E-10</v>
      </c>
      <c r="AL6" s="28" t="s">
        <v>275</v>
      </c>
      <c r="AM6">
        <v>5.9</v>
      </c>
      <c r="AN6" t="s">
        <v>213</v>
      </c>
      <c r="AO6" t="s">
        <v>203</v>
      </c>
      <c r="AP6" t="s">
        <v>204</v>
      </c>
      <c r="AQ6">
        <v>1</v>
      </c>
      <c r="AR6">
        <f t="shared" si="20"/>
        <v>-1</v>
      </c>
      <c r="AS6">
        <f t="shared" si="4"/>
        <v>4.1787288199734446E-11</v>
      </c>
      <c r="AT6" s="45">
        <f t="shared" si="5"/>
        <v>-2.0826138934222842E-3</v>
      </c>
      <c r="AU6" s="45">
        <f t="shared" si="6"/>
        <v>4.2481467139577348E-5</v>
      </c>
      <c r="AV6" s="45">
        <f t="shared" si="7"/>
        <v>3.6255640374368967E-5</v>
      </c>
      <c r="AW6" s="45"/>
      <c r="AX6" s="45">
        <f t="shared" si="8"/>
        <v>-1.8393987211277479E-3</v>
      </c>
      <c r="AY6" s="45">
        <f t="shared" si="9"/>
        <v>1.8393987211277479E-3</v>
      </c>
      <c r="AZ6" s="45">
        <f t="shared" si="10"/>
        <v>1.8393987211277479E-3</v>
      </c>
      <c r="BA6"/>
      <c r="BB6"/>
      <c r="BC6" s="24">
        <f t="shared" si="11"/>
        <v>4.94652566383765E-10</v>
      </c>
      <c r="BD6" s="24"/>
    </row>
    <row r="7" spans="1:56" ht="20.25" customHeight="1">
      <c r="A7" s="22" t="s">
        <v>156</v>
      </c>
      <c r="B7" s="57"/>
      <c r="C7" s="22">
        <v>1</v>
      </c>
      <c r="D7" s="22">
        <v>64</v>
      </c>
      <c r="E7" s="22">
        <v>64</v>
      </c>
      <c r="F7" s="24">
        <f t="shared" si="0"/>
        <v>1.070478016E-25</v>
      </c>
      <c r="G7" s="24">
        <f t="shared" si="1"/>
        <v>5.8300067839999996E-29</v>
      </c>
      <c r="H7" s="25">
        <f t="shared" si="12"/>
        <v>1836.1522647586685</v>
      </c>
      <c r="I7" s="25">
        <f t="shared" si="13"/>
        <v>1</v>
      </c>
      <c r="J7" s="26">
        <f t="shared" si="14"/>
        <v>1.0698950153215999E-25</v>
      </c>
      <c r="K7" s="27">
        <v>58.44</v>
      </c>
      <c r="L7" s="28">
        <f>0.115*EXP(27000/(8.3144598*N7))/1000</f>
        <v>3.4453112314492135E-3</v>
      </c>
      <c r="M7" s="29">
        <f t="shared" si="15"/>
        <v>1.0469559755012302E-3</v>
      </c>
      <c r="N7" s="27">
        <v>955.15</v>
      </c>
      <c r="O7" s="30">
        <v>4.57E-5</v>
      </c>
      <c r="P7" s="28">
        <f t="shared" si="16"/>
        <v>1.3177899343544859E+28</v>
      </c>
      <c r="Q7" s="30">
        <v>3.8499999999999998E-4</v>
      </c>
      <c r="S7" s="31">
        <v>1.6699999999999999E-10</v>
      </c>
      <c r="T7" s="31">
        <v>1.3300000000000001E-10</v>
      </c>
      <c r="U7" s="31">
        <f t="shared" si="17"/>
        <v>3E-10</v>
      </c>
      <c r="V7" s="31">
        <f t="shared" si="18"/>
        <v>3</v>
      </c>
      <c r="W7" s="31">
        <v>2196977.25</v>
      </c>
      <c r="X7" s="28">
        <v>2732.9322499999998</v>
      </c>
      <c r="Y7" s="28">
        <v>-0.91500000000000004</v>
      </c>
      <c r="Z7" s="28">
        <v>4.8985000000000003</v>
      </c>
      <c r="AA7" s="28">
        <v>-5.4299999999999997E-4</v>
      </c>
      <c r="AE7" s="28">
        <f t="shared" si="2"/>
        <v>6.5889496717724293E+27</v>
      </c>
      <c r="AF7" s="28">
        <f t="shared" si="3"/>
        <v>6.5889496717724293E+27</v>
      </c>
      <c r="AI7" s="88">
        <f>WalzPDFpeaks!D7*0.000000000001</f>
        <v>2.7599999999999998E-10</v>
      </c>
      <c r="AJ7" s="88">
        <f>WalzPDFpeaks!F7*0.000000000001</f>
        <v>4.2399999999999998E-10</v>
      </c>
      <c r="AK7" s="88">
        <f>WalzPDFpeaks!H7*0.000000000001</f>
        <v>4.2799999999999997E-10</v>
      </c>
      <c r="AL7" s="28" t="s">
        <v>276</v>
      </c>
      <c r="AM7">
        <v>5.9</v>
      </c>
      <c r="AN7" t="s">
        <v>214</v>
      </c>
      <c r="AO7" t="s">
        <v>203</v>
      </c>
      <c r="AP7" t="s">
        <v>204</v>
      </c>
      <c r="AQ7">
        <v>1</v>
      </c>
      <c r="AR7">
        <f t="shared" si="20"/>
        <v>-1</v>
      </c>
      <c r="AS7">
        <f t="shared" si="4"/>
        <v>4.5132797237041764E-11</v>
      </c>
      <c r="AT7" s="45">
        <f t="shared" si="5"/>
        <v>-1.9530231741785981E-3</v>
      </c>
      <c r="AU7" s="45">
        <f t="shared" si="6"/>
        <v>4.7874807916114803E-5</v>
      </c>
      <c r="AV7" s="45">
        <f t="shared" si="7"/>
        <v>4.3404900512195838E-5</v>
      </c>
      <c r="AW7" s="45"/>
      <c r="AX7" s="45">
        <f t="shared" si="8"/>
        <v>-2.9196880729902793E-3</v>
      </c>
      <c r="AY7" s="45">
        <f t="shared" si="9"/>
        <v>2.9196880729902793E-3</v>
      </c>
      <c r="AZ7" s="45">
        <f t="shared" si="10"/>
        <v>2.9196880729902793E-3</v>
      </c>
      <c r="BA7"/>
      <c r="BB7"/>
      <c r="BC7" s="24">
        <f t="shared" si="11"/>
        <v>8.4358824408450485E-10</v>
      </c>
      <c r="BD7" s="24"/>
    </row>
    <row r="8" spans="1:56" ht="20.25" customHeight="1">
      <c r="A8" s="22" t="s">
        <v>157</v>
      </c>
      <c r="B8" s="57">
        <v>3.67</v>
      </c>
      <c r="C8" s="22">
        <v>1</v>
      </c>
      <c r="D8" s="22">
        <v>20</v>
      </c>
      <c r="E8" s="22">
        <v>20</v>
      </c>
      <c r="F8" s="24">
        <f t="shared" si="0"/>
        <v>3.3452438000000001E-26</v>
      </c>
      <c r="G8" s="24">
        <f t="shared" si="1"/>
        <v>1.82187712E-29</v>
      </c>
      <c r="H8" s="25">
        <f t="shared" si="12"/>
        <v>1836.1522647586683</v>
      </c>
      <c r="I8" s="25">
        <f t="shared" si="13"/>
        <v>1</v>
      </c>
      <c r="J8" s="26">
        <f t="shared" si="14"/>
        <v>3.3434219228800004E-26</v>
      </c>
      <c r="K8" s="27">
        <v>42.393999999999998</v>
      </c>
      <c r="L8" s="28">
        <f>0.0726*EXP(22400/(8.3144598*N8))/1000</f>
        <v>1.5609788980515524E-3</v>
      </c>
      <c r="M8" s="29">
        <f t="shared" si="15"/>
        <v>1.1388224575788635E-3</v>
      </c>
      <c r="N8" s="27">
        <v>878.1</v>
      </c>
      <c r="O8" s="30">
        <f>K8/W8</f>
        <v>2.828152101400934E-5</v>
      </c>
      <c r="P8" s="28">
        <f t="shared" si="16"/>
        <v>2.129411638439402E+28</v>
      </c>
      <c r="Q8" s="30">
        <v>2.8800000000000001E-4</v>
      </c>
      <c r="S8" s="31">
        <v>7.5999999999999996E-11</v>
      </c>
      <c r="T8" s="31">
        <v>1.81E-10</v>
      </c>
      <c r="U8" s="31">
        <f t="shared" si="17"/>
        <v>2.5699999999999999E-10</v>
      </c>
      <c r="V8" s="31">
        <f t="shared" si="18"/>
        <v>2.57</v>
      </c>
      <c r="W8" s="31">
        <v>1499000</v>
      </c>
      <c r="X8" s="28">
        <v>2787.9043499999998</v>
      </c>
      <c r="Y8" s="28">
        <v>-0.84899999999999998</v>
      </c>
      <c r="Z8" s="28">
        <v>1.8842000000000001</v>
      </c>
      <c r="AA8" s="28">
        <v>-4.328E-4</v>
      </c>
      <c r="AB8" s="28">
        <v>1</v>
      </c>
      <c r="AC8" s="28">
        <v>1</v>
      </c>
      <c r="AD8" s="28">
        <f t="shared" si="19"/>
        <v>2</v>
      </c>
      <c r="AE8" s="28">
        <f t="shared" si="2"/>
        <v>1.064705819219701E+28</v>
      </c>
      <c r="AF8" s="28">
        <f t="shared" si="3"/>
        <v>1.064705819219701E+28</v>
      </c>
      <c r="AG8" s="28">
        <v>0.65551426087602205</v>
      </c>
      <c r="AH8" s="28" t="s">
        <v>48</v>
      </c>
      <c r="AI8" s="88">
        <f>WalzPDFpeaks!D8*0.000000000001</f>
        <v>2.3600000000000001E-10</v>
      </c>
      <c r="AJ8" s="88">
        <f>WalzPDFpeaks!F8*0.000000000001</f>
        <v>3.5199999999999997E-10</v>
      </c>
      <c r="AK8" s="88">
        <f>WalzPDFpeaks!H8*0.000000000001</f>
        <v>3.6199999999999999E-10</v>
      </c>
      <c r="AL8" s="28" t="s">
        <v>277</v>
      </c>
      <c r="AM8">
        <v>5.9</v>
      </c>
      <c r="AN8" t="s">
        <v>215</v>
      </c>
      <c r="AO8" t="s">
        <v>203</v>
      </c>
      <c r="AP8" t="s">
        <v>204</v>
      </c>
      <c r="AQ8">
        <v>1</v>
      </c>
      <c r="AR8">
        <f t="shared" si="20"/>
        <v>-1</v>
      </c>
      <c r="AS8">
        <f t="shared" si="4"/>
        <v>3.4042522319269552E-11</v>
      </c>
      <c r="AT8" s="45">
        <f t="shared" si="5"/>
        <v>-1.0087663105003439E-3</v>
      </c>
      <c r="AU8" s="45">
        <f t="shared" si="6"/>
        <v>2.2402687463982093E-5</v>
      </c>
      <c r="AV8" s="45">
        <f t="shared" si="7"/>
        <v>1.6239030344722491E-5</v>
      </c>
      <c r="AW8" s="45"/>
      <c r="AX8" s="45">
        <f t="shared" si="8"/>
        <v>-4.4547220629326256E-4</v>
      </c>
      <c r="AY8" s="45">
        <f t="shared" si="9"/>
        <v>4.4547220629326256E-4</v>
      </c>
      <c r="AZ8" s="45">
        <f t="shared" si="10"/>
        <v>4.4547220629326256E-4</v>
      </c>
      <c r="BA8"/>
      <c r="BB8"/>
      <c r="BC8" s="24">
        <f t="shared" si="11"/>
        <v>5.0986492855295244E-10</v>
      </c>
      <c r="BD8" s="24"/>
    </row>
    <row r="9" spans="1:56" ht="20.25" customHeight="1">
      <c r="A9" s="22" t="s">
        <v>158</v>
      </c>
      <c r="B9" s="57">
        <v>3.94</v>
      </c>
      <c r="C9" s="22">
        <v>1</v>
      </c>
      <c r="D9" s="22">
        <v>28</v>
      </c>
      <c r="E9" s="22">
        <v>28</v>
      </c>
      <c r="F9" s="24">
        <f t="shared" si="0"/>
        <v>4.6833413199999998E-26</v>
      </c>
      <c r="G9" s="24">
        <f t="shared" si="1"/>
        <v>2.5506279679999997E-29</v>
      </c>
      <c r="H9" s="25">
        <f t="shared" si="12"/>
        <v>1836.1522647586683</v>
      </c>
      <c r="I9" s="25">
        <f t="shared" si="13"/>
        <v>1</v>
      </c>
      <c r="J9" s="26">
        <f t="shared" si="14"/>
        <v>4.680790692032E-26</v>
      </c>
      <c r="K9" s="27">
        <v>58.44</v>
      </c>
      <c r="L9" s="28">
        <f>0.0893*EXP(22000/(8.3144598*N9))/1000</f>
        <v>1.0321390978018604E-3</v>
      </c>
      <c r="M9" s="29">
        <f t="shared" si="15"/>
        <v>9.2494103500901812E-4</v>
      </c>
      <c r="N9" s="27">
        <v>1081.1500000000001</v>
      </c>
      <c r="O9" s="30">
        <v>3.765E-5</v>
      </c>
      <c r="P9" s="28">
        <f t="shared" si="16"/>
        <v>1.5995484727755644E+28</v>
      </c>
      <c r="Q9" s="30">
        <v>3.5E-4</v>
      </c>
      <c r="S9" s="31">
        <v>1.02E-10</v>
      </c>
      <c r="T9" s="31">
        <v>1.81E-10</v>
      </c>
      <c r="U9" s="31">
        <f t="shared" si="17"/>
        <v>2.8300000000000001E-10</v>
      </c>
      <c r="V9" s="31">
        <f t="shared" si="18"/>
        <v>2.83</v>
      </c>
      <c r="W9" s="31">
        <v>1560000</v>
      </c>
      <c r="X9" s="28">
        <v>2732.9322499999998</v>
      </c>
      <c r="Y9" s="28">
        <v>-0.91500000000000004</v>
      </c>
      <c r="Z9" s="28">
        <v>2.1393</v>
      </c>
      <c r="AA9" s="28">
        <v>-5.4299999999999997E-4</v>
      </c>
      <c r="AB9" s="28">
        <v>1</v>
      </c>
      <c r="AC9" s="28">
        <v>1</v>
      </c>
      <c r="AD9" s="28">
        <f t="shared" si="19"/>
        <v>2</v>
      </c>
      <c r="AE9" s="28">
        <f t="shared" si="2"/>
        <v>7.9977423638778222E+27</v>
      </c>
      <c r="AF9" s="28">
        <f t="shared" si="3"/>
        <v>7.9977423638778222E+27</v>
      </c>
      <c r="AG9" s="28">
        <v>0.52636070227842102</v>
      </c>
      <c r="AH9" s="28" t="s">
        <v>50</v>
      </c>
      <c r="AI9" s="88">
        <f>WalzPDFpeaks!D9*0.000000000001</f>
        <v>2.6400000000000002E-10</v>
      </c>
      <c r="AJ9" s="88">
        <f>WalzPDFpeaks!F9*0.000000000001</f>
        <v>3.9599999999999998E-10</v>
      </c>
      <c r="AK9" s="88">
        <f>WalzPDFpeaks!H9*0.000000000001</f>
        <v>4.04E-10</v>
      </c>
      <c r="AL9" s="28" t="s">
        <v>278</v>
      </c>
      <c r="AM9">
        <v>5.9</v>
      </c>
      <c r="AN9" t="s">
        <v>202</v>
      </c>
      <c r="AO9" t="s">
        <v>203</v>
      </c>
      <c r="AP9" t="s">
        <v>204</v>
      </c>
      <c r="AQ9">
        <v>1</v>
      </c>
      <c r="AR9">
        <f t="shared" si="20"/>
        <v>-1</v>
      </c>
      <c r="AS9">
        <f t="shared" si="4"/>
        <v>4.3583673009380713E-11</v>
      </c>
      <c r="AT9" s="45">
        <f t="shared" si="5"/>
        <v>-2.1636636747153024E-3</v>
      </c>
      <c r="AU9" s="45">
        <f t="shared" si="6"/>
        <v>6.9786181514140577E-5</v>
      </c>
      <c r="AV9" s="45">
        <f t="shared" si="7"/>
        <v>5.6933298229426857E-5</v>
      </c>
      <c r="AW9" s="45"/>
      <c r="AX9" s="45">
        <f t="shared" si="8"/>
        <v>-2.378214772284633E-3</v>
      </c>
      <c r="AY9" s="45">
        <f t="shared" si="9"/>
        <v>2.378214772284633E-3</v>
      </c>
      <c r="AZ9" s="45">
        <f t="shared" si="10"/>
        <v>2.378214772284633E-3</v>
      </c>
      <c r="BA9"/>
      <c r="BB9"/>
      <c r="BC9" s="24">
        <f t="shared" si="11"/>
        <v>3.7944326183477726E-10</v>
      </c>
      <c r="BD9" s="24"/>
    </row>
    <row r="10" spans="1:56" ht="20.25" customHeight="1">
      <c r="A10" s="22" t="s">
        <v>159</v>
      </c>
      <c r="B10" s="57">
        <v>3.34</v>
      </c>
      <c r="C10" s="22">
        <v>1</v>
      </c>
      <c r="D10" s="22">
        <v>36</v>
      </c>
      <c r="E10" s="22">
        <v>36</v>
      </c>
      <c r="F10" s="24">
        <f t="shared" si="0"/>
        <v>6.0214388399999996E-26</v>
      </c>
      <c r="G10" s="24">
        <f t="shared" si="1"/>
        <v>3.2793788159999999E-29</v>
      </c>
      <c r="H10" s="25">
        <f t="shared" si="12"/>
        <v>1836.1522647586683</v>
      </c>
      <c r="I10" s="25">
        <f t="shared" si="13"/>
        <v>1</v>
      </c>
      <c r="J10" s="26">
        <f t="shared" si="14"/>
        <v>6.0181594611840001E-26</v>
      </c>
      <c r="K10" s="27">
        <v>74.551299999999998</v>
      </c>
      <c r="L10" s="28">
        <f>0.0708*EXP(23900/(8.3144598*N10))/1000</f>
        <v>1.1078669041234444E-3</v>
      </c>
      <c r="M10" s="29">
        <f t="shared" si="15"/>
        <v>9.5680045926422035E-4</v>
      </c>
      <c r="N10" s="27">
        <v>1045.1500000000001</v>
      </c>
      <c r="O10" s="30">
        <v>4.884E-5</v>
      </c>
      <c r="P10" s="28">
        <f t="shared" si="16"/>
        <v>1.233067158067158E+28</v>
      </c>
      <c r="Q10" s="30">
        <v>3.8200000000000002E-4</v>
      </c>
      <c r="S10" s="31">
        <v>1.3799999999999999E-10</v>
      </c>
      <c r="T10" s="31">
        <v>1.81E-10</v>
      </c>
      <c r="U10" s="31">
        <f>T10+S10</f>
        <v>3.1899999999999998E-10</v>
      </c>
      <c r="V10" s="31">
        <f t="shared" si="18"/>
        <v>3.19</v>
      </c>
      <c r="W10" s="31">
        <v>1530000</v>
      </c>
      <c r="X10" s="28">
        <v>2514.8256999999999</v>
      </c>
      <c r="Y10" s="28">
        <v>-0.878</v>
      </c>
      <c r="Z10" s="28">
        <v>2.1358999999999999</v>
      </c>
      <c r="AA10" s="28">
        <v>-5.8310000000000002E-4</v>
      </c>
      <c r="AB10" s="28">
        <v>1</v>
      </c>
      <c r="AC10" s="28">
        <v>1</v>
      </c>
      <c r="AD10" s="28">
        <f t="shared" si="19"/>
        <v>2</v>
      </c>
      <c r="AE10" s="28">
        <f t="shared" si="2"/>
        <v>6.1653357903357898E+27</v>
      </c>
      <c r="AF10" s="28">
        <f t="shared" si="3"/>
        <v>6.1653357903357898E+27</v>
      </c>
      <c r="AG10" s="28">
        <v>0.36749821512915098</v>
      </c>
      <c r="AH10" s="28" t="s">
        <v>52</v>
      </c>
      <c r="AI10" s="88">
        <f>WalzPDFpeaks!D10*0.000000000001</f>
        <v>2.9600000000000001E-10</v>
      </c>
      <c r="AJ10" s="88">
        <f>WalzPDFpeaks!F10*0.000000000001</f>
        <v>4.3799999999999999E-10</v>
      </c>
      <c r="AK10" s="88">
        <f>WalzPDFpeaks!H10*0.000000000001</f>
        <v>4.5199999999999999E-10</v>
      </c>
      <c r="AL10" s="28" t="s">
        <v>279</v>
      </c>
      <c r="AM10">
        <v>5.2</v>
      </c>
      <c r="AN10" t="s">
        <v>205</v>
      </c>
      <c r="AO10" t="s">
        <v>203</v>
      </c>
      <c r="AP10" t="s">
        <v>204</v>
      </c>
      <c r="AQ10">
        <v>1</v>
      </c>
      <c r="AR10">
        <f t="shared" si="20"/>
        <v>-1</v>
      </c>
      <c r="AS10">
        <f t="shared" si="4"/>
        <v>4.581958665715092E-11</v>
      </c>
      <c r="AT10" s="45">
        <f t="shared" si="5"/>
        <v>-1.4635735569911118E-3</v>
      </c>
      <c r="AU10" s="45">
        <f t="shared" si="6"/>
        <v>4.4596954992975695E-5</v>
      </c>
      <c r="AV10" s="45">
        <f t="shared" si="7"/>
        <v>3.1837859322638512E-5</v>
      </c>
      <c r="AW10" s="45"/>
      <c r="AX10" s="45">
        <f t="shared" si="8"/>
        <v>-3.6120436037413097E-3</v>
      </c>
      <c r="AY10" s="45">
        <f t="shared" si="9"/>
        <v>3.6120436037413097E-3</v>
      </c>
      <c r="AZ10" s="45">
        <f t="shared" si="10"/>
        <v>3.6120436037413097E-3</v>
      </c>
      <c r="BA10"/>
      <c r="BB10"/>
      <c r="BC10" s="24">
        <f t="shared" si="11"/>
        <v>4.5335791979318428E-10</v>
      </c>
      <c r="BD10" s="24"/>
    </row>
    <row r="11" spans="1:56" ht="20.25" customHeight="1">
      <c r="A11" s="22" t="s">
        <v>160</v>
      </c>
      <c r="B11" s="57">
        <v>0.52</v>
      </c>
      <c r="C11" s="22">
        <v>1</v>
      </c>
      <c r="D11" s="22">
        <v>13</v>
      </c>
      <c r="E11" s="22">
        <v>12</v>
      </c>
      <c r="F11" s="24">
        <f t="shared" si="0"/>
        <v>2.17440847E-26</v>
      </c>
      <c r="G11" s="24">
        <f t="shared" si="1"/>
        <v>1.0931262719999999E-29</v>
      </c>
      <c r="H11" s="25">
        <f t="shared" si="12"/>
        <v>2154.9286996126039</v>
      </c>
      <c r="I11" s="25">
        <f t="shared" si="13"/>
        <v>1.0833333333333333</v>
      </c>
      <c r="J11" s="26">
        <f t="shared" si="14"/>
        <v>2.1733153437280001E-26</v>
      </c>
      <c r="K11" s="27">
        <v>47.01</v>
      </c>
      <c r="L11" s="58">
        <f>10^(-8.12+11500/N11+639000/N11^2)/1000</f>
        <v>1.5280162636820758</v>
      </c>
      <c r="M11" s="29">
        <f t="shared" si="15"/>
        <v>9.3444844180722323E-4</v>
      </c>
      <c r="N11" s="27">
        <v>1070.1500000000001</v>
      </c>
      <c r="O11" s="30">
        <v>2.4000000000000001E-5</v>
      </c>
      <c r="P11" s="28">
        <f t="shared" si="16"/>
        <v>2.5092916666666666E+28</v>
      </c>
      <c r="Q11" s="30">
        <v>7.4200000000000001E-6</v>
      </c>
      <c r="S11" s="60">
        <v>3.3999999999999999E-11</v>
      </c>
      <c r="T11" s="31">
        <v>1.3300000000000001E-10</v>
      </c>
      <c r="U11" s="31">
        <f t="shared" si="17"/>
        <v>1.6699999999999999E-10</v>
      </c>
      <c r="V11" s="31">
        <f t="shared" si="18"/>
        <v>1.67</v>
      </c>
      <c r="W11" s="31">
        <v>1960000</v>
      </c>
      <c r="X11" s="32">
        <v>2547.8000000000002</v>
      </c>
      <c r="Y11" s="28">
        <v>0</v>
      </c>
      <c r="Z11" s="28">
        <v>1.972</v>
      </c>
      <c r="AA11" s="24">
        <v>-1.45E-5</v>
      </c>
      <c r="AB11" s="28">
        <v>1</v>
      </c>
      <c r="AC11" s="28">
        <v>2</v>
      </c>
      <c r="AD11" s="28">
        <f t="shared" si="19"/>
        <v>3</v>
      </c>
      <c r="AE11" s="28">
        <f t="shared" si="2"/>
        <v>1.6728611111111111E+28</v>
      </c>
      <c r="AF11" s="28">
        <f t="shared" si="3"/>
        <v>8.3643055555555557E+27</v>
      </c>
      <c r="AI11" s="88"/>
      <c r="AJ11" s="88"/>
      <c r="AK11" s="88"/>
      <c r="AM11">
        <v>5.9</v>
      </c>
      <c r="AN11" t="s">
        <v>216</v>
      </c>
      <c r="AO11" t="s">
        <v>203</v>
      </c>
      <c r="AP11" t="s">
        <v>204</v>
      </c>
      <c r="AQ11">
        <v>2</v>
      </c>
      <c r="AR11">
        <v>-1</v>
      </c>
      <c r="AS11">
        <f t="shared" si="4"/>
        <v>1.9987831626977541E-11</v>
      </c>
      <c r="AT11" s="45"/>
      <c r="AU11" s="45"/>
      <c r="AV11" s="45"/>
      <c r="AW11" s="45"/>
      <c r="AX11" s="45">
        <f t="shared" si="8"/>
        <v>-4.1051312559396724E-6</v>
      </c>
      <c r="AY11" s="45">
        <f t="shared" si="9"/>
        <v>8.2102625118793448E-6</v>
      </c>
      <c r="AZ11" s="45">
        <f t="shared" si="10"/>
        <v>2.0525656279698362E-6</v>
      </c>
      <c r="BA11"/>
      <c r="BB11"/>
      <c r="BC11" s="24"/>
      <c r="BD11" s="24"/>
    </row>
    <row r="12" spans="1:56" ht="20.25" customHeight="1">
      <c r="A12" s="22" t="s">
        <v>161</v>
      </c>
      <c r="B12" s="57">
        <v>0.02</v>
      </c>
      <c r="C12" s="22">
        <v>1</v>
      </c>
      <c r="D12" s="22">
        <v>21</v>
      </c>
      <c r="E12" s="22">
        <v>20</v>
      </c>
      <c r="F12" s="24">
        <f t="shared" si="0"/>
        <v>3.51250599E-26</v>
      </c>
      <c r="G12" s="24">
        <f t="shared" si="1"/>
        <v>1.82187712E-29</v>
      </c>
      <c r="H12" s="25">
        <f t="shared" si="12"/>
        <v>2024.3578718964318</v>
      </c>
      <c r="I12" s="25">
        <f t="shared" si="13"/>
        <v>1.05</v>
      </c>
      <c r="J12" s="26">
        <f t="shared" si="14"/>
        <v>3.5106841128800003E-26</v>
      </c>
      <c r="K12" s="28">
        <v>62.3018</v>
      </c>
      <c r="L12" s="28">
        <f>0.187*EXP(32100/(8.3144598*N12))/1000</f>
        <v>2.3159210132636244E-3</v>
      </c>
      <c r="M12" s="29">
        <f t="shared" si="15"/>
        <v>6.5180550123843041E-4</v>
      </c>
      <c r="N12" s="28">
        <v>1534.2</v>
      </c>
      <c r="O12" s="30">
        <f t="shared" ref="O12:O17" si="21">K12/W12</f>
        <v>2.5574620069823672E-5</v>
      </c>
      <c r="P12" s="28">
        <f t="shared" si="16"/>
        <v>2.3547954900436264E+28</v>
      </c>
      <c r="Q12" s="30">
        <v>2.1599999999999999E-4</v>
      </c>
      <c r="S12" s="31">
        <v>7.1999999999999997E-11</v>
      </c>
      <c r="T12" s="31">
        <v>1.3300000000000001E-10</v>
      </c>
      <c r="U12" s="31">
        <f t="shared" si="17"/>
        <v>2.0500000000000002E-10</v>
      </c>
      <c r="V12" s="31">
        <f t="shared" si="18"/>
        <v>2.0500000000000003</v>
      </c>
      <c r="W12" s="31">
        <f t="shared" ref="W12:W19" si="22">(Z12+N12*AA12)*1000000</f>
        <v>2436079.2000000002</v>
      </c>
      <c r="X12" s="32">
        <v>2175.6</v>
      </c>
      <c r="Y12" s="28">
        <v>0</v>
      </c>
      <c r="Z12" s="24">
        <v>3.24</v>
      </c>
      <c r="AA12" s="24">
        <v>-5.2400000000000005E-4</v>
      </c>
      <c r="AB12" s="28">
        <v>1</v>
      </c>
      <c r="AC12" s="28">
        <v>2</v>
      </c>
      <c r="AD12" s="28">
        <f t="shared" si="19"/>
        <v>3</v>
      </c>
      <c r="AE12" s="28">
        <f t="shared" si="2"/>
        <v>1.5698636600290843E+28</v>
      </c>
      <c r="AF12" s="28">
        <f t="shared" si="3"/>
        <v>7.8493183001454213E+27</v>
      </c>
      <c r="AG12" s="28">
        <v>0.70228664735933899</v>
      </c>
      <c r="AH12" s="28" t="s">
        <v>60</v>
      </c>
      <c r="AI12" s="88"/>
      <c r="AJ12" s="88"/>
      <c r="AK12" s="88"/>
      <c r="AM12">
        <v>5.9</v>
      </c>
      <c r="AN12" t="s">
        <v>217</v>
      </c>
      <c r="AO12" t="s">
        <v>203</v>
      </c>
      <c r="AP12" t="s">
        <v>204</v>
      </c>
      <c r="AQ12">
        <v>2</v>
      </c>
      <c r="AR12">
        <v>-1</v>
      </c>
      <c r="AS12">
        <f t="shared" si="4"/>
        <v>2.4704912392704827E-11</v>
      </c>
      <c r="AT12" s="45"/>
      <c r="AU12" s="45"/>
      <c r="AV12" s="45"/>
      <c r="AW12" s="45"/>
      <c r="AX12" s="45">
        <f t="shared" si="8"/>
        <v>-4.9421529829090682E-5</v>
      </c>
      <c r="AY12" s="45">
        <f t="shared" si="9"/>
        <v>9.8843059658181365E-5</v>
      </c>
      <c r="AZ12" s="45">
        <f t="shared" si="10"/>
        <v>2.4710764914545341E-5</v>
      </c>
      <c r="BA12"/>
      <c r="BB12"/>
      <c r="BC12" s="24">
        <f t="shared" ref="BC12:BC17" si="23">L12/(W12/1000*(X12+Y12*N12))</f>
        <v>4.369716780765129E-10</v>
      </c>
      <c r="BD12" s="24"/>
    </row>
    <row r="13" spans="1:56" ht="20.25" customHeight="1">
      <c r="A13" s="22" t="s">
        <v>162</v>
      </c>
      <c r="B13" s="57">
        <v>0.12</v>
      </c>
      <c r="C13" s="22">
        <v>1</v>
      </c>
      <c r="D13" s="22">
        <v>29</v>
      </c>
      <c r="E13" s="22">
        <v>28</v>
      </c>
      <c r="F13" s="24">
        <f t="shared" si="0"/>
        <v>4.8506035099999997E-26</v>
      </c>
      <c r="G13" s="24">
        <f t="shared" si="1"/>
        <v>2.5506279679999997E-29</v>
      </c>
      <c r="H13" s="25">
        <f t="shared" si="12"/>
        <v>1969.6480289056633</v>
      </c>
      <c r="I13" s="25">
        <f t="shared" si="13"/>
        <v>1.0357142857142858</v>
      </c>
      <c r="J13" s="26">
        <f t="shared" si="14"/>
        <v>4.8480528820319999E-26</v>
      </c>
      <c r="K13" s="28">
        <v>78.074799999999996</v>
      </c>
      <c r="L13" s="28">
        <f>0.1*EXP(47600/(8.3144598*N13))/1000</f>
        <v>2.9475212895614506E-3</v>
      </c>
      <c r="M13" s="29">
        <f t="shared" si="15"/>
        <v>5.9101654846335696E-4</v>
      </c>
      <c r="N13" s="28">
        <v>1692</v>
      </c>
      <c r="O13" s="30">
        <f t="shared" si="21"/>
        <v>3.1001402462170846E-5</v>
      </c>
      <c r="P13" s="28">
        <f t="shared" si="16"/>
        <v>1.9425895352149478E+28</v>
      </c>
      <c r="Q13" s="30">
        <v>1.55E-4</v>
      </c>
      <c r="S13" s="31">
        <v>1E-10</v>
      </c>
      <c r="T13" s="31">
        <v>1.3300000000000001E-10</v>
      </c>
      <c r="U13" s="31">
        <f t="shared" si="17"/>
        <v>2.3300000000000002E-10</v>
      </c>
      <c r="V13" s="31">
        <f t="shared" si="18"/>
        <v>2.33</v>
      </c>
      <c r="W13" s="31">
        <f t="shared" si="22"/>
        <v>2518428</v>
      </c>
      <c r="X13" s="32">
        <v>1710.3</v>
      </c>
      <c r="Y13" s="28">
        <v>0</v>
      </c>
      <c r="Z13" s="24">
        <v>3.18</v>
      </c>
      <c r="AA13" s="24">
        <v>-3.9100000000000002E-4</v>
      </c>
      <c r="AB13" s="28">
        <v>1</v>
      </c>
      <c r="AC13" s="28">
        <v>2</v>
      </c>
      <c r="AD13" s="28">
        <f t="shared" si="19"/>
        <v>3</v>
      </c>
      <c r="AE13" s="28">
        <f t="shared" si="2"/>
        <v>1.2950596901432986E+28</v>
      </c>
      <c r="AF13" s="28">
        <f t="shared" si="3"/>
        <v>6.4752984507164929E+27</v>
      </c>
      <c r="AG13" s="28">
        <v>0.59290478268263602</v>
      </c>
      <c r="AH13" s="28" t="s">
        <v>62</v>
      </c>
      <c r="AI13" s="88"/>
      <c r="AJ13" s="88"/>
      <c r="AK13" s="88"/>
      <c r="AM13">
        <v>5.9</v>
      </c>
      <c r="AN13" t="s">
        <v>199</v>
      </c>
      <c r="AO13" t="s">
        <v>203</v>
      </c>
      <c r="AP13" t="s">
        <v>204</v>
      </c>
      <c r="AQ13">
        <v>2</v>
      </c>
      <c r="AR13">
        <v>-1</v>
      </c>
      <c r="AS13">
        <f t="shared" si="4"/>
        <v>2.8564628722799152E-11</v>
      </c>
      <c r="AT13" s="45"/>
      <c r="AU13" s="45"/>
      <c r="AV13" s="45"/>
      <c r="AW13" s="45"/>
      <c r="AX13" s="45">
        <f t="shared" si="8"/>
        <v>-2.0540721467734608E-4</v>
      </c>
      <c r="AY13" s="45">
        <f t="shared" si="9"/>
        <v>4.1081442935469217E-4</v>
      </c>
      <c r="AZ13" s="45">
        <f t="shared" si="10"/>
        <v>1.0270360733867304E-4</v>
      </c>
      <c r="BA13"/>
      <c r="BB13"/>
      <c r="BC13" s="24">
        <f t="shared" si="23"/>
        <v>6.843135125098611E-10</v>
      </c>
      <c r="BD13" s="24"/>
    </row>
    <row r="14" spans="1:56" ht="20.25" customHeight="1">
      <c r="A14" s="22" t="s">
        <v>163</v>
      </c>
      <c r="B14" s="57"/>
      <c r="C14" s="22">
        <v>1</v>
      </c>
      <c r="D14" s="22">
        <v>47</v>
      </c>
      <c r="E14" s="22">
        <v>46</v>
      </c>
      <c r="F14" s="24">
        <f t="shared" ref="F14" si="24">D14*1.6726219E-27</f>
        <v>7.8613229299999995E-26</v>
      </c>
      <c r="G14" s="24">
        <f t="shared" ref="G14" si="25">E14*9.1093856E-31</f>
        <v>4.1903173759999999E-29</v>
      </c>
      <c r="H14" s="25">
        <f t="shared" ref="H14" si="26">((F14*D14)/(G14*E14))</f>
        <v>1916.8527187390821</v>
      </c>
      <c r="I14" s="25">
        <f t="shared" ref="I14" si="27">D14/E14</f>
        <v>1.0217391304347827</v>
      </c>
      <c r="J14" s="26">
        <f t="shared" ref="J14" si="28">(F14)-(G14)</f>
        <v>7.8571326126239999E-26</v>
      </c>
      <c r="K14" s="28">
        <v>125.6168</v>
      </c>
      <c r="L14" s="28">
        <f>0.0703*EXP(54500/(8.3144598*N14))/1000</f>
        <v>3.0018345111633513E-3</v>
      </c>
      <c r="M14" s="29">
        <f t="shared" ref="M14" si="29">N14^-1</f>
        <v>5.7273768613974802E-4</v>
      </c>
      <c r="N14" s="28">
        <v>1746</v>
      </c>
      <c r="O14" s="30">
        <f t="shared" ref="O14" si="30">K14/W14</f>
        <v>3.6213810492182497E-5</v>
      </c>
      <c r="P14" s="28">
        <f t="shared" si="16"/>
        <v>1.6629843471733079E+28</v>
      </c>
      <c r="Q14" s="30">
        <v>2.13E-4</v>
      </c>
      <c r="S14" s="31">
        <v>1.1800000000000001E-10</v>
      </c>
      <c r="T14" s="31">
        <v>1.3300000000000001E-10</v>
      </c>
      <c r="U14" s="31">
        <f t="shared" ref="U14" si="31">T14+S14</f>
        <v>2.5100000000000001E-10</v>
      </c>
      <c r="V14" s="31">
        <f t="shared" ref="V14" si="32">U14*10000000000</f>
        <v>2.5100000000000002</v>
      </c>
      <c r="W14" s="31">
        <f t="shared" ref="W14" si="33">(Z14+N14*AA14)*1000000</f>
        <v>3468754</v>
      </c>
      <c r="X14" s="32">
        <v>1398.6</v>
      </c>
      <c r="Y14" s="28">
        <v>0</v>
      </c>
      <c r="Z14" s="24">
        <v>4.78</v>
      </c>
      <c r="AA14" s="24">
        <v>-7.5100000000000004E-4</v>
      </c>
      <c r="AB14" s="28">
        <v>1</v>
      </c>
      <c r="AC14" s="28">
        <v>2</v>
      </c>
      <c r="AD14" s="28">
        <f t="shared" ref="AD14" si="34">AB14+AC14</f>
        <v>3</v>
      </c>
      <c r="AE14" s="28">
        <f t="shared" si="2"/>
        <v>1.1086562314488718E+28</v>
      </c>
      <c r="AF14" s="28">
        <f t="shared" si="3"/>
        <v>5.5432811572443592E+27</v>
      </c>
      <c r="AI14" s="88"/>
      <c r="AJ14" s="88"/>
      <c r="AK14" s="88"/>
      <c r="AM14">
        <v>5.9</v>
      </c>
      <c r="AN14" t="s">
        <v>201</v>
      </c>
      <c r="AO14" t="s">
        <v>203</v>
      </c>
      <c r="AP14" t="s">
        <v>204</v>
      </c>
      <c r="AQ14">
        <v>2</v>
      </c>
      <c r="AR14">
        <v>-1</v>
      </c>
      <c r="AS14">
        <f t="shared" si="4"/>
        <v>3.1361510042445566E-11</v>
      </c>
      <c r="AT14" s="45"/>
      <c r="AU14" s="45"/>
      <c r="AV14" s="45"/>
      <c r="AW14" s="45"/>
      <c r="AX14" s="45">
        <f t="shared" ref="AX14" si="35">(AQ14*AR14*$AM$50)/(4*PI()*$AM$46*AM14*$AM$52)*EXP(-$AM$52/AS14)</f>
        <v>-4.6321912504000408E-4</v>
      </c>
      <c r="AY14" s="45">
        <f t="shared" ref="AY14" si="36">(AQ14*AQ14*$AM$50)/(4*PI()*$AM$46*AM14*$AM$52)*EXP(-$AM$52/AS14)</f>
        <v>9.2643825008000816E-4</v>
      </c>
      <c r="AZ14" s="45">
        <f t="shared" ref="AZ14" si="37">(AR14*AR14*$AM$50)/(4*PI()*$AM$46*AM14*$AM$52)*EXP(-$AM$52/AS14)</f>
        <v>2.3160956252000204E-4</v>
      </c>
      <c r="BA14"/>
      <c r="BB14"/>
      <c r="BC14" s="24">
        <f t="shared" si="23"/>
        <v>6.1875642429403127E-10</v>
      </c>
      <c r="BD14" s="24"/>
    </row>
    <row r="15" spans="1:56" ht="20.25" customHeight="1">
      <c r="A15" s="22" t="s">
        <v>164</v>
      </c>
      <c r="B15" s="57">
        <v>0.8</v>
      </c>
      <c r="C15" s="22">
        <v>1</v>
      </c>
      <c r="D15" s="22">
        <v>29</v>
      </c>
      <c r="E15" s="22">
        <v>28</v>
      </c>
      <c r="F15" s="24">
        <f>D15*1.6726219E-27</f>
        <v>4.8506035099999997E-26</v>
      </c>
      <c r="G15" s="24">
        <f>E15*9.1093856E-31</f>
        <v>2.5506279679999997E-29</v>
      </c>
      <c r="H15" s="25">
        <f>((F15*D15)/(G15*E15))</f>
        <v>1969.6480289056633</v>
      </c>
      <c r="I15" s="25">
        <f>D15/E15</f>
        <v>1.0357142857142858</v>
      </c>
      <c r="J15" s="26">
        <f>(F15)-(G15)</f>
        <v>4.8480528820319999E-26</v>
      </c>
      <c r="K15" s="28">
        <v>95.210999999999999</v>
      </c>
      <c r="L15" s="28">
        <f>0.18*EXP(20500/(8.3144598*N15))/1000</f>
        <v>2.1885964575678765E-3</v>
      </c>
      <c r="M15" s="29">
        <f>N15^-1</f>
        <v>1.0131712259371835E-3</v>
      </c>
      <c r="N15" s="28">
        <v>987</v>
      </c>
      <c r="O15" s="30">
        <f>K15/W15</f>
        <v>5.651027632231827E-5</v>
      </c>
      <c r="P15" s="30"/>
      <c r="Q15" s="30">
        <v>1.8000000000000001E-4</v>
      </c>
      <c r="S15" s="31">
        <v>7.1999999999999997E-11</v>
      </c>
      <c r="T15" s="31">
        <v>1.81E-10</v>
      </c>
      <c r="U15" s="31">
        <f t="shared" ref="U15" si="38">T15+S15</f>
        <v>2.5300000000000001E-10</v>
      </c>
      <c r="V15" s="31">
        <f>U15*10000000000</f>
        <v>2.5300000000000002</v>
      </c>
      <c r="W15" s="31">
        <f>(Z15+N15*AA15)*1000000</f>
        <v>1684844</v>
      </c>
      <c r="X15" s="32">
        <v>2101</v>
      </c>
      <c r="Y15" s="28">
        <v>0</v>
      </c>
      <c r="Z15" s="24">
        <v>1.9691000000000001</v>
      </c>
      <c r="AA15" s="24">
        <v>-2.8800000000000001E-4</v>
      </c>
      <c r="AB15" s="28">
        <v>1</v>
      </c>
      <c r="AC15" s="28">
        <v>2</v>
      </c>
      <c r="AD15" s="28">
        <f t="shared" ref="AD15" si="39">AB15+AC15</f>
        <v>3</v>
      </c>
      <c r="AE15" s="28">
        <f t="shared" ref="AE15" si="40">6.0223E+23/O15*ABS(AQ15)/(ABS(AQ15)+ABS(AR15))</f>
        <v>7.104666492457103E+27</v>
      </c>
      <c r="AF15" s="28">
        <f t="shared" ref="AF15" si="41">6.0223E+23/O15*ABS(AR15)/(ABS(AQ15)+ABS(AR15))</f>
        <v>3.5523332462285515E+27</v>
      </c>
      <c r="AG15" s="28">
        <v>0.54390685781354797</v>
      </c>
      <c r="AH15" s="28" t="s">
        <v>283</v>
      </c>
      <c r="AI15" s="88">
        <v>2.3600000000000001E-10</v>
      </c>
      <c r="AJ15" s="88">
        <v>3.4999999999999998E-10</v>
      </c>
      <c r="AK15" s="88">
        <v>3.5099999999999998E-10</v>
      </c>
      <c r="AL15" s="24" t="s">
        <v>271</v>
      </c>
      <c r="AM15">
        <v>5.2</v>
      </c>
      <c r="AN15" t="s">
        <v>218</v>
      </c>
      <c r="AO15" t="s">
        <v>203</v>
      </c>
      <c r="AP15" t="s">
        <v>269</v>
      </c>
      <c r="AQ15">
        <v>2</v>
      </c>
      <c r="AR15">
        <v>-1</v>
      </c>
      <c r="AS15">
        <f t="shared" si="4"/>
        <v>2.7652582163072267E-11</v>
      </c>
      <c r="AT15" s="45">
        <f>(AQ15*AR15*$AM$50)/(4*PI()*$AM$46*AM15*AI15)*EXP(-AI15/AS15)</f>
        <v>-4.6126161982461018E-4</v>
      </c>
      <c r="AU15" s="45">
        <f>(AQ15*AQ15*$AM$50)/(4*PI()*$AM$46*AM15*AJ15)*EXP(-AJ15/AS15)</f>
        <v>1.0078763369539612E-5</v>
      </c>
      <c r="AV15" s="45">
        <f>(AR15*AR15*$AM$50)/(4*PI()*$AM$46*AM15*AK15)*EXP(-AK15/AS15)</f>
        <v>2.4232755434192793E-6</v>
      </c>
      <c r="AW15" s="45"/>
      <c r="AX15" s="45">
        <f t="shared" ref="AX15:AX23" si="42">(AQ15*AR15*$AM$50)/(4*PI()*$AM$46*AM15*$AM$52)*EXP(-$AM$52/AS15)</f>
        <v>-1.7252441958564505E-4</v>
      </c>
      <c r="AY15" s="45">
        <f t="shared" ref="AY15:AY23" si="43">(AQ15*AQ15*$AM$50)/(4*PI()*$AM$46*AM15*$AM$52)*EXP(-$AM$52/AS15)</f>
        <v>3.4504883917129011E-4</v>
      </c>
      <c r="AZ15" s="45">
        <f t="shared" ref="AZ15:AZ23" si="44">(AR15*AR15*$AM$50)/(4*PI()*$AM$46*AM15*$AM$52)*EXP(-$AM$52/AS15)</f>
        <v>8.6262209792822527E-5</v>
      </c>
      <c r="BA15"/>
      <c r="BB15"/>
      <c r="BC15" s="24">
        <f t="shared" si="23"/>
        <v>6.1827251968353004E-10</v>
      </c>
      <c r="BD15" s="24"/>
    </row>
    <row r="16" spans="1:56" ht="20.25" customHeight="1">
      <c r="A16" s="22" t="s">
        <v>165</v>
      </c>
      <c r="B16" s="57">
        <v>2.5</v>
      </c>
      <c r="C16" s="22">
        <v>1</v>
      </c>
      <c r="D16" s="22">
        <v>37</v>
      </c>
      <c r="E16" s="22">
        <v>36</v>
      </c>
      <c r="F16" s="24">
        <f t="shared" si="0"/>
        <v>6.1887010299999994E-26</v>
      </c>
      <c r="G16" s="24">
        <f t="shared" si="1"/>
        <v>3.2793788159999999E-29</v>
      </c>
      <c r="H16" s="25">
        <f t="shared" si="12"/>
        <v>1939.5775080668341</v>
      </c>
      <c r="I16" s="25">
        <f t="shared" si="13"/>
        <v>1.0277777777777777</v>
      </c>
      <c r="J16" s="26">
        <f t="shared" si="14"/>
        <v>6.185421651184E-26</v>
      </c>
      <c r="K16" s="28">
        <v>110.98399999999999</v>
      </c>
      <c r="L16" s="28">
        <f>10^(-0.545+597/N16+546000/N16^2)/1000</f>
        <v>3.3595446651079881E-3</v>
      </c>
      <c r="M16" s="29">
        <f t="shared" si="15"/>
        <v>9.5693779904306223E-4</v>
      </c>
      <c r="N16" s="28">
        <v>1045</v>
      </c>
      <c r="O16" s="30">
        <f t="shared" si="21"/>
        <v>5.3154147698835956E-5</v>
      </c>
      <c r="P16" s="28">
        <f t="shared" si="16"/>
        <v>1.1329877837796438E+28</v>
      </c>
      <c r="Q16" s="30">
        <v>2.03E-4</v>
      </c>
      <c r="S16" s="31">
        <v>1E-10</v>
      </c>
      <c r="T16" s="31">
        <v>1.81E-10</v>
      </c>
      <c r="U16" s="31">
        <f t="shared" si="17"/>
        <v>2.8100000000000001E-10</v>
      </c>
      <c r="V16" s="31">
        <f t="shared" si="18"/>
        <v>2.81</v>
      </c>
      <c r="W16" s="31">
        <f t="shared" si="22"/>
        <v>2087964.9999999995</v>
      </c>
      <c r="X16" s="32">
        <v>2065.0300000000002</v>
      </c>
      <c r="Y16" s="28">
        <v>0</v>
      </c>
      <c r="Z16" s="24">
        <v>2.5299999999999998</v>
      </c>
      <c r="AA16" s="24">
        <v>-4.2299999999999998E-4</v>
      </c>
      <c r="AB16" s="28">
        <v>1</v>
      </c>
      <c r="AC16" s="28">
        <v>2</v>
      </c>
      <c r="AD16" s="28">
        <f t="shared" ref="AD16" si="45">AB16+AC16</f>
        <v>3</v>
      </c>
      <c r="AE16" s="28">
        <f t="shared" ref="AE16:AE23" si="46">6.0223E+23/O16*ABS(AQ16)/(ABS(AQ16)+ABS(AR16))</f>
        <v>7.5532518918642917E+27</v>
      </c>
      <c r="AF16" s="28">
        <f t="shared" ref="AF16:AF23" si="47">6.0223E+23/O16*ABS(AR16)/(ABS(AQ16)+ABS(AR16))</f>
        <v>3.7766259459321459E+27</v>
      </c>
      <c r="AI16" s="88">
        <v>2.7800000000000002E-10</v>
      </c>
      <c r="AJ16" s="88">
        <v>3.5500000000000001E-10</v>
      </c>
      <c r="AK16" s="88">
        <v>3.6499999999999998E-10</v>
      </c>
      <c r="AL16" s="24" t="s">
        <v>280</v>
      </c>
      <c r="AM16">
        <v>5.2</v>
      </c>
      <c r="AN16" t="s">
        <v>218</v>
      </c>
      <c r="AO16" t="s">
        <v>203</v>
      </c>
      <c r="AP16" t="s">
        <v>204</v>
      </c>
      <c r="AQ16">
        <v>2</v>
      </c>
      <c r="AR16">
        <v>-1</v>
      </c>
      <c r="AS16">
        <f t="shared" si="4"/>
        <v>2.7595617986321629E-11</v>
      </c>
      <c r="AT16" s="45">
        <f>(AQ16*AR16*$AM$50)/(4*PI()*$AM$46*AM16*AI16)*EXP(-AI16/AS16)</f>
        <v>-8.3979948283895422E-5</v>
      </c>
      <c r="AU16" s="45">
        <f>(AQ16*AQ16*$AM$50)/(4*PI()*$AM$46*AM16*AJ16)*EXP(-AJ16/AS16)</f>
        <v>8.0762728082496508E-6</v>
      </c>
      <c r="AV16" s="45">
        <f>(AR16*AR16*$AM$50)/(4*PI()*$AM$46*AM16*AK16)*EXP(-AK16/AS16)</f>
        <v>1.3668108509870894E-6</v>
      </c>
      <c r="AW16" s="45"/>
      <c r="AX16" s="45">
        <f t="shared" si="42"/>
        <v>-1.6920231528582099E-4</v>
      </c>
      <c r="AY16" s="45">
        <f t="shared" si="43"/>
        <v>3.3840463057164199E-4</v>
      </c>
      <c r="AZ16" s="45">
        <f t="shared" si="44"/>
        <v>8.4601157642910497E-5</v>
      </c>
      <c r="BA16"/>
      <c r="BB16"/>
      <c r="BC16" s="24">
        <f t="shared" si="23"/>
        <v>7.7916751857846874E-10</v>
      </c>
      <c r="BD16" s="24"/>
    </row>
    <row r="17" spans="1:56" ht="20.25" customHeight="1">
      <c r="A17" s="22" t="s">
        <v>166</v>
      </c>
      <c r="B17" s="57"/>
      <c r="C17" s="22">
        <v>1</v>
      </c>
      <c r="D17" s="22">
        <v>55</v>
      </c>
      <c r="E17" s="22">
        <v>54</v>
      </c>
      <c r="F17" s="24">
        <f t="shared" si="0"/>
        <v>9.1994204499999998E-26</v>
      </c>
      <c r="G17" s="24">
        <f t="shared" si="1"/>
        <v>4.9190682239999996E-29</v>
      </c>
      <c r="H17" s="25">
        <f t="shared" si="12"/>
        <v>1904.7875860407996</v>
      </c>
      <c r="I17" s="25">
        <f t="shared" si="13"/>
        <v>1.0185185185185186</v>
      </c>
      <c r="J17" s="26">
        <f t="shared" si="14"/>
        <v>9.1945013817760001E-26</v>
      </c>
      <c r="K17" s="28">
        <v>158.52600000000001</v>
      </c>
      <c r="L17" s="28">
        <f>10^(-0.439+398/N17+879000/N17^2)/1000</f>
        <v>3.78088190424221E-3</v>
      </c>
      <c r="M17" s="29">
        <f t="shared" si="15"/>
        <v>8.7260034904013963E-4</v>
      </c>
      <c r="N17" s="28">
        <v>1146</v>
      </c>
      <c r="O17" s="30">
        <f t="shared" si="21"/>
        <v>5.811897000013199E-5</v>
      </c>
      <c r="P17" s="28">
        <f t="shared" si="16"/>
        <v>1.0362021212671737E+28</v>
      </c>
      <c r="Q17" s="30">
        <v>2.12E-4</v>
      </c>
      <c r="S17" s="31">
        <v>1.1800000000000001E-10</v>
      </c>
      <c r="T17" s="31">
        <v>1.81E-10</v>
      </c>
      <c r="U17" s="31">
        <f t="shared" si="17"/>
        <v>2.99E-10</v>
      </c>
      <c r="V17" s="31">
        <f t="shared" si="18"/>
        <v>2.99</v>
      </c>
      <c r="W17" s="31">
        <f t="shared" si="22"/>
        <v>2727612</v>
      </c>
      <c r="X17" s="32">
        <v>1873.13</v>
      </c>
      <c r="Y17" s="28">
        <v>0</v>
      </c>
      <c r="Z17" s="24">
        <v>3.39</v>
      </c>
      <c r="AA17" s="24">
        <v>-5.7799999999999995E-4</v>
      </c>
      <c r="AB17" s="28">
        <v>1</v>
      </c>
      <c r="AC17" s="28">
        <v>2</v>
      </c>
      <c r="AD17" s="28">
        <f t="shared" si="19"/>
        <v>3</v>
      </c>
      <c r="AE17" s="28">
        <f t="shared" si="46"/>
        <v>6.9080141417811579E+27</v>
      </c>
      <c r="AF17" s="28">
        <f t="shared" si="47"/>
        <v>3.4540070708905789E+27</v>
      </c>
      <c r="AI17" s="88">
        <v>2.8999999999999998E-10</v>
      </c>
      <c r="AJ17" s="88">
        <v>4.8999999999999996E-10</v>
      </c>
      <c r="AK17" s="88">
        <v>3.7999999999999998E-10</v>
      </c>
      <c r="AL17" s="24" t="s">
        <v>281</v>
      </c>
      <c r="AM17">
        <v>5.2</v>
      </c>
      <c r="AN17" t="s">
        <v>200</v>
      </c>
      <c r="AO17" t="s">
        <v>203</v>
      </c>
      <c r="AP17" t="s">
        <v>204</v>
      </c>
      <c r="AQ17">
        <v>2</v>
      </c>
      <c r="AR17">
        <v>-1</v>
      </c>
      <c r="AS17">
        <f t="shared" si="4"/>
        <v>3.0217926668490741E-11</v>
      </c>
      <c r="AT17" s="45">
        <f>(AQ17*AR17*$AM$50)/(4*PI()*$AM$46*AM17*AI17)*EXP(-AI17/AS17)</f>
        <v>-1.2972660417889811E-4</v>
      </c>
      <c r="AU17" s="45">
        <f>(AQ17*AQ17*$AM$50)/(4*PI()*$AM$46*AM17*AJ17)*EXP(-AJ17/AS17)</f>
        <v>2.0504293755909421E-7</v>
      </c>
      <c r="AV17" s="45">
        <f>(AR17*AR17*$AM$50)/(4*PI()*$AM$46*AM17*AK17)*EXP(-AK17/AS17)</f>
        <v>2.5184085711073739E-6</v>
      </c>
      <c r="AW17" s="45"/>
      <c r="AX17" s="45">
        <f t="shared" si="42"/>
        <v>-3.8382393861047752E-4</v>
      </c>
      <c r="AY17" s="45">
        <f t="shared" si="43"/>
        <v>7.6764787722095505E-4</v>
      </c>
      <c r="AZ17" s="45">
        <f t="shared" si="44"/>
        <v>1.9191196930523876E-4</v>
      </c>
      <c r="BA17"/>
      <c r="BB17"/>
      <c r="BC17" s="24">
        <f t="shared" si="23"/>
        <v>7.4001853993764589E-10</v>
      </c>
      <c r="BD17" s="24"/>
    </row>
    <row r="18" spans="1:56" ht="20.25" customHeight="1">
      <c r="A18" s="22" t="s">
        <v>167</v>
      </c>
      <c r="B18" s="57">
        <v>0.3</v>
      </c>
      <c r="C18" s="22">
        <v>1</v>
      </c>
      <c r="D18" s="22">
        <v>26</v>
      </c>
      <c r="E18" s="22">
        <v>25</v>
      </c>
      <c r="F18" s="24">
        <f t="shared" si="0"/>
        <v>4.3488169400000001E-26</v>
      </c>
      <c r="G18" s="24">
        <f t="shared" si="1"/>
        <v>2.2773463999999997E-29</v>
      </c>
      <c r="H18" s="25">
        <f t="shared" si="12"/>
        <v>1985.9822895629759</v>
      </c>
      <c r="I18" s="25">
        <f t="shared" si="13"/>
        <v>1.04</v>
      </c>
      <c r="J18" s="26">
        <f t="shared" si="14"/>
        <v>4.3465395936000002E-26</v>
      </c>
      <c r="K18" s="28">
        <v>84.99</v>
      </c>
      <c r="L18" s="28"/>
      <c r="M18" s="29">
        <f t="shared" si="15"/>
        <v>1.7148246591785991E-3</v>
      </c>
      <c r="N18" s="61">
        <v>583.15</v>
      </c>
      <c r="O18" s="28">
        <v>4.4669999999999998E-5</v>
      </c>
      <c r="P18" s="28">
        <f t="shared" si="16"/>
        <v>1.3481755092903516E+28</v>
      </c>
      <c r="Q18" s="62">
        <v>3.7599999999999998E-4</v>
      </c>
      <c r="S18" s="31">
        <v>1.02E-10</v>
      </c>
      <c r="T18" s="31">
        <v>2.31E-10</v>
      </c>
      <c r="U18" s="31">
        <f t="shared" si="17"/>
        <v>3.3299999999999999E-10</v>
      </c>
      <c r="V18" s="31">
        <f t="shared" si="18"/>
        <v>3.33</v>
      </c>
      <c r="W18" s="31">
        <f t="shared" si="22"/>
        <v>1886915.5249999999</v>
      </c>
      <c r="X18" s="28">
        <v>2490.4882499999999</v>
      </c>
      <c r="Y18" s="28">
        <v>-1.155</v>
      </c>
      <c r="Z18" s="31">
        <v>2.3338999999999999</v>
      </c>
      <c r="AA18" s="24">
        <v>-7.6650000000000004E-4</v>
      </c>
      <c r="AB18" s="28">
        <v>2</v>
      </c>
      <c r="AC18" s="28">
        <v>3</v>
      </c>
      <c r="AD18" s="28">
        <f t="shared" si="19"/>
        <v>5</v>
      </c>
      <c r="AE18" s="28">
        <f t="shared" si="46"/>
        <v>6.7408775464517582E+27</v>
      </c>
      <c r="AF18" s="28">
        <f t="shared" si="47"/>
        <v>6.7408775464517582E+27</v>
      </c>
      <c r="AI18" s="88"/>
      <c r="AJ18" s="88"/>
      <c r="AK18" s="88"/>
      <c r="AM18">
        <v>27</v>
      </c>
      <c r="AN18" t="s">
        <v>206</v>
      </c>
      <c r="AP18" t="s">
        <v>207</v>
      </c>
      <c r="AQ18">
        <v>1</v>
      </c>
      <c r="AR18">
        <f t="shared" si="20"/>
        <v>-1</v>
      </c>
      <c r="AS18">
        <f t="shared" si="4"/>
        <v>7.4585147590354106E-11</v>
      </c>
      <c r="AT18" s="45"/>
      <c r="AU18" s="45"/>
      <c r="AV18" s="45"/>
      <c r="AW18" s="45"/>
      <c r="AX18" s="45">
        <f t="shared" si="42"/>
        <v>-6.2307896722837803E-3</v>
      </c>
      <c r="AY18" s="45">
        <f t="shared" si="43"/>
        <v>6.2307896722837803E-3</v>
      </c>
      <c r="AZ18" s="45">
        <f t="shared" si="44"/>
        <v>6.2307896722837803E-3</v>
      </c>
      <c r="BA18"/>
      <c r="BB18"/>
      <c r="BC18" s="24"/>
      <c r="BD18" s="24"/>
    </row>
    <row r="19" spans="1:56" ht="20.25" customHeight="1">
      <c r="A19" s="22" t="s">
        <v>168</v>
      </c>
      <c r="B19" s="57">
        <v>0.2</v>
      </c>
      <c r="C19" s="22">
        <v>1</v>
      </c>
      <c r="D19" s="22">
        <v>34</v>
      </c>
      <c r="E19" s="22">
        <v>33</v>
      </c>
      <c r="F19" s="24">
        <f t="shared" si="0"/>
        <v>5.6869144599999998E-26</v>
      </c>
      <c r="G19" s="24">
        <f t="shared" si="1"/>
        <v>3.0060972479999997E-29</v>
      </c>
      <c r="H19" s="25">
        <f t="shared" si="12"/>
        <v>1949.1203104325261</v>
      </c>
      <c r="I19" s="25">
        <f t="shared" si="13"/>
        <v>1.0303030303030303</v>
      </c>
      <c r="J19" s="26">
        <f t="shared" si="14"/>
        <v>5.6839083627519992E-26</v>
      </c>
      <c r="K19" s="28">
        <v>101.1</v>
      </c>
      <c r="L19" s="28"/>
      <c r="M19" s="29">
        <f t="shared" si="15"/>
        <v>1.6389412439564042E-3</v>
      </c>
      <c r="N19" s="28">
        <v>610.15</v>
      </c>
      <c r="O19" s="28">
        <v>5.4060000000000001E-5</v>
      </c>
      <c r="P19" s="28">
        <f t="shared" si="16"/>
        <v>1.1140029596744358E+28</v>
      </c>
      <c r="Q19" s="62">
        <v>3.8999999999999999E-4</v>
      </c>
      <c r="S19" s="31">
        <v>1.3799999999999999E-10</v>
      </c>
      <c r="T19" s="31">
        <v>2.31E-10</v>
      </c>
      <c r="U19" s="31">
        <f t="shared" si="17"/>
        <v>3.6899999999999997E-10</v>
      </c>
      <c r="V19" s="31">
        <f t="shared" si="18"/>
        <v>3.6899999999999995</v>
      </c>
      <c r="W19" s="31">
        <f t="shared" si="22"/>
        <v>1870200.65</v>
      </c>
      <c r="X19" s="28">
        <v>2449.9279999999999</v>
      </c>
      <c r="Y19" s="28">
        <v>-1.1200000000000001</v>
      </c>
      <c r="Z19" s="31">
        <v>2.3149999999999999</v>
      </c>
      <c r="AA19" s="24">
        <v>-7.2900000000000005E-4</v>
      </c>
      <c r="AB19" s="28">
        <v>2</v>
      </c>
      <c r="AC19" s="28">
        <v>3</v>
      </c>
      <c r="AD19" s="28">
        <f t="shared" si="19"/>
        <v>5</v>
      </c>
      <c r="AE19" s="28">
        <f t="shared" si="46"/>
        <v>5.5700147983721791E+27</v>
      </c>
      <c r="AF19" s="28">
        <f t="shared" si="47"/>
        <v>5.5700147983721791E+27</v>
      </c>
      <c r="AI19" s="88"/>
      <c r="AJ19" s="88"/>
      <c r="AK19" s="88"/>
      <c r="AM19">
        <v>35</v>
      </c>
      <c r="AN19" t="s">
        <v>208</v>
      </c>
      <c r="AP19" t="s">
        <v>209</v>
      </c>
      <c r="AQ19">
        <v>1</v>
      </c>
      <c r="AR19">
        <f t="shared" si="20"/>
        <v>-1</v>
      </c>
      <c r="AS19">
        <f t="shared" si="4"/>
        <v>9.555704381802783E-11</v>
      </c>
      <c r="AT19" s="45"/>
      <c r="AU19" s="45"/>
      <c r="AV19" s="45"/>
      <c r="AW19" s="45"/>
      <c r="AX19" s="45">
        <f t="shared" si="42"/>
        <v>-1.0344196342977509E-2</v>
      </c>
      <c r="AY19" s="45">
        <f t="shared" si="43"/>
        <v>1.0344196342977509E-2</v>
      </c>
      <c r="AZ19" s="45">
        <f t="shared" si="44"/>
        <v>1.0344196342977509E-2</v>
      </c>
      <c r="BA19"/>
      <c r="BB19"/>
      <c r="BC19" s="24"/>
      <c r="BD19" s="24"/>
    </row>
    <row r="20" spans="1:56" ht="20.25" customHeight="1">
      <c r="A20" s="22" t="s">
        <v>169</v>
      </c>
      <c r="B20" s="57">
        <v>0.05</v>
      </c>
      <c r="C20" s="22">
        <v>1</v>
      </c>
      <c r="D20" s="22">
        <v>49</v>
      </c>
      <c r="E20" s="22">
        <v>46</v>
      </c>
      <c r="F20" s="24">
        <f t="shared" si="0"/>
        <v>8.1958473100000004E-26</v>
      </c>
      <c r="G20" s="24">
        <f t="shared" si="1"/>
        <v>4.1903173759999999E-29</v>
      </c>
      <c r="H20" s="25">
        <f t="shared" si="12"/>
        <v>2083.4601076018726</v>
      </c>
      <c r="I20" s="25">
        <f t="shared" si="13"/>
        <v>1.0652173913043479</v>
      </c>
      <c r="J20" s="26">
        <f t="shared" si="14"/>
        <v>8.1916569926240009E-26</v>
      </c>
      <c r="K20" s="27">
        <v>167.21</v>
      </c>
      <c r="L20" s="28"/>
      <c r="M20" s="29">
        <f t="shared" si="15"/>
        <v>8.3963056255247689E-4</v>
      </c>
      <c r="N20" s="63">
        <v>1191</v>
      </c>
      <c r="O20" s="30">
        <f>K20/W20</f>
        <v>4.292862515949649E-5</v>
      </c>
      <c r="P20" s="28">
        <f t="shared" si="16"/>
        <v>1.4028634687518691E+28</v>
      </c>
      <c r="Q20" s="30">
        <v>3.0899999999999998E-4</v>
      </c>
      <c r="S20" s="31">
        <v>7.1999999999999997E-11</v>
      </c>
      <c r="T20" s="31">
        <v>1.3300000000000001E-10</v>
      </c>
      <c r="U20" s="31">
        <f t="shared" si="17"/>
        <v>2.0500000000000002E-10</v>
      </c>
      <c r="V20" s="31">
        <f t="shared" si="18"/>
        <v>2.0500000000000003</v>
      </c>
      <c r="W20" s="31">
        <f>(5.36-0.00123*N20)*1000000</f>
        <v>3895070.0000000005</v>
      </c>
      <c r="X20" s="32">
        <v>1700</v>
      </c>
      <c r="Y20" s="28">
        <v>0</v>
      </c>
      <c r="Z20" s="28">
        <v>5.36</v>
      </c>
      <c r="AA20" s="28">
        <v>-1.23E-3</v>
      </c>
      <c r="AE20" s="28">
        <f t="shared" si="46"/>
        <v>1.1222907750014952E+28</v>
      </c>
      <c r="AF20" s="28">
        <f t="shared" si="47"/>
        <v>2.805726937503738E+27</v>
      </c>
      <c r="AI20" s="88"/>
      <c r="AJ20" s="88"/>
      <c r="AK20" s="88"/>
      <c r="AM20">
        <v>5.9</v>
      </c>
      <c r="AN20" t="s">
        <v>199</v>
      </c>
      <c r="AO20" t="s">
        <v>203</v>
      </c>
      <c r="AP20" t="s">
        <v>204</v>
      </c>
      <c r="AQ20">
        <v>4</v>
      </c>
      <c r="AR20">
        <v>-1</v>
      </c>
      <c r="AS20">
        <f t="shared" si="4"/>
        <v>1.3547403168154094E-11</v>
      </c>
      <c r="AT20" s="45"/>
      <c r="AU20" s="45"/>
      <c r="AV20" s="45"/>
      <c r="AW20" s="45"/>
      <c r="AX20" s="45">
        <f t="shared" si="42"/>
        <v>-1.674479721671473E-8</v>
      </c>
      <c r="AY20" s="45">
        <f t="shared" si="43"/>
        <v>6.6979188866858919E-8</v>
      </c>
      <c r="AZ20" s="45">
        <f t="shared" si="44"/>
        <v>4.1861993041786824E-9</v>
      </c>
      <c r="BA20"/>
      <c r="BB20"/>
      <c r="BC20" s="24"/>
      <c r="BD20" s="24"/>
    </row>
    <row r="21" spans="1:56" ht="20.25" customHeight="1">
      <c r="A21" s="22" t="s">
        <v>170</v>
      </c>
      <c r="B21" s="57">
        <v>0.08</v>
      </c>
      <c r="C21" s="22">
        <v>1</v>
      </c>
      <c r="D21" s="22">
        <v>99</v>
      </c>
      <c r="E21" s="22">
        <v>96</v>
      </c>
      <c r="F21" s="24">
        <f t="shared" si="0"/>
        <v>1.6558956810000001E-25</v>
      </c>
      <c r="G21" s="24">
        <f t="shared" si="1"/>
        <v>8.7450101759999993E-29</v>
      </c>
      <c r="H21" s="25">
        <f t="shared" si="12"/>
        <v>1952.7048987521384</v>
      </c>
      <c r="I21" s="25">
        <f t="shared" si="13"/>
        <v>1.03125</v>
      </c>
      <c r="J21" s="26">
        <f t="shared" si="14"/>
        <v>1.6550211799824002E-25</v>
      </c>
      <c r="K21" s="27">
        <v>308.0317</v>
      </c>
      <c r="L21" s="28"/>
      <c r="M21" s="29">
        <f t="shared" si="15"/>
        <v>7.2254335260115603E-4</v>
      </c>
      <c r="N21" s="63">
        <v>1384</v>
      </c>
      <c r="O21" s="30">
        <f>K21/W21</f>
        <v>5.0331977124183008E-5</v>
      </c>
      <c r="P21" s="28">
        <f t="shared" si="16"/>
        <v>1.1965156832884407E+28</v>
      </c>
      <c r="Q21" s="30">
        <v>1.21E-4</v>
      </c>
      <c r="S21" s="31">
        <v>9.3999999999999999E-11</v>
      </c>
      <c r="T21" s="31">
        <v>1.3300000000000001E-10</v>
      </c>
      <c r="U21" s="31">
        <f t="shared" si="17"/>
        <v>2.2699999999999999E-10</v>
      </c>
      <c r="V21" s="31">
        <f t="shared" si="18"/>
        <v>2.27</v>
      </c>
      <c r="W21" s="31">
        <v>6120000</v>
      </c>
      <c r="X21" s="32">
        <v>1362</v>
      </c>
      <c r="Y21" s="28">
        <v>0</v>
      </c>
      <c r="Z21" s="28">
        <v>7.34</v>
      </c>
      <c r="AA21" s="28">
        <v>-8.0800000000000002E-4</v>
      </c>
      <c r="AE21" s="28">
        <f t="shared" si="46"/>
        <v>9.5721254663075249E+27</v>
      </c>
      <c r="AF21" s="28">
        <f t="shared" si="47"/>
        <v>2.3930313665768812E+27</v>
      </c>
      <c r="AI21" s="88"/>
      <c r="AJ21" s="88"/>
      <c r="AK21" s="88"/>
      <c r="AM21">
        <v>5.9</v>
      </c>
      <c r="AN21" t="s">
        <v>199</v>
      </c>
      <c r="AO21" t="s">
        <v>203</v>
      </c>
      <c r="AP21" t="s">
        <v>204</v>
      </c>
      <c r="AQ21">
        <v>4</v>
      </c>
      <c r="AR21">
        <v>-1</v>
      </c>
      <c r="AS21">
        <f t="shared" si="4"/>
        <v>1.5813089360469999E-11</v>
      </c>
      <c r="AT21" s="45"/>
      <c r="AU21" s="45"/>
      <c r="AV21" s="45"/>
      <c r="AW21" s="45"/>
      <c r="AX21" s="45">
        <f t="shared" si="42"/>
        <v>-2.631744298839491E-7</v>
      </c>
      <c r="AY21" s="45">
        <f t="shared" si="43"/>
        <v>1.0526977195357964E-6</v>
      </c>
      <c r="AZ21" s="45">
        <f t="shared" si="44"/>
        <v>6.5793607470987274E-8</v>
      </c>
      <c r="BA21"/>
      <c r="BB21"/>
      <c r="BC21" s="24"/>
      <c r="BD21" s="24"/>
    </row>
    <row r="22" spans="1:56" ht="15">
      <c r="A22" s="22" t="s">
        <v>171</v>
      </c>
      <c r="B22" s="57">
        <v>0.09</v>
      </c>
      <c r="C22" s="22">
        <v>1</v>
      </c>
      <c r="D22" s="22">
        <v>101</v>
      </c>
      <c r="E22" s="22">
        <v>98</v>
      </c>
      <c r="F22" s="24">
        <f t="shared" si="0"/>
        <v>1.6893481190000001E-25</v>
      </c>
      <c r="G22" s="24">
        <f t="shared" si="1"/>
        <v>8.9271978879999991E-29</v>
      </c>
      <c r="H22" s="25">
        <f t="shared" si="12"/>
        <v>1950.2904261560993</v>
      </c>
      <c r="I22" s="25">
        <f t="shared" si="13"/>
        <v>1.0306122448979591</v>
      </c>
      <c r="J22" s="26">
        <f t="shared" si="14"/>
        <v>1.6884553992112001E-25</v>
      </c>
      <c r="K22" s="27">
        <v>314.02249999999998</v>
      </c>
      <c r="L22" s="28">
        <f>10^(11.4-35400/N22+27700000/N22^2)/1000</f>
        <v>3.3294860215237095E-3</v>
      </c>
      <c r="M22" s="29">
        <f t="shared" si="15"/>
        <v>7.6394194041252863E-4</v>
      </c>
      <c r="N22" s="63">
        <v>1309</v>
      </c>
      <c r="O22" s="30">
        <f>K22/W22</f>
        <v>4.8535162287480677E-5</v>
      </c>
      <c r="P22" s="28">
        <f t="shared" si="16"/>
        <v>1.2408117571193147E+28</v>
      </c>
      <c r="Q22" s="30">
        <v>1.4899999999999999E-4</v>
      </c>
      <c r="S22" s="31">
        <v>8.9000000000000003E-11</v>
      </c>
      <c r="T22" s="31">
        <v>1.3300000000000001E-10</v>
      </c>
      <c r="U22" s="31">
        <f t="shared" si="17"/>
        <v>2.2200000000000001E-10</v>
      </c>
      <c r="V22" s="31">
        <f t="shared" si="18"/>
        <v>2.2200000000000002</v>
      </c>
      <c r="W22" s="31">
        <v>6470000</v>
      </c>
      <c r="X22" s="32">
        <v>1062</v>
      </c>
      <c r="Y22" s="28">
        <v>0</v>
      </c>
      <c r="Z22" s="28">
        <v>7.6040000000000001</v>
      </c>
      <c r="AA22" s="28">
        <v>-7.9100000000000004E-4</v>
      </c>
      <c r="AE22" s="28">
        <f t="shared" si="46"/>
        <v>9.9264940569545181E+27</v>
      </c>
      <c r="AF22" s="28">
        <f t="shared" si="47"/>
        <v>2.4816235142386295E+27</v>
      </c>
      <c r="AI22" s="88"/>
      <c r="AJ22" s="88"/>
      <c r="AK22" s="88"/>
      <c r="AM22">
        <v>5.9</v>
      </c>
      <c r="AN22" t="s">
        <v>219</v>
      </c>
      <c r="AO22" t="s">
        <v>220</v>
      </c>
      <c r="AP22" t="s">
        <v>221</v>
      </c>
      <c r="AQ22">
        <v>4</v>
      </c>
      <c r="AR22">
        <v>-1</v>
      </c>
      <c r="AS22">
        <f t="shared" si="4"/>
        <v>1.5101662185788534E-11</v>
      </c>
      <c r="AT22" s="45"/>
      <c r="AU22" s="45"/>
      <c r="AV22" s="45"/>
      <c r="AW22" s="45"/>
      <c r="AX22" s="45">
        <f t="shared" si="42"/>
        <v>-1.2112876587777396E-7</v>
      </c>
      <c r="AY22" s="45">
        <f t="shared" si="43"/>
        <v>4.8451506351109585E-7</v>
      </c>
      <c r="AZ22" s="45">
        <f t="shared" si="44"/>
        <v>3.0282191469443491E-8</v>
      </c>
      <c r="BA22"/>
      <c r="BB22"/>
      <c r="BC22" s="24">
        <f t="shared" ref="BC22:BC27" si="48">L22/(W22/1000*(X22+Y22*N22))</f>
        <v>4.8456093479738579E-10</v>
      </c>
      <c r="BD22" s="24"/>
    </row>
    <row r="23" spans="1:56" ht="15">
      <c r="A23" s="22" t="s">
        <v>172</v>
      </c>
      <c r="B23" s="57"/>
      <c r="C23" s="22">
        <v>1</v>
      </c>
      <c r="D23" s="22">
        <v>109</v>
      </c>
      <c r="E23" s="22">
        <v>107</v>
      </c>
      <c r="F23" s="24">
        <f t="shared" si="0"/>
        <v>1.823157871E-25</v>
      </c>
      <c r="G23" s="24">
        <f t="shared" si="1"/>
        <v>9.7470425919999998E-29</v>
      </c>
      <c r="H23" s="25">
        <f t="shared" si="12"/>
        <v>1905.4349775174894</v>
      </c>
      <c r="I23" s="25">
        <f t="shared" si="13"/>
        <v>1.0186915887850467</v>
      </c>
      <c r="J23" s="26">
        <f t="shared" si="14"/>
        <v>1.8221831667407999E-25</v>
      </c>
      <c r="K23" s="27">
        <v>344.3879</v>
      </c>
      <c r="L23" s="28">
        <f>0.478*EXP(10900/(8.3144598*N23))/1000</f>
        <v>1.5506403023444345E-3</v>
      </c>
      <c r="M23" s="29">
        <f t="shared" si="15"/>
        <v>8.9766606822262122E-4</v>
      </c>
      <c r="N23" s="63">
        <v>1114</v>
      </c>
      <c r="O23" s="30">
        <f>K23/W23</f>
        <v>7.5193864628820956E-5</v>
      </c>
      <c r="P23" s="28">
        <f t="shared" si="16"/>
        <v>8.0090310954595102E+27</v>
      </c>
      <c r="Q23" s="30">
        <v>3.3300000000000002E-4</v>
      </c>
      <c r="S23" s="31">
        <v>1.16E-10</v>
      </c>
      <c r="T23" s="31">
        <v>1.81E-10</v>
      </c>
      <c r="U23" s="31">
        <f t="shared" si="17"/>
        <v>2.9700000000000001E-10</v>
      </c>
      <c r="V23" s="31">
        <f t="shared" si="18"/>
        <v>2.97</v>
      </c>
      <c r="W23" s="31">
        <v>4580000</v>
      </c>
      <c r="X23" s="32">
        <v>1248</v>
      </c>
      <c r="Y23" s="28">
        <v>0</v>
      </c>
      <c r="Z23" s="28">
        <v>6.3746999999999998</v>
      </c>
      <c r="AA23" s="28">
        <v>-1.5222E-3</v>
      </c>
      <c r="AE23" s="28">
        <f t="shared" si="46"/>
        <v>6.0067733215946327E+27</v>
      </c>
      <c r="AF23" s="28">
        <f t="shared" si="47"/>
        <v>2.0022577738648776E+27</v>
      </c>
      <c r="AI23" s="88"/>
      <c r="AJ23" s="88"/>
      <c r="AK23" s="88"/>
      <c r="AM23">
        <v>5.2</v>
      </c>
      <c r="AN23" t="s">
        <v>222</v>
      </c>
      <c r="AO23" t="s">
        <v>203</v>
      </c>
      <c r="AP23" t="s">
        <v>204</v>
      </c>
      <c r="AQ23">
        <v>3</v>
      </c>
      <c r="AR23">
        <v>-1</v>
      </c>
      <c r="AS23">
        <f t="shared" si="4"/>
        <v>2.2184967942103583E-11</v>
      </c>
      <c r="AT23" s="45"/>
      <c r="AU23" s="45"/>
      <c r="AV23" s="45"/>
      <c r="AW23" s="45"/>
      <c r="AX23" s="45">
        <f t="shared" si="42"/>
        <v>-2.5395582396995064E-5</v>
      </c>
      <c r="AY23" s="45">
        <f t="shared" si="43"/>
        <v>7.6186747190985183E-5</v>
      </c>
      <c r="AZ23" s="45">
        <f t="shared" si="44"/>
        <v>8.4651941323316881E-6</v>
      </c>
      <c r="BA23"/>
      <c r="BB23"/>
      <c r="BC23" s="24">
        <f t="shared" si="48"/>
        <v>2.7128826250287524E-10</v>
      </c>
      <c r="BD23" s="24"/>
    </row>
    <row r="24" spans="1:56" ht="15">
      <c r="A24" s="28" t="s">
        <v>173</v>
      </c>
      <c r="B24" s="66"/>
      <c r="C24" s="28">
        <v>2</v>
      </c>
      <c r="D24" s="67">
        <v>33.76</v>
      </c>
      <c r="E24" s="67">
        <v>33.44</v>
      </c>
      <c r="F24" s="24">
        <f t="shared" si="0"/>
        <v>5.6467715343999995E-26</v>
      </c>
      <c r="G24" s="24">
        <f t="shared" si="1"/>
        <v>3.0461785446399997E-29</v>
      </c>
      <c r="H24" s="25">
        <f t="shared" si="12"/>
        <v>1871.4620768599771</v>
      </c>
      <c r="I24" s="25">
        <f t="shared" si="13"/>
        <v>1.0095693779904307</v>
      </c>
      <c r="J24" s="26">
        <f t="shared" si="14"/>
        <v>5.6437253558553592E-26</v>
      </c>
      <c r="K24" s="28">
        <v>81.162404000000009</v>
      </c>
      <c r="L24" s="28">
        <f>0.141*EXP(18800/(8.3144598*N24))/1000</f>
        <v>3.6048872982003179E-3</v>
      </c>
      <c r="M24" s="29">
        <f t="shared" si="15"/>
        <v>1.43348623853211E-3</v>
      </c>
      <c r="N24" s="28">
        <v>697.6</v>
      </c>
      <c r="O24" s="28">
        <v>4.6549051207293618E-5</v>
      </c>
      <c r="P24" s="28">
        <f t="shared" si="16"/>
        <v>1.2937535446600865E+28</v>
      </c>
      <c r="Q24" s="28">
        <v>3.0722637834585992E-4</v>
      </c>
      <c r="U24" s="24">
        <f>0.68*U10+0.32*U14</f>
        <v>2.9724E-10</v>
      </c>
      <c r="V24" s="31">
        <f t="shared" si="18"/>
        <v>2.9723999999999999</v>
      </c>
      <c r="W24" s="24">
        <v>1741629.2032000001</v>
      </c>
      <c r="X24" s="28">
        <v>1968.0306331357569</v>
      </c>
      <c r="AB24" s="28">
        <v>2</v>
      </c>
      <c r="AC24" s="28">
        <v>3</v>
      </c>
      <c r="AD24" s="28">
        <f t="shared" si="19"/>
        <v>5</v>
      </c>
      <c r="AI24" s="88"/>
      <c r="AJ24" s="88"/>
      <c r="AK24" s="88"/>
      <c r="AM24">
        <v>5.2</v>
      </c>
      <c r="AN24" t="s">
        <v>222</v>
      </c>
      <c r="AO24" t="s">
        <v>203</v>
      </c>
      <c r="AP24" t="s">
        <v>204</v>
      </c>
      <c r="AQ24"/>
      <c r="AR24"/>
      <c r="AS24"/>
      <c r="AT24"/>
      <c r="AU24"/>
      <c r="AV24" s="45"/>
      <c r="AW24" s="45"/>
      <c r="AX24"/>
      <c r="AY24"/>
      <c r="AZ24" s="45"/>
      <c r="BA24"/>
      <c r="BB24"/>
      <c r="BC24" s="24">
        <f t="shared" si="48"/>
        <v>1.0517297026523455E-9</v>
      </c>
      <c r="BD24" s="24"/>
    </row>
    <row r="25" spans="1:56" ht="15">
      <c r="A25" s="28" t="s">
        <v>80</v>
      </c>
      <c r="B25" s="66"/>
      <c r="C25" s="28">
        <v>2</v>
      </c>
      <c r="D25" s="67">
        <v>12.34</v>
      </c>
      <c r="E25" s="67">
        <v>11.34</v>
      </c>
      <c r="F25" s="24">
        <f t="shared" si="0"/>
        <v>2.0640154245999999E-26</v>
      </c>
      <c r="G25" s="24">
        <f t="shared" si="1"/>
        <v>1.0330043270399999E-29</v>
      </c>
      <c r="H25" s="25">
        <f t="shared" si="12"/>
        <v>2174.2671429464549</v>
      </c>
      <c r="I25" s="25">
        <f t="shared" si="13"/>
        <v>1.088183421516755</v>
      </c>
      <c r="J25" s="26">
        <f t="shared" si="14"/>
        <v>2.06298242027296E-26</v>
      </c>
      <c r="K25" s="28">
        <v>33.103140000000003</v>
      </c>
      <c r="L25" s="28">
        <f>0.116*EXP(31200/(8.3144598*N25))/1000</f>
        <v>1.9398692129051695E-2</v>
      </c>
      <c r="M25" s="29">
        <f t="shared" si="15"/>
        <v>1.364256480218281E-3</v>
      </c>
      <c r="N25" s="28">
        <v>733</v>
      </c>
      <c r="O25" s="28">
        <v>1.6714173769923689E-5</v>
      </c>
      <c r="P25" s="28">
        <f t="shared" si="16"/>
        <v>3.6031096020054697E+28</v>
      </c>
      <c r="Q25" s="28">
        <v>1.409526898683356E-4</v>
      </c>
      <c r="U25" s="24">
        <f>0.66*U3+0.34*U11</f>
        <v>1.9472000000000003E-10</v>
      </c>
      <c r="V25" s="31">
        <f t="shared" si="18"/>
        <v>1.9472000000000003</v>
      </c>
      <c r="W25" s="24">
        <v>1986063.3540000001</v>
      </c>
      <c r="X25" s="28">
        <v>2547.6863757231322</v>
      </c>
      <c r="AB25" s="28">
        <v>2</v>
      </c>
      <c r="AC25" s="28">
        <v>3</v>
      </c>
      <c r="AD25" s="28">
        <f t="shared" si="19"/>
        <v>5</v>
      </c>
      <c r="AG25" s="28">
        <v>0.91150467825412496</v>
      </c>
      <c r="AH25" s="28" t="s">
        <v>22</v>
      </c>
      <c r="AI25" s="88"/>
      <c r="AJ25" s="88"/>
      <c r="AK25" s="88"/>
      <c r="AM25">
        <v>5.9</v>
      </c>
      <c r="AN25" t="s">
        <v>219</v>
      </c>
      <c r="AO25" t="s">
        <v>220</v>
      </c>
      <c r="AP25" t="s">
        <v>221</v>
      </c>
      <c r="AQ25"/>
      <c r="AR25"/>
      <c r="AS25"/>
      <c r="AT25"/>
      <c r="AU25"/>
      <c r="AV25" s="45"/>
      <c r="AW25" s="45"/>
      <c r="AX25"/>
      <c r="AY25"/>
      <c r="AZ25" s="45"/>
      <c r="BA25"/>
      <c r="BB25"/>
      <c r="BC25" s="24">
        <f t="shared" si="48"/>
        <v>3.8338347353322035E-9</v>
      </c>
      <c r="BD25" s="24"/>
    </row>
    <row r="26" spans="1:56" ht="15">
      <c r="A26" s="28" t="s">
        <v>42</v>
      </c>
      <c r="B26" s="66"/>
      <c r="C26" s="28">
        <v>3</v>
      </c>
      <c r="D26" s="67">
        <v>19.64</v>
      </c>
      <c r="E26" s="67">
        <v>19.64</v>
      </c>
      <c r="F26" s="24">
        <f t="shared" si="0"/>
        <v>3.2850294116000003E-26</v>
      </c>
      <c r="G26" s="24">
        <f t="shared" si="1"/>
        <v>1.78908333184E-29</v>
      </c>
      <c r="H26" s="25">
        <f t="shared" si="12"/>
        <v>1836.1522647586683</v>
      </c>
      <c r="I26" s="25">
        <f t="shared" si="13"/>
        <v>1</v>
      </c>
      <c r="J26" s="26">
        <f t="shared" si="14"/>
        <v>3.2832403282681602E-26</v>
      </c>
      <c r="K26" s="28">
        <v>41.290994999999988</v>
      </c>
      <c r="L26" s="28">
        <f>10^(0.213+-1200/N26+1350000/N26^2)/1000</f>
        <v>1.2003439447166342E-2</v>
      </c>
      <c r="M26" s="29">
        <f t="shared" si="15"/>
        <v>1.3605442176870747E-3</v>
      </c>
      <c r="N26" s="28">
        <v>735</v>
      </c>
      <c r="O26" s="28">
        <v>1.9405588331960499E-5</v>
      </c>
      <c r="P26" s="28">
        <f t="shared" si="16"/>
        <v>3.1033843947320209E+28</v>
      </c>
      <c r="Q26" s="28">
        <v>3.1252324985815613E-4</v>
      </c>
      <c r="U26" s="24">
        <f>0.465*U3+0.115*U4+0.42*U5</f>
        <v>2.3803E-10</v>
      </c>
      <c r="V26" s="31">
        <f t="shared" si="18"/>
        <v>2.3803000000000001</v>
      </c>
      <c r="W26" s="24">
        <v>2102415.4449999998</v>
      </c>
      <c r="X26" s="28">
        <v>2012.468707779205</v>
      </c>
      <c r="AB26" s="28">
        <v>3</v>
      </c>
      <c r="AC26" s="28">
        <v>3</v>
      </c>
      <c r="AD26" s="28">
        <f t="shared" si="19"/>
        <v>6</v>
      </c>
      <c r="AG26" s="28">
        <v>0.79004699038973603</v>
      </c>
      <c r="AH26" s="28" t="s">
        <v>43</v>
      </c>
      <c r="AI26" s="88"/>
      <c r="AJ26" s="88"/>
      <c r="AK26" s="88"/>
      <c r="AM26">
        <v>5.9</v>
      </c>
      <c r="AN26" t="s">
        <v>219</v>
      </c>
      <c r="AO26" t="s">
        <v>220</v>
      </c>
      <c r="AP26" t="s">
        <v>221</v>
      </c>
      <c r="AQ26"/>
      <c r="AR26"/>
      <c r="AS26"/>
      <c r="AT26"/>
      <c r="AU26"/>
      <c r="AV26" s="45"/>
      <c r="AW26" s="45"/>
      <c r="AX26"/>
      <c r="AY26"/>
      <c r="AZ26" s="45"/>
      <c r="BA26"/>
      <c r="BB26"/>
      <c r="BC26" s="24">
        <f t="shared" si="48"/>
        <v>2.8369914793196441E-9</v>
      </c>
      <c r="BD26" s="24"/>
    </row>
    <row r="27" spans="1:56" ht="15">
      <c r="A27" s="28" t="s">
        <v>174</v>
      </c>
      <c r="B27" s="66"/>
      <c r="C27" s="28">
        <v>4</v>
      </c>
      <c r="D27" s="67">
        <v>23.315000000000001</v>
      </c>
      <c r="E27" s="67">
        <v>22.74</v>
      </c>
      <c r="F27" s="24">
        <f t="shared" si="0"/>
        <v>3.8997179598500003E-26</v>
      </c>
      <c r="G27" s="24">
        <f t="shared" si="1"/>
        <v>2.0714742854399996E-29</v>
      </c>
      <c r="H27" s="25">
        <f t="shared" si="12"/>
        <v>1930.1835567339556</v>
      </c>
      <c r="I27" s="25">
        <f t="shared" si="13"/>
        <v>1.0252858399296396</v>
      </c>
      <c r="J27" s="26">
        <f t="shared" si="14"/>
        <v>3.8976464855645601E-26</v>
      </c>
      <c r="K27" s="28">
        <v>66.133683500000004</v>
      </c>
      <c r="L27" s="28">
        <f>0.062*EXP(38800/(8.3144598*N27))/1000</f>
        <v>3.0468148860508516E-2</v>
      </c>
      <c r="M27" s="29">
        <f t="shared" si="15"/>
        <v>1.3280212483399733E-3</v>
      </c>
      <c r="N27" s="28">
        <v>753</v>
      </c>
      <c r="O27" s="28">
        <v>1.9202817056926548E-5</v>
      </c>
      <c r="P27" s="28">
        <f t="shared" si="16"/>
        <v>3.1361544413754271E+28</v>
      </c>
      <c r="Q27" s="28">
        <v>1.6787041064891779E-4</v>
      </c>
      <c r="U27" s="24">
        <f>0.675*U3+0.2*U11+0.005*U21+0.12*U22</f>
        <v>2.0225E-10</v>
      </c>
      <c r="V27" s="31">
        <f t="shared" si="18"/>
        <v>2.0225</v>
      </c>
      <c r="W27" s="24">
        <v>2609440.5150000001</v>
      </c>
      <c r="X27" s="28">
        <v>1781.433208193873</v>
      </c>
      <c r="AB27" s="28">
        <v>4</v>
      </c>
      <c r="AC27" s="28">
        <v>11</v>
      </c>
      <c r="AD27" s="28">
        <f t="shared" si="19"/>
        <v>15</v>
      </c>
      <c r="AG27" s="28">
        <v>1.26490788750189</v>
      </c>
      <c r="AH27" s="28" t="s">
        <v>33</v>
      </c>
      <c r="AI27" s="88"/>
      <c r="AJ27" s="88"/>
      <c r="AK27" s="88"/>
      <c r="AM27">
        <v>5.9</v>
      </c>
      <c r="AN27" t="s">
        <v>219</v>
      </c>
      <c r="AO27" t="s">
        <v>220</v>
      </c>
      <c r="AP27" t="s">
        <v>221</v>
      </c>
      <c r="AQ27"/>
      <c r="AR27"/>
      <c r="AS27"/>
      <c r="AT27"/>
      <c r="AU27"/>
      <c r="AV27" s="45"/>
      <c r="AW27" s="45"/>
      <c r="AX27"/>
      <c r="AY27"/>
      <c r="AZ27" s="45"/>
      <c r="BA27"/>
      <c r="BB27"/>
      <c r="BC27" s="24">
        <f t="shared" si="48"/>
        <v>6.5543423785317211E-9</v>
      </c>
      <c r="BD27" s="24"/>
    </row>
    <row r="28" spans="1:56" ht="15">
      <c r="A28" s="28" t="s">
        <v>63</v>
      </c>
      <c r="B28" s="66"/>
      <c r="C28" s="28">
        <v>4</v>
      </c>
      <c r="D28" s="67">
        <v>14.792</v>
      </c>
      <c r="E28" s="67">
        <v>14.388</v>
      </c>
      <c r="F28" s="24">
        <f t="shared" si="0"/>
        <v>2.4741423144799998E-26</v>
      </c>
      <c r="G28" s="24">
        <f t="shared" si="1"/>
        <v>1.3106584001279998E-29</v>
      </c>
      <c r="H28" s="25">
        <f t="shared" si="12"/>
        <v>1940.7144105304449</v>
      </c>
      <c r="I28" s="25">
        <f t="shared" si="13"/>
        <v>1.0280789546844593</v>
      </c>
      <c r="J28" s="26">
        <f t="shared" si="14"/>
        <v>2.4728316560798717E-26</v>
      </c>
      <c r="K28" s="28">
        <v>40.153548000000008</v>
      </c>
      <c r="L28" s="28"/>
      <c r="M28" s="29">
        <f t="shared" si="15"/>
        <v>1.4084507042253522E-3</v>
      </c>
      <c r="N28" s="28">
        <v>710</v>
      </c>
      <c r="O28" s="28">
        <v>1.69198810550489E-5</v>
      </c>
      <c r="P28" s="28">
        <f t="shared" si="16"/>
        <v>3.5593039811606377E+28</v>
      </c>
      <c r="Q28" s="28">
        <v>1.8512201652073131E-4</v>
      </c>
      <c r="U28" s="24">
        <f>0.712*U3+0.23*U11+0.05*U20+0.008*U22</f>
        <v>1.9924399999999998E-10</v>
      </c>
      <c r="V28" s="31">
        <f t="shared" si="18"/>
        <v>1.9924399999999998</v>
      </c>
      <c r="W28" s="24">
        <v>2163027.5660000001</v>
      </c>
      <c r="X28" s="28">
        <v>2319.1206460873409</v>
      </c>
      <c r="AB28" s="28">
        <v>4</v>
      </c>
      <c r="AC28" s="28">
        <v>11</v>
      </c>
      <c r="AD28" s="28">
        <f t="shared" si="19"/>
        <v>15</v>
      </c>
      <c r="AG28" s="28">
        <v>1.2506480602355801</v>
      </c>
      <c r="AH28" s="28" t="s">
        <v>31</v>
      </c>
      <c r="AI28" s="88"/>
      <c r="AJ28" s="88"/>
      <c r="AK28" s="88"/>
      <c r="AM28">
        <v>5.9</v>
      </c>
      <c r="AN28" t="s">
        <v>219</v>
      </c>
      <c r="AO28" t="s">
        <v>220</v>
      </c>
      <c r="AP28" t="s">
        <v>221</v>
      </c>
      <c r="AQ28"/>
      <c r="AR28"/>
      <c r="AS28"/>
      <c r="AT28"/>
      <c r="AU28"/>
      <c r="AV28" s="45"/>
      <c r="AW28" s="45"/>
      <c r="AX28"/>
      <c r="AY28"/>
      <c r="AZ28" s="45"/>
      <c r="BA28"/>
      <c r="BB28"/>
      <c r="BC28" s="24"/>
      <c r="BD28" s="24"/>
    </row>
    <row r="29" spans="1:56" ht="15">
      <c r="A29" s="28" t="s">
        <v>21</v>
      </c>
      <c r="B29" s="66"/>
      <c r="C29" s="28">
        <v>2</v>
      </c>
      <c r="D29" s="67">
        <v>12.27</v>
      </c>
      <c r="E29" s="67">
        <v>11.73</v>
      </c>
      <c r="F29" s="24">
        <f t="shared" si="0"/>
        <v>2.0523070712999998E-26</v>
      </c>
      <c r="G29" s="24">
        <f t="shared" si="1"/>
        <v>1.0685309308799999E-29</v>
      </c>
      <c r="H29" s="25">
        <f t="shared" si="12"/>
        <v>2009.1011113290388</v>
      </c>
      <c r="I29" s="25">
        <f t="shared" si="13"/>
        <v>1.0460358056265984</v>
      </c>
      <c r="J29" s="26">
        <f t="shared" si="14"/>
        <v>2.0512385403691198E-26</v>
      </c>
      <c r="K29" s="28">
        <v>31.62816999999999</v>
      </c>
      <c r="L29" s="28">
        <f>0.118*EXP(30100/(8.3144598*N29))/1000</f>
        <v>1.6585959930776259E-2</v>
      </c>
      <c r="M29" s="29">
        <f t="shared" si="15"/>
        <v>1.366120218579235E-3</v>
      </c>
      <c r="N29" s="28">
        <v>732</v>
      </c>
      <c r="O29" s="28">
        <v>1.59424661503112E-5</v>
      </c>
      <c r="P29" s="28">
        <f t="shared" si="16"/>
        <v>3.7775209576859876E+28</v>
      </c>
      <c r="Q29" s="28">
        <v>1.6222658639521151E-4</v>
      </c>
      <c r="U29" s="24">
        <f>0.73*U3+0.27*U11</f>
        <v>1.9765999999999999E-10</v>
      </c>
      <c r="V29" s="31">
        <f t="shared" si="18"/>
        <v>1.9765999999999999</v>
      </c>
      <c r="W29" s="24">
        <v>1989043.9480000001</v>
      </c>
      <c r="X29" s="28">
        <v>2547.687552638462</v>
      </c>
      <c r="AB29" s="28">
        <v>2</v>
      </c>
      <c r="AC29" s="28">
        <v>3</v>
      </c>
      <c r="AD29" s="28">
        <f t="shared" si="19"/>
        <v>5</v>
      </c>
      <c r="AG29" s="28">
        <v>0.90656933088322</v>
      </c>
      <c r="AH29" s="28" t="s">
        <v>22</v>
      </c>
      <c r="AI29" s="88"/>
      <c r="AJ29" s="88"/>
      <c r="AK29" s="88"/>
      <c r="AM29">
        <v>5.9</v>
      </c>
      <c r="AN29" t="s">
        <v>219</v>
      </c>
      <c r="AO29" t="s">
        <v>220</v>
      </c>
      <c r="AP29" t="s">
        <v>221</v>
      </c>
      <c r="AQ29"/>
      <c r="AR29"/>
      <c r="AS29"/>
      <c r="AT29"/>
      <c r="AU29"/>
      <c r="AV29" s="45"/>
      <c r="AW29" s="45"/>
      <c r="AX29"/>
      <c r="AY29"/>
      <c r="AZ29" s="45"/>
      <c r="BA29"/>
      <c r="BB29"/>
      <c r="BC29" s="24">
        <f>L29/(W29/1000*(X29+Y29*N29))</f>
        <v>3.2730306153599925E-9</v>
      </c>
      <c r="BD29" s="24"/>
    </row>
    <row r="30" spans="1:56" ht="15">
      <c r="A30" s="28" t="s">
        <v>23</v>
      </c>
      <c r="B30" s="66"/>
      <c r="C30" s="28">
        <v>3</v>
      </c>
      <c r="D30" s="67">
        <v>13.154999999999999</v>
      </c>
      <c r="E30" s="67">
        <v>12.86</v>
      </c>
      <c r="F30" s="24">
        <f t="shared" si="0"/>
        <v>2.2003341094499998E-26</v>
      </c>
      <c r="G30" s="24">
        <f t="shared" si="1"/>
        <v>1.1714669881599998E-29</v>
      </c>
      <c r="H30" s="25">
        <f t="shared" si="12"/>
        <v>1921.3587403123072</v>
      </c>
      <c r="I30" s="25">
        <f t="shared" si="13"/>
        <v>1.0229393468118195</v>
      </c>
      <c r="J30" s="26">
        <f t="shared" si="14"/>
        <v>2.1991626424618399E-26</v>
      </c>
      <c r="K30" s="28">
        <v>34.403649999999985</v>
      </c>
      <c r="L30" s="28">
        <f>0.123*EXP(29800/(8.3144598*N30))/1000</f>
        <v>1.6457220475546555E-2</v>
      </c>
      <c r="M30" s="29">
        <f t="shared" si="15"/>
        <v>1.366120218579235E-3</v>
      </c>
      <c r="N30" s="28">
        <v>732</v>
      </c>
      <c r="O30" s="28">
        <v>1.6204764243863241E-5</v>
      </c>
      <c r="P30" s="28">
        <f t="shared" si="16"/>
        <v>3.7163761899718168E+28</v>
      </c>
      <c r="Q30" s="28">
        <v>1.625831359942148E-4</v>
      </c>
      <c r="U30" s="24">
        <f>0.725*U3+0.265*U11+0.01*U22</f>
        <v>1.9799999999999999E-10</v>
      </c>
      <c r="V30" s="31">
        <f t="shared" si="18"/>
        <v>1.98</v>
      </c>
      <c r="W30" s="24">
        <v>2039490.53</v>
      </c>
      <c r="X30" s="28">
        <v>2441.8705732183512</v>
      </c>
      <c r="AB30" s="28">
        <v>3</v>
      </c>
      <c r="AC30" s="28">
        <v>7</v>
      </c>
      <c r="AD30" s="28">
        <f t="shared" si="19"/>
        <v>10</v>
      </c>
      <c r="AG30" s="28">
        <v>0.76966314939120895</v>
      </c>
      <c r="AH30" s="28" t="s">
        <v>24</v>
      </c>
      <c r="AI30" s="88"/>
      <c r="AJ30" s="88"/>
      <c r="AK30" s="88"/>
      <c r="AM30">
        <v>5.9</v>
      </c>
      <c r="AN30" t="s">
        <v>219</v>
      </c>
      <c r="AO30" t="s">
        <v>220</v>
      </c>
      <c r="AP30" t="s">
        <v>221</v>
      </c>
      <c r="AQ30"/>
      <c r="AR30"/>
      <c r="AS30"/>
      <c r="AT30"/>
      <c r="AU30"/>
      <c r="AV30" s="45"/>
      <c r="AW30" s="45"/>
      <c r="AX30"/>
      <c r="AY30"/>
      <c r="AZ30" s="45"/>
      <c r="BA30"/>
      <c r="BB30"/>
      <c r="BC30" s="24">
        <f>L30/(W30/1000*(X30+Y30*N30))</f>
        <v>3.304548673097048E-9</v>
      </c>
      <c r="BD30" s="24"/>
    </row>
    <row r="31" spans="1:56" ht="15">
      <c r="A31" s="28" t="s">
        <v>25</v>
      </c>
      <c r="B31" s="66"/>
      <c r="C31" s="28">
        <v>3</v>
      </c>
      <c r="D31" s="67">
        <v>14.04</v>
      </c>
      <c r="E31" s="67">
        <v>13.72</v>
      </c>
      <c r="F31" s="24">
        <f t="shared" si="0"/>
        <v>2.3483611476E-26</v>
      </c>
      <c r="G31" s="24">
        <f t="shared" si="1"/>
        <v>1.2498077043199999E-29</v>
      </c>
      <c r="H31" s="25">
        <f t="shared" si="12"/>
        <v>1922.802532707738</v>
      </c>
      <c r="I31" s="25">
        <f t="shared" si="13"/>
        <v>1.0233236151603498</v>
      </c>
      <c r="J31" s="26">
        <f t="shared" si="14"/>
        <v>2.3471113398956799E-26</v>
      </c>
      <c r="K31" s="28">
        <v>37.179130000000008</v>
      </c>
      <c r="L31" s="28">
        <f>0.123*EXP(29800/(8.3144598*N31))/1000</f>
        <v>1.6457220475546555E-2</v>
      </c>
      <c r="M31" s="29">
        <f t="shared" si="15"/>
        <v>1.366120218579235E-3</v>
      </c>
      <c r="N31" s="28">
        <v>732</v>
      </c>
      <c r="O31" s="28">
        <v>1.6467062337415279E-5</v>
      </c>
      <c r="P31" s="28">
        <f t="shared" si="16"/>
        <v>3.6571793296224801E+28</v>
      </c>
      <c r="Q31" s="28">
        <v>1.629283268847662E-4</v>
      </c>
      <c r="U31" s="24">
        <f>0.72*U3+0.26*U11+0.02*U22</f>
        <v>1.9834000000000001E-10</v>
      </c>
      <c r="V31" s="31">
        <f t="shared" si="18"/>
        <v>1.9834000000000001</v>
      </c>
      <c r="W31" s="24">
        <v>2089937.112</v>
      </c>
      <c r="X31" s="28">
        <v>2348.7520215904742</v>
      </c>
      <c r="AB31" s="28">
        <v>3</v>
      </c>
      <c r="AC31" s="28">
        <v>7</v>
      </c>
      <c r="AD31" s="28">
        <f t="shared" si="19"/>
        <v>10</v>
      </c>
      <c r="AG31" s="28">
        <v>0.71518307597979902</v>
      </c>
      <c r="AH31" s="28" t="s">
        <v>26</v>
      </c>
      <c r="AI31" s="88"/>
      <c r="AJ31" s="88"/>
      <c r="AK31" s="88"/>
      <c r="AM31">
        <v>5.9</v>
      </c>
      <c r="AN31" t="s">
        <v>219</v>
      </c>
      <c r="AO31" t="s">
        <v>220</v>
      </c>
      <c r="AP31" t="s">
        <v>221</v>
      </c>
      <c r="AQ31"/>
      <c r="AR31"/>
      <c r="AS31"/>
      <c r="AT31"/>
      <c r="AU31"/>
      <c r="AV31" s="45"/>
      <c r="AW31" s="45"/>
      <c r="AX31"/>
      <c r="AY31"/>
      <c r="AZ31" s="45"/>
      <c r="BA31"/>
      <c r="BB31"/>
      <c r="BC31" s="24">
        <f>L31/(W31/1000*(X31+Y31*N31))</f>
        <v>3.352633671505172E-9</v>
      </c>
      <c r="BD31" s="24"/>
    </row>
    <row r="32" spans="1:56" ht="15">
      <c r="A32" s="28" t="s">
        <v>175</v>
      </c>
      <c r="B32" s="66"/>
      <c r="C32" s="28">
        <v>2</v>
      </c>
      <c r="D32" s="67">
        <v>31.24</v>
      </c>
      <c r="E32" s="67">
        <v>30.56</v>
      </c>
      <c r="F32" s="24">
        <f t="shared" si="0"/>
        <v>5.2252708155999992E-26</v>
      </c>
      <c r="G32" s="24">
        <f t="shared" si="1"/>
        <v>2.7838282393599999E-29</v>
      </c>
      <c r="H32" s="25">
        <f t="shared" si="12"/>
        <v>1918.7749643041277</v>
      </c>
      <c r="I32" s="25">
        <f t="shared" si="13"/>
        <v>1.0222513089005236</v>
      </c>
      <c r="J32" s="26">
        <f t="shared" si="14"/>
        <v>5.2224869873606396E-26</v>
      </c>
      <c r="K32" s="28">
        <v>88.599896000000015</v>
      </c>
      <c r="L32" s="28"/>
      <c r="M32" s="29">
        <f t="shared" si="15"/>
        <v>1.4335889900365566E-3</v>
      </c>
      <c r="N32" s="28">
        <v>697.55</v>
      </c>
      <c r="O32" s="28">
        <v>5.0411903343394867E-5</v>
      </c>
      <c r="P32" s="28">
        <f t="shared" si="16"/>
        <v>1.1946186516659385E+28</v>
      </c>
      <c r="Q32" s="28">
        <v>2.3528262366250769E-4</v>
      </c>
      <c r="U32" s="24">
        <f>0.32*U10+0.68*U14</f>
        <v>2.7276E-10</v>
      </c>
      <c r="V32" s="31">
        <f t="shared" si="18"/>
        <v>2.7275999999999998</v>
      </c>
      <c r="W32" s="24">
        <v>1755710.5584</v>
      </c>
      <c r="X32" s="28">
        <v>2039.5014589190009</v>
      </c>
      <c r="AB32" s="28">
        <v>2</v>
      </c>
      <c r="AC32" s="28">
        <v>3</v>
      </c>
      <c r="AD32" s="28">
        <f t="shared" si="19"/>
        <v>5</v>
      </c>
      <c r="AI32" s="88"/>
      <c r="AJ32" s="88"/>
      <c r="AK32" s="88"/>
      <c r="AM32">
        <v>5.2</v>
      </c>
      <c r="AN32" t="s">
        <v>222</v>
      </c>
      <c r="AO32" t="s">
        <v>203</v>
      </c>
      <c r="AP32" t="s">
        <v>204</v>
      </c>
      <c r="AQ32"/>
      <c r="AR32"/>
      <c r="AS32"/>
      <c r="AT32"/>
      <c r="AU32"/>
      <c r="AV32" s="45"/>
      <c r="AW32" s="45"/>
      <c r="AX32"/>
      <c r="AY32"/>
      <c r="AZ32" s="45"/>
      <c r="BA32"/>
      <c r="BB32"/>
      <c r="BC32" s="24"/>
      <c r="BD32" s="24"/>
    </row>
    <row r="33" spans="1:56" ht="15">
      <c r="A33" s="28" t="s">
        <v>176</v>
      </c>
      <c r="B33" s="66"/>
      <c r="C33" s="28">
        <v>3</v>
      </c>
      <c r="D33" s="67">
        <v>31.2639</v>
      </c>
      <c r="E33" s="67">
        <v>31.1128</v>
      </c>
      <c r="F33" s="24">
        <f t="shared" si="0"/>
        <v>5.2292683819409995E-26</v>
      </c>
      <c r="G33" s="24">
        <f t="shared" si="1"/>
        <v>2.8341849229567998E-29</v>
      </c>
      <c r="H33" s="25">
        <f t="shared" si="12"/>
        <v>1854.0301999029296</v>
      </c>
      <c r="I33" s="25">
        <f t="shared" si="13"/>
        <v>1.004856522074516</v>
      </c>
      <c r="J33" s="26">
        <f t="shared" si="14"/>
        <v>5.2264341970180427E-26</v>
      </c>
      <c r="K33" s="28">
        <v>70.265004930000003</v>
      </c>
      <c r="L33" s="28"/>
      <c r="M33" s="29">
        <f t="shared" si="15"/>
        <v>1.4824697946779336E-3</v>
      </c>
      <c r="N33" s="28">
        <v>674.55</v>
      </c>
      <c r="O33" s="28">
        <v>3.9907749542334093E-5</v>
      </c>
      <c r="P33" s="28">
        <f t="shared" si="16"/>
        <v>1.5090552759963453E+28</v>
      </c>
      <c r="Q33" s="28">
        <v>3.2881887812902358E-4</v>
      </c>
      <c r="U33" s="24">
        <f>0.4598*U9+0.3891*U10+0.1511*U14</f>
        <v>2.9217239999999997E-10</v>
      </c>
      <c r="V33" s="31">
        <f t="shared" si="18"/>
        <v>2.9217239999999998</v>
      </c>
      <c r="W33" s="24">
        <v>1761444.9958345001</v>
      </c>
      <c r="X33" s="28">
        <v>2024.776905844504</v>
      </c>
      <c r="AB33" s="28">
        <v>3</v>
      </c>
      <c r="AC33" s="28">
        <v>4</v>
      </c>
      <c r="AD33" s="28">
        <f t="shared" si="19"/>
        <v>7</v>
      </c>
      <c r="AG33" s="28">
        <v>0.47124631205523398</v>
      </c>
      <c r="AH33" s="28" t="s">
        <v>45</v>
      </c>
      <c r="AI33" s="88"/>
      <c r="AJ33" s="88"/>
      <c r="AK33" s="88"/>
      <c r="AM33">
        <v>5.2</v>
      </c>
      <c r="AN33" t="s">
        <v>222</v>
      </c>
      <c r="AO33" t="s">
        <v>203</v>
      </c>
      <c r="AP33" t="s">
        <v>204</v>
      </c>
      <c r="AQ33"/>
      <c r="AR33"/>
      <c r="AS33"/>
      <c r="AT33"/>
      <c r="AU33"/>
      <c r="AV33" s="45"/>
      <c r="AW33" s="45"/>
      <c r="AX33"/>
      <c r="AY33"/>
      <c r="AZ33" s="45"/>
      <c r="BA33"/>
      <c r="BB33"/>
      <c r="BC33" s="24"/>
      <c r="BD33" s="24"/>
    </row>
    <row r="34" spans="1:56" ht="15">
      <c r="A34" s="28" t="s">
        <v>64</v>
      </c>
      <c r="B34" s="66"/>
      <c r="C34" s="28">
        <v>3</v>
      </c>
      <c r="D34" s="67">
        <v>24.785</v>
      </c>
      <c r="E34" s="67">
        <v>24.72</v>
      </c>
      <c r="F34" s="24">
        <f t="shared" si="0"/>
        <v>4.1455933791499998E-26</v>
      </c>
      <c r="G34" s="24">
        <f t="shared" si="1"/>
        <v>2.2518401203199998E-29</v>
      </c>
      <c r="H34" s="25">
        <f t="shared" si="12"/>
        <v>1845.8211004781881</v>
      </c>
      <c r="I34" s="25">
        <f t="shared" si="13"/>
        <v>1.0026294498381878</v>
      </c>
      <c r="J34" s="26">
        <f t="shared" si="14"/>
        <v>4.1433415390296795E-26</v>
      </c>
      <c r="K34" s="28">
        <v>52.812707000000003</v>
      </c>
      <c r="L34" s="28"/>
      <c r="M34" s="29">
        <f t="shared" si="15"/>
        <v>1.0416666666666667E-3</v>
      </c>
      <c r="N34" s="28">
        <v>960</v>
      </c>
      <c r="O34" s="28">
        <v>2.5195547395480521E-5</v>
      </c>
      <c r="P34" s="28">
        <f t="shared" si="16"/>
        <v>2.3902239175324511E+28</v>
      </c>
      <c r="Q34" s="28">
        <v>3.1944977764052052E-4</v>
      </c>
      <c r="U34" s="24">
        <f>0.345*U4+0.59*U5+0.065*U12</f>
        <v>2.5429000000000001E-10</v>
      </c>
      <c r="V34" s="31">
        <f t="shared" si="18"/>
        <v>2.5428999999999999</v>
      </c>
      <c r="W34" s="24">
        <v>2110100.6</v>
      </c>
      <c r="X34" s="28">
        <v>1885.1934295243609</v>
      </c>
      <c r="AB34" s="28">
        <v>3</v>
      </c>
      <c r="AC34" s="28">
        <v>4</v>
      </c>
      <c r="AD34" s="28">
        <f t="shared" si="19"/>
        <v>7</v>
      </c>
      <c r="AG34" s="28">
        <v>0.76602038472580902</v>
      </c>
      <c r="AH34" s="28" t="s">
        <v>46</v>
      </c>
      <c r="AI34" s="88"/>
      <c r="AJ34" s="88"/>
      <c r="AK34" s="88"/>
      <c r="AM34">
        <v>5.9</v>
      </c>
      <c r="AN34" t="s">
        <v>219</v>
      </c>
      <c r="AO34" t="s">
        <v>220</v>
      </c>
      <c r="AP34" t="s">
        <v>221</v>
      </c>
      <c r="AQ34"/>
      <c r="AR34"/>
      <c r="AS34"/>
      <c r="AT34"/>
      <c r="AU34"/>
      <c r="AV34" s="45"/>
      <c r="AW34" s="45"/>
      <c r="AX34"/>
      <c r="AY34"/>
      <c r="AZ34" s="45"/>
      <c r="BA34"/>
      <c r="BB34"/>
      <c r="BC34" s="24"/>
      <c r="BD34" s="24"/>
    </row>
    <row r="35" spans="1:56" ht="15">
      <c r="A35" s="28" t="s">
        <v>177</v>
      </c>
      <c r="B35" s="66"/>
      <c r="C35" s="28">
        <v>2</v>
      </c>
      <c r="D35" s="67">
        <v>26.687999999999999</v>
      </c>
      <c r="E35" s="67">
        <v>26.687999999999999</v>
      </c>
      <c r="F35" s="24">
        <f t="shared" si="0"/>
        <v>4.46389332672E-26</v>
      </c>
      <c r="G35" s="24">
        <f t="shared" si="1"/>
        <v>2.4311128289279996E-29</v>
      </c>
      <c r="H35" s="25">
        <f t="shared" si="12"/>
        <v>1836.1522647586687</v>
      </c>
      <c r="I35" s="25">
        <f t="shared" si="13"/>
        <v>1</v>
      </c>
      <c r="J35" s="26">
        <f t="shared" si="14"/>
        <v>4.4614622138910719E-26</v>
      </c>
      <c r="K35" s="28">
        <v>55.835751400000007</v>
      </c>
      <c r="L35" s="28">
        <f>0.087*EXP(20900/(8.3144598*N35))/1000</f>
        <v>4.643717802745531E-3</v>
      </c>
      <c r="M35" s="29">
        <f t="shared" si="15"/>
        <v>1.5822784810126582E-3</v>
      </c>
      <c r="N35" s="28">
        <v>632</v>
      </c>
      <c r="O35" s="28">
        <v>3.2950648962882389E-5</v>
      </c>
      <c r="P35" s="28">
        <f t="shared" si="16"/>
        <v>1.827672652755302E+28</v>
      </c>
      <c r="Q35" s="28">
        <v>3.3829968336054601E-4</v>
      </c>
      <c r="U35" s="24">
        <f>0.582*U8+0.418*U10</f>
        <v>2.8291599999999996E-10</v>
      </c>
      <c r="V35" s="31">
        <f t="shared" si="18"/>
        <v>2.8291599999999995</v>
      </c>
      <c r="W35" s="24">
        <v>1676175.3472</v>
      </c>
      <c r="X35" s="28">
        <v>2084.8843456983841</v>
      </c>
      <c r="AB35" s="28">
        <v>2</v>
      </c>
      <c r="AC35" s="28">
        <v>2</v>
      </c>
      <c r="AD35" s="28">
        <f t="shared" si="19"/>
        <v>4</v>
      </c>
      <c r="AI35" s="88"/>
      <c r="AJ35" s="88"/>
      <c r="AK35" s="88"/>
      <c r="AM35">
        <v>5.2</v>
      </c>
      <c r="AN35" t="s">
        <v>222</v>
      </c>
      <c r="AO35" t="s">
        <v>203</v>
      </c>
      <c r="AP35" t="s">
        <v>204</v>
      </c>
      <c r="AQ35"/>
      <c r="AR35"/>
      <c r="AS35"/>
      <c r="AT35"/>
      <c r="AU35"/>
      <c r="AV35" s="45"/>
      <c r="AW35" s="45"/>
      <c r="AX35"/>
      <c r="AY35"/>
      <c r="AZ35" s="45"/>
      <c r="BA35"/>
      <c r="BB35"/>
      <c r="BC35" s="24">
        <f t="shared" ref="BC35:BC42" si="49">L35/(W35/1000*(X35+Y35*N35))</f>
        <v>1.3288146350028744E-9</v>
      </c>
      <c r="BD35" s="24"/>
    </row>
    <row r="36" spans="1:56" ht="15">
      <c r="A36" s="28" t="s">
        <v>178</v>
      </c>
      <c r="B36" s="66"/>
      <c r="C36" s="28">
        <v>2</v>
      </c>
      <c r="D36" s="67">
        <v>15.2</v>
      </c>
      <c r="E36" s="67">
        <v>15.2</v>
      </c>
      <c r="F36" s="24">
        <f t="shared" si="0"/>
        <v>2.5423852879999997E-26</v>
      </c>
      <c r="G36" s="24">
        <f t="shared" si="1"/>
        <v>1.3846266111999999E-29</v>
      </c>
      <c r="H36" s="25">
        <f t="shared" si="12"/>
        <v>1836.152264758668</v>
      </c>
      <c r="I36" s="25">
        <f t="shared" si="13"/>
        <v>1</v>
      </c>
      <c r="J36" s="26">
        <f t="shared" si="14"/>
        <v>2.5410006613887998E-26</v>
      </c>
      <c r="K36" s="28">
        <v>32.358600000000003</v>
      </c>
      <c r="L36" s="28">
        <f>0.116*EXP(26800/(8.3144598*N36))/1000</f>
        <v>3.9071251973790879E-3</v>
      </c>
      <c r="M36" s="29">
        <f t="shared" si="15"/>
        <v>1.0911074740861974E-3</v>
      </c>
      <c r="N36" s="28">
        <v>916.5</v>
      </c>
      <c r="O36" s="28">
        <v>1.5885583505580338E-5</v>
      </c>
      <c r="P36" s="28">
        <f t="shared" si="16"/>
        <v>3.7910473970845748E+28</v>
      </c>
      <c r="Q36" s="28">
        <v>2.7773488865206569E-4</v>
      </c>
      <c r="U36" s="24">
        <f>0.6*U3+0.4*U4</f>
        <v>2.1940000000000001E-10</v>
      </c>
      <c r="V36" s="31">
        <f t="shared" si="18"/>
        <v>2.194</v>
      </c>
      <c r="W36" s="24">
        <v>2014141.42</v>
      </c>
      <c r="X36" s="28">
        <v>2298.228366828082</v>
      </c>
      <c r="AB36" s="28">
        <v>2</v>
      </c>
      <c r="AC36" s="28">
        <v>2</v>
      </c>
      <c r="AD36" s="28">
        <f t="shared" si="19"/>
        <v>4</v>
      </c>
      <c r="AI36" s="88"/>
      <c r="AJ36" s="88"/>
      <c r="AK36" s="88"/>
      <c r="AM36">
        <v>5.9</v>
      </c>
      <c r="AN36" t="s">
        <v>219</v>
      </c>
      <c r="AO36" t="s">
        <v>220</v>
      </c>
      <c r="AP36" t="s">
        <v>221</v>
      </c>
      <c r="AQ36"/>
      <c r="AR36"/>
      <c r="AS36"/>
      <c r="AT36"/>
      <c r="AU36"/>
      <c r="AV36" s="45"/>
      <c r="AW36" s="45"/>
      <c r="AX36"/>
      <c r="AY36"/>
      <c r="AZ36" s="45"/>
      <c r="BA36"/>
      <c r="BB36"/>
      <c r="BC36" s="24">
        <f t="shared" si="49"/>
        <v>8.4406168446792717E-10</v>
      </c>
      <c r="BD36" s="24"/>
    </row>
    <row r="37" spans="1:56" ht="15">
      <c r="A37" s="28" t="s">
        <v>179</v>
      </c>
      <c r="B37" s="66"/>
      <c r="C37" s="28">
        <v>2</v>
      </c>
      <c r="D37" s="67">
        <v>57.97</v>
      </c>
      <c r="E37" s="67">
        <v>57.23</v>
      </c>
      <c r="F37" s="24">
        <f t="shared" si="0"/>
        <v>9.6961891543000003E-26</v>
      </c>
      <c r="G37" s="24">
        <f t="shared" si="1"/>
        <v>5.2133013788799995E-29</v>
      </c>
      <c r="H37" s="25">
        <f t="shared" si="12"/>
        <v>1883.9431857125064</v>
      </c>
      <c r="I37" s="25">
        <f t="shared" si="13"/>
        <v>1.0129302813209855</v>
      </c>
      <c r="J37" s="26">
        <f t="shared" si="14"/>
        <v>9.6909758529211207E-26</v>
      </c>
      <c r="K37" s="28">
        <v>164.240723</v>
      </c>
      <c r="L37" s="28">
        <f>10^(-1.2675+1704/N37+0/N37^2)/1000</f>
        <v>8.0532167424896099E-3</v>
      </c>
      <c r="M37" s="29">
        <f t="shared" si="15"/>
        <v>1.2755102040816326E-3</v>
      </c>
      <c r="N37" s="28">
        <v>784</v>
      </c>
      <c r="O37" s="28">
        <v>4.607843109406244E-5</v>
      </c>
      <c r="P37" s="28">
        <f t="shared" si="16"/>
        <v>1.3069672419415382E+28</v>
      </c>
      <c r="Q37" s="28">
        <v>3.4092675768507421E-4</v>
      </c>
      <c r="U37" s="24">
        <f>0.63*U9+0.37*U23</f>
        <v>2.8818000000000003E-10</v>
      </c>
      <c r="V37" s="31">
        <f t="shared" si="18"/>
        <v>2.8818000000000001</v>
      </c>
      <c r="W37" s="24">
        <v>2996639.6639999989</v>
      </c>
      <c r="X37" s="28">
        <v>1451.7494609289899</v>
      </c>
      <c r="AB37" s="28">
        <v>2</v>
      </c>
      <c r="AC37" s="28">
        <v>4</v>
      </c>
      <c r="AD37" s="28">
        <f t="shared" si="19"/>
        <v>6</v>
      </c>
      <c r="AG37" s="28">
        <v>0.25012654659262501</v>
      </c>
      <c r="AH37" s="28" t="s">
        <v>28</v>
      </c>
      <c r="AI37" s="88"/>
      <c r="AJ37" s="88"/>
      <c r="AK37" s="88"/>
      <c r="AM37">
        <v>5.2</v>
      </c>
      <c r="AN37" t="s">
        <v>222</v>
      </c>
      <c r="AO37" t="s">
        <v>203</v>
      </c>
      <c r="AP37" t="s">
        <v>204</v>
      </c>
      <c r="AQ37"/>
      <c r="AR37"/>
      <c r="AS37"/>
      <c r="AT37"/>
      <c r="AU37"/>
      <c r="AV37" s="45"/>
      <c r="AW37" s="45"/>
      <c r="AX37"/>
      <c r="AY37"/>
      <c r="AZ37" s="45"/>
      <c r="BA37"/>
      <c r="BB37"/>
      <c r="BC37" s="24">
        <f t="shared" si="49"/>
        <v>1.8511567318115176E-9</v>
      </c>
      <c r="BD37" s="24"/>
    </row>
    <row r="38" spans="1:56" ht="15">
      <c r="A38" s="28" t="s">
        <v>180</v>
      </c>
      <c r="B38" s="66"/>
      <c r="C38" s="28">
        <v>2</v>
      </c>
      <c r="D38" s="67">
        <v>55.701999999999998</v>
      </c>
      <c r="E38" s="67">
        <v>55.018000000000001</v>
      </c>
      <c r="F38" s="24">
        <f t="shared" si="0"/>
        <v>9.3168385073799999E-26</v>
      </c>
      <c r="G38" s="24">
        <f t="shared" si="1"/>
        <v>5.0118017694079994E-29</v>
      </c>
      <c r="H38" s="25">
        <f t="shared" si="12"/>
        <v>1882.0912368640552</v>
      </c>
      <c r="I38" s="25">
        <f t="shared" si="13"/>
        <v>1.0124322948853102</v>
      </c>
      <c r="J38" s="26">
        <f t="shared" si="14"/>
        <v>9.3118267056105916E-26</v>
      </c>
      <c r="K38" s="28">
        <v>156.23418179999999</v>
      </c>
      <c r="L38" s="28">
        <f>10^(-1.2179+1557/N38+0/N38^2)/1000</f>
        <v>5.8623181999963962E-3</v>
      </c>
      <c r="M38" s="29">
        <f>N38^-1</f>
        <v>1.2755102040816326E-3</v>
      </c>
      <c r="N38" s="28">
        <v>784</v>
      </c>
      <c r="O38" s="28">
        <v>4.5172248870240592E-5</v>
      </c>
      <c r="P38" s="28">
        <f t="shared" si="16"/>
        <v>1.333185783444021E+28</v>
      </c>
      <c r="Q38" s="28">
        <v>3.4144514086291769E-4</v>
      </c>
      <c r="U38" s="24">
        <f>0.658*U9+0.342*U23</f>
        <v>2.8778800000000003E-10</v>
      </c>
      <c r="V38" s="31">
        <f t="shared" si="18"/>
        <v>2.8778800000000002</v>
      </c>
      <c r="W38" s="24">
        <v>2899543.8624</v>
      </c>
      <c r="X38" s="28">
        <v>1470.4555590061771</v>
      </c>
      <c r="AB38" s="28">
        <v>2</v>
      </c>
      <c r="AC38" s="28">
        <v>4</v>
      </c>
      <c r="AD38" s="28">
        <f t="shared" si="19"/>
        <v>6</v>
      </c>
      <c r="AG38" s="28">
        <v>0.206944273557648</v>
      </c>
      <c r="AH38" s="28" t="s">
        <v>30</v>
      </c>
      <c r="AI38" s="88"/>
      <c r="AJ38" s="88"/>
      <c r="AK38" s="88"/>
      <c r="AM38">
        <v>5.2</v>
      </c>
      <c r="AN38" t="s">
        <v>222</v>
      </c>
      <c r="AO38" t="s">
        <v>203</v>
      </c>
      <c r="AP38" t="s">
        <v>204</v>
      </c>
      <c r="AQ38"/>
      <c r="AR38"/>
      <c r="AS38"/>
      <c r="AT38"/>
      <c r="AU38"/>
      <c r="AV38" s="45"/>
      <c r="AW38" s="45"/>
      <c r="AX38"/>
      <c r="AY38"/>
      <c r="AZ38" s="45"/>
      <c r="BA38"/>
      <c r="BB38"/>
      <c r="BC38" s="24">
        <f t="shared" si="49"/>
        <v>1.3749528367298905E-9</v>
      </c>
      <c r="BD38" s="24"/>
    </row>
    <row r="39" spans="1:56" customFormat="1" ht="18.75">
      <c r="A39" t="s">
        <v>181</v>
      </c>
      <c r="K39">
        <v>128.10887</v>
      </c>
      <c r="L39" s="28">
        <f>0.0767*EXP(39300/(8.3144598*N39))/1000</f>
        <v>9.0410766995504526E-3</v>
      </c>
      <c r="N39">
        <v>991</v>
      </c>
      <c r="O39">
        <v>3.02434243367421E-5</v>
      </c>
      <c r="P39" s="28">
        <f t="shared" si="16"/>
        <v>1.9912758333664071E+28</v>
      </c>
      <c r="Q39">
        <v>2.3876282234647119E-4</v>
      </c>
      <c r="S39" s="68"/>
      <c r="T39" s="68"/>
      <c r="U39" s="45">
        <f>0.582*U4+0.388*U5+0.3*U22</f>
        <v>3.0851800000000002E-10</v>
      </c>
      <c r="V39" s="31">
        <f t="shared" si="18"/>
        <v>3.0851800000000003</v>
      </c>
      <c r="W39">
        <v>3498633.56</v>
      </c>
      <c r="X39" t="e">
        <f>#REF!</f>
        <v>#REF!</v>
      </c>
      <c r="AB39">
        <v>3</v>
      </c>
      <c r="AC39">
        <v>6</v>
      </c>
      <c r="AD39" s="28">
        <f t="shared" si="19"/>
        <v>9</v>
      </c>
      <c r="AE39" s="28"/>
      <c r="AF39" s="28"/>
      <c r="AG39" s="28">
        <v>0.519012345679012</v>
      </c>
      <c r="AH39" s="28" t="s">
        <v>35</v>
      </c>
      <c r="AI39" s="88"/>
      <c r="AJ39" s="88"/>
      <c r="AK39" s="88"/>
      <c r="AL39" s="28"/>
      <c r="AM39">
        <v>5.9</v>
      </c>
      <c r="AN39" t="s">
        <v>219</v>
      </c>
      <c r="AO39" t="s">
        <v>220</v>
      </c>
      <c r="AP39" t="s">
        <v>221</v>
      </c>
      <c r="AV39" s="45"/>
      <c r="AW39" s="45"/>
      <c r="AZ39" s="45"/>
      <c r="BC39" s="24" t="e">
        <f t="shared" si="49"/>
        <v>#REF!</v>
      </c>
      <c r="BD39" s="24"/>
    </row>
    <row r="40" spans="1:56" customFormat="1" ht="18.75">
      <c r="A40" t="s">
        <v>182</v>
      </c>
      <c r="G40" s="68"/>
      <c r="H40" s="68"/>
      <c r="K40">
        <v>154.66795999999999</v>
      </c>
      <c r="L40" s="28">
        <f>0.0767*EXP(39300/(8.3144598*N40))/1000</f>
        <v>8.1514268008243823E-3</v>
      </c>
      <c r="N40">
        <v>1013</v>
      </c>
      <c r="O40">
        <v>3.2645143022437789E-5</v>
      </c>
      <c r="P40" s="28">
        <f t="shared" si="16"/>
        <v>1.8447767240170242E+28</v>
      </c>
      <c r="Q40">
        <v>2.2077562764566649E-4</v>
      </c>
      <c r="U40" s="45">
        <f>0.576*U4+0.384*U5+0.4*U22</f>
        <v>3.2822400000000001E-10</v>
      </c>
      <c r="V40" s="31">
        <f t="shared" si="18"/>
        <v>3.2822400000000003</v>
      </c>
      <c r="W40">
        <v>3957693.64</v>
      </c>
      <c r="X40" t="e">
        <f>#REF!</f>
        <v>#REF!</v>
      </c>
      <c r="AB40">
        <v>3</v>
      </c>
      <c r="AC40">
        <v>6</v>
      </c>
      <c r="AD40" s="28">
        <f t="shared" si="19"/>
        <v>9</v>
      </c>
      <c r="AE40" s="28"/>
      <c r="AF40" s="28"/>
      <c r="AG40" s="28">
        <v>0.50823423423423297</v>
      </c>
      <c r="AH40" s="28" t="s">
        <v>37</v>
      </c>
      <c r="AI40" s="88"/>
      <c r="AJ40" s="88"/>
      <c r="AK40" s="88"/>
      <c r="AL40" s="28"/>
      <c r="AM40">
        <v>5.9</v>
      </c>
      <c r="AN40" t="s">
        <v>219</v>
      </c>
      <c r="AO40" t="s">
        <v>220</v>
      </c>
      <c r="AP40" t="s">
        <v>221</v>
      </c>
      <c r="AV40" s="45"/>
      <c r="AW40" s="45"/>
      <c r="AZ40" s="45"/>
      <c r="BC40" s="24" t="e">
        <f t="shared" si="49"/>
        <v>#REF!</v>
      </c>
      <c r="BD40" s="24"/>
    </row>
    <row r="41" spans="1:56" customFormat="1" ht="18.75">
      <c r="A41" t="s">
        <v>183</v>
      </c>
      <c r="G41" s="68"/>
      <c r="H41" s="68"/>
      <c r="K41">
        <v>181.22704999999999</v>
      </c>
      <c r="L41" s="28">
        <f>0.0767*EXP(39300/(8.3144598*N41))/1000</f>
        <v>7.8587878713746243E-3</v>
      </c>
      <c r="N41">
        <v>1021</v>
      </c>
      <c r="O41">
        <v>3.4949140082044292E-5</v>
      </c>
      <c r="P41" s="28">
        <f t="shared" si="16"/>
        <v>1.7231611381174034E+28</v>
      </c>
      <c r="Q41">
        <v>2.050117820240356E-4</v>
      </c>
      <c r="U41" s="45">
        <f>0.57*U4+0.38*U5+0.5*U22</f>
        <v>3.4792999999999996E-10</v>
      </c>
      <c r="V41" s="31">
        <f t="shared" si="18"/>
        <v>3.4792999999999994</v>
      </c>
      <c r="W41">
        <v>4426131.4000000004</v>
      </c>
      <c r="X41" t="e">
        <f>#REF!</f>
        <v>#REF!</v>
      </c>
      <c r="AB41">
        <v>3</v>
      </c>
      <c r="AC41">
        <v>6</v>
      </c>
      <c r="AD41" s="28">
        <f t="shared" si="19"/>
        <v>9</v>
      </c>
      <c r="AE41" s="28"/>
      <c r="AF41" s="28"/>
      <c r="AG41" s="28">
        <v>0.40028571428571402</v>
      </c>
      <c r="AH41" s="28" t="s">
        <v>39</v>
      </c>
      <c r="AI41" s="88"/>
      <c r="AJ41" s="88"/>
      <c r="AK41" s="88"/>
      <c r="AL41" s="28"/>
      <c r="AM41">
        <v>5.9</v>
      </c>
      <c r="AN41" t="s">
        <v>219</v>
      </c>
      <c r="AO41" t="s">
        <v>220</v>
      </c>
      <c r="AP41" t="s">
        <v>221</v>
      </c>
      <c r="AV41" s="45"/>
      <c r="AW41" s="45"/>
      <c r="AZ41" s="45"/>
      <c r="BC41" s="24" t="e">
        <f t="shared" si="49"/>
        <v>#REF!</v>
      </c>
      <c r="BD41" s="24"/>
    </row>
    <row r="42" spans="1:56" ht="15">
      <c r="A42" s="73" t="s">
        <v>184</v>
      </c>
      <c r="B42" s="66">
        <v>0.01</v>
      </c>
      <c r="C42" s="73">
        <v>1</v>
      </c>
      <c r="D42" s="73">
        <v>10</v>
      </c>
      <c r="E42" s="73">
        <v>10</v>
      </c>
      <c r="F42" s="24">
        <f>D42*1.6726219E-27</f>
        <v>1.6726219000000001E-26</v>
      </c>
      <c r="G42" s="24">
        <f t="shared" si="1"/>
        <v>9.1093856E-30</v>
      </c>
      <c r="H42" s="25">
        <f t="shared" si="12"/>
        <v>1836.1522647586683</v>
      </c>
      <c r="I42" s="25">
        <f t="shared" si="13"/>
        <v>1</v>
      </c>
      <c r="J42" s="26">
        <f t="shared" si="14"/>
        <v>1.6717109614400002E-26</v>
      </c>
      <c r="K42" s="58">
        <v>18.015000000000001</v>
      </c>
      <c r="L42" s="74">
        <v>1.7930000000000001E-3</v>
      </c>
      <c r="M42" s="29">
        <f t="shared" si="15"/>
        <v>3.6609921288669233E-3</v>
      </c>
      <c r="N42" s="28">
        <v>273.14999999999998</v>
      </c>
      <c r="O42" s="62">
        <v>1.802E-5</v>
      </c>
      <c r="P42" s="28">
        <f t="shared" si="16"/>
        <v>3.3420088790233074E+28</v>
      </c>
      <c r="Q42" s="62">
        <v>5.1E-5</v>
      </c>
      <c r="U42" s="24">
        <v>3.1000000000000002E-10</v>
      </c>
      <c r="V42" s="31">
        <f t="shared" si="18"/>
        <v>3.1</v>
      </c>
      <c r="W42" s="24">
        <v>999840</v>
      </c>
      <c r="X42" s="28">
        <v>1403</v>
      </c>
      <c r="Y42" s="28">
        <v>0</v>
      </c>
      <c r="Z42" s="62">
        <v>999840</v>
      </c>
      <c r="AA42" s="28">
        <v>0</v>
      </c>
      <c r="AI42" s="88"/>
      <c r="AJ42" s="88"/>
      <c r="AK42" s="88"/>
      <c r="AM42" s="45"/>
      <c r="AN42" s="45"/>
      <c r="AO42" s="45"/>
      <c r="AP42" s="45"/>
      <c r="AQ42"/>
      <c r="AR42"/>
      <c r="AS42"/>
      <c r="AT42"/>
      <c r="AU42"/>
      <c r="AV42" s="45"/>
      <c r="AW42" s="45"/>
      <c r="AX42"/>
      <c r="AY42"/>
      <c r="AZ42" s="45"/>
      <c r="BA42"/>
      <c r="BB42"/>
      <c r="BC42" s="24">
        <f t="shared" si="49"/>
        <v>1.2781802750592626E-9</v>
      </c>
      <c r="BD42" s="24"/>
    </row>
    <row r="43" spans="1:56">
      <c r="M43" s="28"/>
      <c r="N43" s="28"/>
      <c r="AI43" s="88"/>
      <c r="AJ43" s="88"/>
      <c r="AK43" s="88"/>
    </row>
    <row r="44" spans="1:56">
      <c r="M44" s="28"/>
      <c r="N44" s="28"/>
      <c r="AI44" s="88"/>
      <c r="AJ44" s="88"/>
      <c r="AK44" s="88"/>
    </row>
    <row r="45" spans="1:56" ht="15" thickBot="1">
      <c r="M45" s="28"/>
      <c r="N45" s="28"/>
      <c r="AI45" s="88"/>
      <c r="AJ45" s="88"/>
      <c r="AK45" s="88"/>
      <c r="AM45" s="4" t="s">
        <v>223</v>
      </c>
    </row>
    <row r="46" spans="1:56">
      <c r="M46" s="28"/>
      <c r="N46" s="28"/>
      <c r="AM46" s="45">
        <v>8.8541900000000007E-12</v>
      </c>
    </row>
    <row r="47" spans="1:56">
      <c r="M47" s="28"/>
      <c r="N47" s="28"/>
      <c r="AM47" t="s">
        <v>228</v>
      </c>
    </row>
    <row r="48" spans="1:56">
      <c r="M48" s="28"/>
      <c r="N48" s="28"/>
      <c r="AM48" s="85">
        <v>1.3806490000000001E-23</v>
      </c>
    </row>
    <row r="49" spans="7:39">
      <c r="K49" s="28"/>
      <c r="M49" s="28"/>
      <c r="N49" s="28"/>
      <c r="AM49" s="86" t="s">
        <v>229</v>
      </c>
    </row>
    <row r="50" spans="7:39">
      <c r="M50" s="28"/>
      <c r="N50" s="28"/>
      <c r="AM50" s="45">
        <v>1.602E-19</v>
      </c>
    </row>
    <row r="51" spans="7:39">
      <c r="M51" s="28"/>
      <c r="N51" s="28"/>
      <c r="AM51" t="s">
        <v>238</v>
      </c>
    </row>
    <row r="52" spans="7:39">
      <c r="G52" s="73" t="s">
        <v>157</v>
      </c>
      <c r="H52" s="73">
        <v>5.6672851556149997</v>
      </c>
      <c r="M52" s="28"/>
      <c r="N52" s="28"/>
      <c r="AM52" s="45">
        <f>AVERAGE(U3:U43)</f>
        <v>2.6046656000000006E-10</v>
      </c>
    </row>
    <row r="53" spans="7:39">
      <c r="G53" s="73" t="s">
        <v>158</v>
      </c>
      <c r="H53" s="73">
        <v>3.6125286079999999</v>
      </c>
      <c r="M53" s="28"/>
      <c r="N53" s="28"/>
    </row>
    <row r="54" spans="7:39">
      <c r="G54" s="73" t="s">
        <v>159</v>
      </c>
      <c r="H54" s="73">
        <v>2.1603079999999997</v>
      </c>
      <c r="M54" s="28"/>
      <c r="N54" s="28"/>
    </row>
    <row r="55" spans="7:39">
      <c r="M55" s="28"/>
      <c r="N55" s="28"/>
    </row>
    <row r="56" spans="7:39">
      <c r="M56" s="28"/>
      <c r="N56" s="28"/>
    </row>
  </sheetData>
  <mergeCells count="3">
    <mergeCell ref="AX1:AZ1"/>
    <mergeCell ref="AT1:AV1"/>
    <mergeCell ref="AI1:AJ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CFA-D48B-45AB-9049-95EA29176B49}">
  <dimension ref="A1:Y22"/>
  <sheetViews>
    <sheetView workbookViewId="0">
      <selection activeCell="D3" sqref="D3"/>
    </sheetView>
  </sheetViews>
  <sheetFormatPr defaultRowHeight="14.25"/>
  <cols>
    <col min="10" max="10" width="3.625" customWidth="1"/>
  </cols>
  <sheetData>
    <row r="1" spans="1:25">
      <c r="B1" t="s">
        <v>265</v>
      </c>
      <c r="O1" t="s">
        <v>266</v>
      </c>
    </row>
    <row r="2" spans="1:25">
      <c r="A2" t="s">
        <v>268</v>
      </c>
      <c r="B2" t="s">
        <v>198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K2" t="s">
        <v>259</v>
      </c>
      <c r="L2" t="s">
        <v>258</v>
      </c>
      <c r="M2">
        <f>AVERAGE(K3:K22)</f>
        <v>139.4</v>
      </c>
      <c r="O2" t="s">
        <v>198</v>
      </c>
      <c r="P2" t="s">
        <v>239</v>
      </c>
      <c r="Q2" t="s">
        <v>240</v>
      </c>
      <c r="R2" t="s">
        <v>241</v>
      </c>
      <c r="S2" t="s">
        <v>242</v>
      </c>
      <c r="T2" t="s">
        <v>243</v>
      </c>
      <c r="U2" t="s">
        <v>244</v>
      </c>
      <c r="V2" t="s">
        <v>245</v>
      </c>
      <c r="X2" t="s">
        <v>259</v>
      </c>
      <c r="Y2" t="s">
        <v>258</v>
      </c>
    </row>
    <row r="3" spans="1:25">
      <c r="B3" t="s">
        <v>152</v>
      </c>
      <c r="C3">
        <v>1218.1500000000001</v>
      </c>
      <c r="D3">
        <v>184</v>
      </c>
      <c r="E3">
        <v>5.2</v>
      </c>
      <c r="F3">
        <v>282</v>
      </c>
      <c r="G3">
        <v>14.6</v>
      </c>
      <c r="H3">
        <v>284</v>
      </c>
      <c r="I3">
        <v>14.9</v>
      </c>
      <c r="K3">
        <f>F3-D3</f>
        <v>98</v>
      </c>
      <c r="M3">
        <f>K3/D3</f>
        <v>0.53260869565217395</v>
      </c>
      <c r="O3" t="s">
        <v>152</v>
      </c>
      <c r="P3">
        <v>1118.1500000000001</v>
      </c>
      <c r="Q3">
        <v>186</v>
      </c>
      <c r="R3">
        <v>5.3</v>
      </c>
      <c r="S3">
        <v>280</v>
      </c>
      <c r="T3">
        <v>14.9</v>
      </c>
      <c r="U3">
        <v>284</v>
      </c>
      <c r="V3">
        <v>15</v>
      </c>
      <c r="Y3" t="e">
        <f>AVERAGE(X3:X23)</f>
        <v>#DIV/0!</v>
      </c>
    </row>
    <row r="4" spans="1:25">
      <c r="B4" t="s">
        <v>153</v>
      </c>
      <c r="C4">
        <v>1366.15</v>
      </c>
      <c r="D4">
        <v>214</v>
      </c>
      <c r="E4">
        <v>5</v>
      </c>
      <c r="F4">
        <v>326</v>
      </c>
      <c r="G4">
        <v>14.2</v>
      </c>
      <c r="H4">
        <v>334</v>
      </c>
      <c r="I4">
        <v>14.5</v>
      </c>
      <c r="K4">
        <f t="shared" ref="K4" si="0">F4-D4</f>
        <v>112</v>
      </c>
      <c r="M4">
        <f t="shared" ref="M4" si="1">K4/D4</f>
        <v>0.52336448598130836</v>
      </c>
      <c r="O4" t="s">
        <v>153</v>
      </c>
      <c r="P4">
        <v>1266.1500000000001</v>
      </c>
      <c r="Q4">
        <v>216</v>
      </c>
      <c r="R4">
        <v>5.0999999999999996</v>
      </c>
      <c r="S4">
        <v>326</v>
      </c>
      <c r="T4">
        <v>14.6</v>
      </c>
      <c r="U4">
        <v>332</v>
      </c>
      <c r="V4">
        <v>14.8</v>
      </c>
    </row>
    <row r="5" spans="1:25">
      <c r="B5" t="s">
        <v>154</v>
      </c>
      <c r="C5">
        <v>1231.1500000000001</v>
      </c>
      <c r="D5">
        <v>244</v>
      </c>
      <c r="E5">
        <v>4.8</v>
      </c>
      <c r="F5">
        <v>380</v>
      </c>
      <c r="G5">
        <v>13.3</v>
      </c>
      <c r="H5">
        <v>384</v>
      </c>
      <c r="I5">
        <v>13.7</v>
      </c>
      <c r="K5">
        <f t="shared" ref="K5" si="2">F5-D5</f>
        <v>136</v>
      </c>
      <c r="M5">
        <f t="shared" ref="M5" si="3">K5/D5</f>
        <v>0.55737704918032782</v>
      </c>
      <c r="O5" t="s">
        <v>154</v>
      </c>
      <c r="P5">
        <v>1131.1500000000001</v>
      </c>
      <c r="Q5">
        <v>246</v>
      </c>
      <c r="R5">
        <v>4.8</v>
      </c>
      <c r="S5">
        <v>378</v>
      </c>
      <c r="T5">
        <v>13.8</v>
      </c>
      <c r="U5">
        <v>382</v>
      </c>
      <c r="V5">
        <v>13.8</v>
      </c>
    </row>
    <row r="6" spans="1:25">
      <c r="B6" t="s">
        <v>155</v>
      </c>
      <c r="C6">
        <v>1168.1500000000001</v>
      </c>
      <c r="D6">
        <v>256</v>
      </c>
      <c r="E6">
        <v>4.5999999999999996</v>
      </c>
      <c r="F6">
        <v>400</v>
      </c>
      <c r="G6">
        <v>12.9</v>
      </c>
      <c r="H6">
        <v>406</v>
      </c>
      <c r="I6">
        <v>13</v>
      </c>
      <c r="K6">
        <f t="shared" ref="K6" si="4">F6-D6</f>
        <v>144</v>
      </c>
      <c r="M6">
        <f t="shared" ref="M6" si="5">K6/D6</f>
        <v>0.5625</v>
      </c>
      <c r="O6" t="s">
        <v>155</v>
      </c>
      <c r="P6">
        <v>1068.1500000000001</v>
      </c>
      <c r="Q6">
        <v>258</v>
      </c>
      <c r="R6">
        <v>4.7</v>
      </c>
      <c r="S6">
        <v>400</v>
      </c>
      <c r="T6">
        <v>13.5</v>
      </c>
      <c r="U6">
        <v>406</v>
      </c>
      <c r="V6">
        <v>13.4</v>
      </c>
    </row>
    <row r="7" spans="1:25">
      <c r="B7" t="s">
        <v>156</v>
      </c>
      <c r="C7">
        <v>1055.1500000000001</v>
      </c>
      <c r="D7">
        <v>276</v>
      </c>
      <c r="E7">
        <v>4.7</v>
      </c>
      <c r="F7">
        <v>424</v>
      </c>
      <c r="G7">
        <v>13.3</v>
      </c>
      <c r="H7">
        <v>428</v>
      </c>
      <c r="I7">
        <v>13.3</v>
      </c>
      <c r="K7">
        <f t="shared" ref="K7" si="6">F7-D7</f>
        <v>148</v>
      </c>
      <c r="M7">
        <f t="shared" ref="M7" si="7">K7/D7</f>
        <v>0.53623188405797106</v>
      </c>
      <c r="O7" t="s">
        <v>156</v>
      </c>
      <c r="P7">
        <v>955.15</v>
      </c>
      <c r="Q7">
        <v>278</v>
      </c>
      <c r="R7">
        <v>4.8</v>
      </c>
      <c r="S7">
        <v>424</v>
      </c>
      <c r="T7">
        <v>13.7</v>
      </c>
      <c r="U7">
        <v>422</v>
      </c>
      <c r="V7">
        <v>13.8</v>
      </c>
    </row>
    <row r="8" spans="1:25">
      <c r="B8" t="s">
        <v>157</v>
      </c>
      <c r="C8">
        <v>978.15</v>
      </c>
      <c r="D8">
        <v>236</v>
      </c>
      <c r="E8">
        <v>5</v>
      </c>
      <c r="F8">
        <v>352</v>
      </c>
      <c r="G8">
        <v>14.1</v>
      </c>
      <c r="H8">
        <v>362</v>
      </c>
      <c r="I8">
        <v>14.1</v>
      </c>
      <c r="K8">
        <f t="shared" ref="K8" si="8">F8-D8</f>
        <v>116</v>
      </c>
      <c r="M8">
        <f t="shared" ref="M8" si="9">K8/D8</f>
        <v>0.49152542372881358</v>
      </c>
      <c r="O8" t="s">
        <v>157</v>
      </c>
      <c r="P8">
        <v>878.15</v>
      </c>
      <c r="Q8">
        <v>238</v>
      </c>
      <c r="R8">
        <v>5.2</v>
      </c>
      <c r="S8">
        <v>352</v>
      </c>
      <c r="T8">
        <v>14.7</v>
      </c>
      <c r="U8">
        <v>358</v>
      </c>
      <c r="V8">
        <v>14.8</v>
      </c>
    </row>
    <row r="9" spans="1:25">
      <c r="B9" t="s">
        <v>158</v>
      </c>
      <c r="C9">
        <v>1174.1500000000001</v>
      </c>
      <c r="D9">
        <v>264</v>
      </c>
      <c r="E9">
        <v>5.0999999999999996</v>
      </c>
      <c r="F9">
        <v>396</v>
      </c>
      <c r="G9">
        <v>14.5</v>
      </c>
      <c r="H9">
        <v>404</v>
      </c>
      <c r="I9">
        <v>14.7</v>
      </c>
      <c r="K9">
        <f t="shared" ref="K9" si="10">F9-D9</f>
        <v>132</v>
      </c>
      <c r="M9">
        <f t="shared" ref="M9" si="11">K9/D9</f>
        <v>0.5</v>
      </c>
      <c r="O9" t="s">
        <v>158</v>
      </c>
      <c r="P9">
        <v>1074.1500000000001</v>
      </c>
      <c r="Q9">
        <v>264</v>
      </c>
      <c r="R9">
        <v>5.3</v>
      </c>
      <c r="S9">
        <v>392</v>
      </c>
      <c r="T9">
        <v>15.2</v>
      </c>
      <c r="U9">
        <v>398</v>
      </c>
      <c r="V9">
        <v>15.2</v>
      </c>
    </row>
    <row r="10" spans="1:25">
      <c r="B10" t="s">
        <v>159</v>
      </c>
      <c r="C10">
        <v>1143.1500000000001</v>
      </c>
      <c r="D10">
        <v>296</v>
      </c>
      <c r="E10">
        <v>5.2</v>
      </c>
      <c r="F10">
        <v>438</v>
      </c>
      <c r="G10">
        <v>15.2</v>
      </c>
      <c r="H10">
        <v>452</v>
      </c>
      <c r="I10">
        <v>15.1</v>
      </c>
      <c r="K10">
        <f t="shared" ref="K10" si="12">F10-D10</f>
        <v>142</v>
      </c>
      <c r="M10">
        <f t="shared" ref="M10" si="13">K10/D10</f>
        <v>0.47972972972972971</v>
      </c>
      <c r="O10" t="s">
        <v>159</v>
      </c>
      <c r="P10">
        <v>1043.1500000000001</v>
      </c>
      <c r="Q10">
        <v>296</v>
      </c>
      <c r="R10">
        <v>5.4</v>
      </c>
      <c r="S10">
        <v>438</v>
      </c>
      <c r="T10">
        <v>15.4</v>
      </c>
      <c r="U10">
        <v>446</v>
      </c>
      <c r="V10">
        <v>15.7</v>
      </c>
    </row>
    <row r="11" spans="1:25">
      <c r="B11" t="s">
        <v>252</v>
      </c>
      <c r="C11">
        <v>1091.1500000000001</v>
      </c>
      <c r="D11">
        <v>310</v>
      </c>
      <c r="E11">
        <v>5.3</v>
      </c>
      <c r="F11">
        <v>460</v>
      </c>
      <c r="G11">
        <v>14.9</v>
      </c>
      <c r="H11">
        <v>470</v>
      </c>
      <c r="I11">
        <v>15</v>
      </c>
      <c r="K11">
        <f t="shared" ref="K11" si="14">F11-D11</f>
        <v>150</v>
      </c>
      <c r="M11">
        <f t="shared" ref="M11" si="15">K11/D11</f>
        <v>0.4838709677419355</v>
      </c>
      <c r="O11" t="s">
        <v>252</v>
      </c>
      <c r="P11">
        <v>991.15</v>
      </c>
      <c r="Q11">
        <v>310</v>
      </c>
      <c r="R11">
        <v>5.4</v>
      </c>
      <c r="S11">
        <v>456</v>
      </c>
      <c r="T11">
        <v>15.8</v>
      </c>
      <c r="U11">
        <v>464</v>
      </c>
      <c r="V11">
        <v>15.9</v>
      </c>
    </row>
    <row r="12" spans="1:25">
      <c r="B12" t="s">
        <v>255</v>
      </c>
      <c r="C12">
        <v>1018.15</v>
      </c>
      <c r="D12">
        <v>326</v>
      </c>
      <c r="E12">
        <v>5.3</v>
      </c>
      <c r="F12">
        <v>482</v>
      </c>
      <c r="G12">
        <v>15.3</v>
      </c>
      <c r="H12">
        <v>488</v>
      </c>
      <c r="I12">
        <v>15.6</v>
      </c>
      <c r="K12">
        <f t="shared" ref="K12" si="16">F12-D12</f>
        <v>156</v>
      </c>
      <c r="M12">
        <f t="shared" ref="M12" si="17">K12/D12</f>
        <v>0.4785276073619632</v>
      </c>
      <c r="O12" t="s">
        <v>255</v>
      </c>
      <c r="P12">
        <v>918.15</v>
      </c>
      <c r="Q12">
        <v>328</v>
      </c>
      <c r="R12">
        <v>5.5</v>
      </c>
      <c r="S12">
        <v>478</v>
      </c>
      <c r="T12">
        <v>16</v>
      </c>
      <c r="U12">
        <v>488</v>
      </c>
      <c r="V12">
        <v>16</v>
      </c>
    </row>
    <row r="13" spans="1:25">
      <c r="B13" t="s">
        <v>246</v>
      </c>
      <c r="C13">
        <v>923.15</v>
      </c>
      <c r="D13">
        <v>252</v>
      </c>
      <c r="E13">
        <v>4.9000000000000004</v>
      </c>
      <c r="F13">
        <v>372</v>
      </c>
      <c r="G13">
        <v>13.9</v>
      </c>
      <c r="H13">
        <v>388</v>
      </c>
      <c r="I13">
        <v>14</v>
      </c>
      <c r="K13">
        <f t="shared" ref="K13" si="18">F13-D13</f>
        <v>120</v>
      </c>
      <c r="M13">
        <f t="shared" ref="M13" si="19">K13/D13</f>
        <v>0.47619047619047616</v>
      </c>
      <c r="O13" t="s">
        <v>246</v>
      </c>
      <c r="P13">
        <v>823.15</v>
      </c>
      <c r="Q13">
        <v>252</v>
      </c>
      <c r="R13">
        <v>5</v>
      </c>
      <c r="S13">
        <v>374</v>
      </c>
      <c r="T13">
        <v>14.4</v>
      </c>
      <c r="U13">
        <v>386</v>
      </c>
      <c r="V13">
        <v>14.5</v>
      </c>
    </row>
    <row r="14" spans="1:25">
      <c r="B14" t="s">
        <v>248</v>
      </c>
      <c r="C14">
        <v>1120.1500000000001</v>
      </c>
      <c r="D14">
        <v>280</v>
      </c>
      <c r="E14">
        <v>5.0999999999999996</v>
      </c>
      <c r="F14">
        <v>416</v>
      </c>
      <c r="G14">
        <v>14.7</v>
      </c>
      <c r="H14">
        <v>426</v>
      </c>
      <c r="I14">
        <v>14.5</v>
      </c>
      <c r="K14">
        <f t="shared" ref="K14" si="20">F14-D14</f>
        <v>136</v>
      </c>
      <c r="M14">
        <f t="shared" ref="M14" si="21">K14/D14</f>
        <v>0.48571428571428571</v>
      </c>
      <c r="O14" t="s">
        <v>248</v>
      </c>
      <c r="P14">
        <v>1020.15</v>
      </c>
      <c r="Q14">
        <v>280</v>
      </c>
      <c r="R14">
        <v>5.3</v>
      </c>
      <c r="S14">
        <v>414</v>
      </c>
      <c r="T14">
        <v>15</v>
      </c>
      <c r="U14">
        <v>420</v>
      </c>
      <c r="V14">
        <v>15.2</v>
      </c>
    </row>
    <row r="15" spans="1:25">
      <c r="B15" t="s">
        <v>250</v>
      </c>
      <c r="C15">
        <v>1107.1500000000001</v>
      </c>
      <c r="D15">
        <v>312</v>
      </c>
      <c r="E15">
        <v>5.3</v>
      </c>
      <c r="F15">
        <v>458</v>
      </c>
      <c r="G15">
        <v>15</v>
      </c>
      <c r="H15">
        <v>470</v>
      </c>
      <c r="I15">
        <v>15.4</v>
      </c>
      <c r="K15">
        <f t="shared" ref="K15" si="22">F15-D15</f>
        <v>146</v>
      </c>
      <c r="M15">
        <f t="shared" ref="M15" si="23">K15/D15</f>
        <v>0.46794871794871795</v>
      </c>
      <c r="O15" t="s">
        <v>250</v>
      </c>
      <c r="P15">
        <v>1007.15</v>
      </c>
      <c r="Q15">
        <v>312</v>
      </c>
      <c r="R15">
        <v>5.5</v>
      </c>
      <c r="S15">
        <v>456</v>
      </c>
      <c r="T15">
        <v>15.8</v>
      </c>
      <c r="U15">
        <v>466</v>
      </c>
      <c r="V15">
        <v>15.8</v>
      </c>
    </row>
    <row r="16" spans="1:25">
      <c r="B16" t="s">
        <v>253</v>
      </c>
      <c r="C16">
        <v>1066.1500000000001</v>
      </c>
      <c r="D16">
        <v>326</v>
      </c>
      <c r="E16">
        <v>5.3</v>
      </c>
      <c r="F16">
        <v>480</v>
      </c>
      <c r="G16">
        <v>15.4</v>
      </c>
      <c r="H16">
        <v>490</v>
      </c>
      <c r="I16">
        <v>15.6</v>
      </c>
      <c r="K16">
        <f t="shared" ref="K16" si="24">F16-D16</f>
        <v>154</v>
      </c>
      <c r="M16">
        <f t="shared" ref="M16" si="25">K16/D16</f>
        <v>0.47239263803680981</v>
      </c>
      <c r="O16" t="s">
        <v>253</v>
      </c>
      <c r="P16">
        <v>966.15</v>
      </c>
      <c r="Q16">
        <v>326</v>
      </c>
      <c r="R16">
        <v>5.6</v>
      </c>
      <c r="S16">
        <v>470</v>
      </c>
      <c r="T16">
        <v>16.2</v>
      </c>
      <c r="U16">
        <v>488</v>
      </c>
      <c r="V16">
        <v>16.100000000000001</v>
      </c>
    </row>
    <row r="17" spans="2:22">
      <c r="B17" t="s">
        <v>256</v>
      </c>
      <c r="C17">
        <v>1009.15</v>
      </c>
      <c r="D17">
        <v>342</v>
      </c>
      <c r="E17">
        <v>5.4</v>
      </c>
      <c r="F17">
        <v>502</v>
      </c>
      <c r="G17">
        <v>15.6</v>
      </c>
      <c r="H17">
        <v>514</v>
      </c>
      <c r="I17">
        <v>15.8</v>
      </c>
      <c r="K17">
        <f t="shared" ref="K17" si="26">F17-D17</f>
        <v>160</v>
      </c>
      <c r="M17">
        <f t="shared" ref="M17" si="27">K17/D17</f>
        <v>0.46783625730994149</v>
      </c>
      <c r="O17" t="s">
        <v>256</v>
      </c>
      <c r="P17">
        <v>909.15</v>
      </c>
      <c r="Q17">
        <v>342</v>
      </c>
      <c r="R17">
        <v>5.6</v>
      </c>
      <c r="S17">
        <v>496</v>
      </c>
      <c r="T17">
        <v>16.3</v>
      </c>
      <c r="U17">
        <v>508</v>
      </c>
      <c r="V17">
        <v>16.399999999999999</v>
      </c>
    </row>
    <row r="18" spans="2:22">
      <c r="B18" t="s">
        <v>247</v>
      </c>
      <c r="C18">
        <v>822.15</v>
      </c>
      <c r="D18">
        <v>274</v>
      </c>
      <c r="E18">
        <v>4.9000000000000004</v>
      </c>
      <c r="F18">
        <v>392</v>
      </c>
      <c r="G18">
        <v>13.3</v>
      </c>
      <c r="H18">
        <v>426</v>
      </c>
      <c r="I18">
        <v>14</v>
      </c>
      <c r="K18">
        <f t="shared" ref="K18" si="28">F18-D18</f>
        <v>118</v>
      </c>
      <c r="M18">
        <f t="shared" ref="M18" si="29">K18/D18</f>
        <v>0.43065693430656932</v>
      </c>
      <c r="O18" t="s">
        <v>247</v>
      </c>
      <c r="P18">
        <v>722.15</v>
      </c>
      <c r="Q18">
        <v>276</v>
      </c>
      <c r="R18">
        <v>5.0999999999999996</v>
      </c>
      <c r="S18">
        <v>392</v>
      </c>
      <c r="T18">
        <v>13.8</v>
      </c>
      <c r="U18">
        <v>422</v>
      </c>
      <c r="V18">
        <v>14.2</v>
      </c>
    </row>
    <row r="19" spans="2:22">
      <c r="B19" t="s">
        <v>249</v>
      </c>
      <c r="C19">
        <v>1034.1500000000001</v>
      </c>
      <c r="D19">
        <v>304</v>
      </c>
      <c r="E19">
        <v>5.2</v>
      </c>
      <c r="F19">
        <v>444</v>
      </c>
      <c r="G19">
        <v>14.6</v>
      </c>
      <c r="H19">
        <v>458</v>
      </c>
      <c r="I19">
        <v>14.7</v>
      </c>
      <c r="K19">
        <f t="shared" ref="K19" si="30">F19-D19</f>
        <v>140</v>
      </c>
      <c r="M19">
        <f t="shared" ref="M19" si="31">K19/D19</f>
        <v>0.46052631578947367</v>
      </c>
      <c r="O19" t="s">
        <v>249</v>
      </c>
      <c r="P19">
        <v>934.15</v>
      </c>
      <c r="Q19">
        <v>304</v>
      </c>
      <c r="R19">
        <v>5.3</v>
      </c>
      <c r="S19">
        <v>436</v>
      </c>
      <c r="T19">
        <v>15.3</v>
      </c>
      <c r="U19">
        <v>454</v>
      </c>
      <c r="V19">
        <v>15.2</v>
      </c>
    </row>
    <row r="20" spans="2:22">
      <c r="B20" t="s">
        <v>251</v>
      </c>
      <c r="C20">
        <v>1054.1500000000001</v>
      </c>
      <c r="D20">
        <v>334</v>
      </c>
      <c r="E20">
        <v>5.4</v>
      </c>
      <c r="F20">
        <v>488</v>
      </c>
      <c r="G20">
        <v>15.4</v>
      </c>
      <c r="H20">
        <v>502</v>
      </c>
      <c r="I20">
        <v>15.5</v>
      </c>
      <c r="K20">
        <f t="shared" ref="K20" si="32">F20-D20</f>
        <v>154</v>
      </c>
      <c r="M20">
        <f t="shared" ref="M20" si="33">K20/D20</f>
        <v>0.46107784431137727</v>
      </c>
      <c r="O20" t="s">
        <v>251</v>
      </c>
      <c r="P20">
        <v>954.15</v>
      </c>
      <c r="Q20">
        <v>336</v>
      </c>
      <c r="R20">
        <v>5.6</v>
      </c>
      <c r="S20">
        <v>484</v>
      </c>
      <c r="T20">
        <v>16.3</v>
      </c>
      <c r="U20">
        <v>494</v>
      </c>
      <c r="V20">
        <v>16.399999999999999</v>
      </c>
    </row>
    <row r="21" spans="2:22">
      <c r="B21" t="s">
        <v>254</v>
      </c>
      <c r="C21">
        <v>1020.15</v>
      </c>
      <c r="D21">
        <v>348</v>
      </c>
      <c r="E21">
        <v>5.5</v>
      </c>
      <c r="F21">
        <v>510</v>
      </c>
      <c r="G21">
        <v>15.8</v>
      </c>
      <c r="H21">
        <v>520</v>
      </c>
      <c r="I21">
        <v>15.7</v>
      </c>
      <c r="K21">
        <f t="shared" ref="K21" si="34">F21-D21</f>
        <v>162</v>
      </c>
      <c r="M21">
        <f t="shared" ref="M21" si="35">K21/D21</f>
        <v>0.46551724137931033</v>
      </c>
      <c r="O21" t="s">
        <v>254</v>
      </c>
      <c r="P21">
        <v>920.15</v>
      </c>
      <c r="Q21">
        <v>350</v>
      </c>
      <c r="R21">
        <v>5.7</v>
      </c>
      <c r="S21">
        <v>502</v>
      </c>
      <c r="T21">
        <v>16.399999999999999</v>
      </c>
      <c r="U21">
        <v>516</v>
      </c>
      <c r="V21">
        <v>16.399999999999999</v>
      </c>
    </row>
    <row r="22" spans="2:22">
      <c r="B22" t="s">
        <v>257</v>
      </c>
      <c r="C22">
        <v>999.15</v>
      </c>
      <c r="D22">
        <v>366</v>
      </c>
      <c r="E22">
        <v>5.5</v>
      </c>
      <c r="F22">
        <v>530</v>
      </c>
      <c r="G22">
        <v>15.9</v>
      </c>
      <c r="H22">
        <v>546</v>
      </c>
      <c r="I22">
        <v>15.8</v>
      </c>
      <c r="K22">
        <f t="shared" ref="K22" si="36">F22-D22</f>
        <v>164</v>
      </c>
      <c r="M22">
        <f t="shared" ref="M22" si="37">K22/D22</f>
        <v>0.44808743169398907</v>
      </c>
      <c r="O22" t="s">
        <v>257</v>
      </c>
      <c r="P22">
        <v>899.15</v>
      </c>
      <c r="Q22">
        <v>366</v>
      </c>
      <c r="R22">
        <v>5.7</v>
      </c>
      <c r="S22">
        <v>526</v>
      </c>
      <c r="T22">
        <v>16.7</v>
      </c>
      <c r="U22">
        <v>542</v>
      </c>
      <c r="V2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Figs</vt:lpstr>
      <vt:lpstr>Fig1_Fig2 (2)</vt:lpstr>
      <vt:lpstr>MFP-rsum</vt:lpstr>
      <vt:lpstr>ChargeCalcs</vt:lpstr>
      <vt:lpstr>WalzPDFpeaks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Numbers</cp:lastModifiedBy>
  <dcterms:created xsi:type="dcterms:W3CDTF">2025-07-21T10:57:19Z</dcterms:created>
  <dcterms:modified xsi:type="dcterms:W3CDTF">2025-08-19T02:01:19Z</dcterms:modified>
</cp:coreProperties>
</file>