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"/>
    </mc:Choice>
  </mc:AlternateContent>
  <xr:revisionPtr revIDLastSave="0" documentId="13_ncr:1_{DC16F4B7-83C8-4D03-A54C-AAD0CEB7928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alt_analysis_results" sheetId="1" r:id="rId1"/>
    <sheet name="salt_analysis_results (2)" sheetId="2" r:id="rId2"/>
  </sheets>
  <calcPr calcId="191029"/>
</workbook>
</file>

<file path=xl/calcChain.xml><?xml version="1.0" encoding="utf-8"?>
<calcChain xmlns="http://schemas.openxmlformats.org/spreadsheetml/2006/main">
  <c r="K15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U15" i="1" l="1"/>
  <c r="I21" i="1"/>
  <c r="U21" i="1"/>
  <c r="AG21" i="1"/>
  <c r="L15" i="1"/>
  <c r="N21" i="1" l="1"/>
  <c r="B21" i="1" s="1"/>
  <c r="L21" i="1"/>
  <c r="N15" i="1"/>
  <c r="B15" i="1" s="1"/>
  <c r="X21" i="1"/>
  <c r="Z21" i="1" s="1"/>
  <c r="AJ21" i="1"/>
  <c r="AL21" i="1" s="1"/>
  <c r="X15" i="1"/>
  <c r="Z15" i="1" s="1"/>
  <c r="K21" i="1"/>
  <c r="W15" i="1"/>
  <c r="AI21" i="1"/>
  <c r="W21" i="1"/>
</calcChain>
</file>

<file path=xl/sharedStrings.xml><?xml version="1.0" encoding="utf-8"?>
<sst xmlns="http://schemas.openxmlformats.org/spreadsheetml/2006/main" count="305" uniqueCount="76">
  <si>
    <t>Composition</t>
  </si>
  <si>
    <t>Pair1</t>
  </si>
  <si>
    <t>x-SCL1</t>
  </si>
  <si>
    <t>Peak-x1</t>
  </si>
  <si>
    <t>Peak-y1</t>
  </si>
  <si>
    <t>Min-x1</t>
  </si>
  <si>
    <t>Min-y1</t>
  </si>
  <si>
    <t>Pair2</t>
  </si>
  <si>
    <t>x-SCL2</t>
  </si>
  <si>
    <t>Peak-x2</t>
  </si>
  <si>
    <t>Peak-y2</t>
  </si>
  <si>
    <t>Min-x2</t>
  </si>
  <si>
    <t>Min-y2</t>
  </si>
  <si>
    <t>Pair3</t>
  </si>
  <si>
    <t>x-SCL3</t>
  </si>
  <si>
    <t>Peak-x3</t>
  </si>
  <si>
    <t>Peak-y3</t>
  </si>
  <si>
    <t>Min-x3</t>
  </si>
  <si>
    <t>Min-y3</t>
  </si>
  <si>
    <t>Pair4</t>
  </si>
  <si>
    <t>x-SCL4</t>
  </si>
  <si>
    <t>Peak-x4</t>
  </si>
  <si>
    <t>Peak-y4</t>
  </si>
  <si>
    <t>Min-x4</t>
  </si>
  <si>
    <t>Min-y4</t>
  </si>
  <si>
    <t>Pair5</t>
  </si>
  <si>
    <t>x-SCL5</t>
  </si>
  <si>
    <t>Peak-x5</t>
  </si>
  <si>
    <t>Peak-y5</t>
  </si>
  <si>
    <t>Min-x5</t>
  </si>
  <si>
    <t>Min-y5</t>
  </si>
  <si>
    <t>1.0LiCl</t>
  </si>
  <si>
    <t>Li-Cl</t>
  </si>
  <si>
    <t>1.0NaCl</t>
  </si>
  <si>
    <t>Na-Cl</t>
  </si>
  <si>
    <t>1.0KCl</t>
  </si>
  <si>
    <t>K-Cl</t>
  </si>
  <si>
    <t>1.0LiF</t>
  </si>
  <si>
    <t>Li-F</t>
  </si>
  <si>
    <t>1.0NaF</t>
  </si>
  <si>
    <t>Na-F</t>
  </si>
  <si>
    <t>1.0KF</t>
  </si>
  <si>
    <t>K-F</t>
  </si>
  <si>
    <t>1.0MgCl2</t>
  </si>
  <si>
    <t>Mg-Cl</t>
  </si>
  <si>
    <t>1.0CaCl2</t>
  </si>
  <si>
    <t>Ca-Cl</t>
  </si>
  <si>
    <t>1.0SrCl2</t>
  </si>
  <si>
    <t>Sr-Cl</t>
  </si>
  <si>
    <t>0.64NaCl-0.36UCl3</t>
  </si>
  <si>
    <t>U-Cl</t>
  </si>
  <si>
    <t>0.5LiF-0.5BeF2</t>
  </si>
  <si>
    <t>Be-F</t>
  </si>
  <si>
    <t>0.66LiF-0.34BeF2</t>
  </si>
  <si>
    <t>0.6LiF-0.4NaF</t>
  </si>
  <si>
    <t>0.465LiF-0.115NaF-0.42KF</t>
  </si>
  <si>
    <t>0.345NaF-0.59KF-0.065MgF2</t>
  </si>
  <si>
    <t>Mg-F</t>
  </si>
  <si>
    <t>0.5454LiF-0.3636NaF-0.091UF4</t>
  </si>
  <si>
    <t>U-F</t>
  </si>
  <si>
    <t>0.22NaCl-0.393KCl-0.387ZnCl2</t>
  </si>
  <si>
    <t>Zn-Cl</t>
  </si>
  <si>
    <t>0.38MgCl2-0.21NaCl-0.41KCl</t>
  </si>
  <si>
    <t>R_1</t>
  </si>
  <si>
    <t>mu_1</t>
  </si>
  <si>
    <t>mu_2</t>
  </si>
  <si>
    <t>mu_3</t>
  </si>
  <si>
    <t>R_2</t>
  </si>
  <si>
    <t>R_3</t>
  </si>
  <si>
    <t>cp-1</t>
  </si>
  <si>
    <t>cp-2</t>
  </si>
  <si>
    <t>cp-3</t>
  </si>
  <si>
    <t>cp</t>
  </si>
  <si>
    <t>vs</t>
  </si>
  <si>
    <t>k</t>
  </si>
  <si>
    <t>k_tot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</si>
</sst>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L11" sqref="L11"/>
    </sheetView>
  </sheetViews>
  <sheetFormatPr defaultRowHeight="15" x14ac:dyDescent="0.25"/>
  <cols>
    <col min="1" max="1" width="27.5703125" customWidth="1"/>
    <col min="2" max="2" width="8.5703125" customWidth="1"/>
    <col min="5" max="11" width="5.7109375" customWidth="1"/>
    <col min="14" max="14" width="14" bestFit="1" customWidth="1"/>
    <col min="17" max="23" width="5.7109375" customWidth="1"/>
    <col min="29" max="35" width="5.7109375" customWidth="1"/>
  </cols>
  <sheetData>
    <row r="1" spans="1:50" x14ac:dyDescent="0.25">
      <c r="A1" t="s">
        <v>0</v>
      </c>
      <c r="B1" t="s">
        <v>75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63</v>
      </c>
      <c r="J1" t="s">
        <v>64</v>
      </c>
      <c r="K1" t="s">
        <v>69</v>
      </c>
      <c r="L1" t="s">
        <v>72</v>
      </c>
      <c r="M1" t="s">
        <v>73</v>
      </c>
      <c r="N1" t="s">
        <v>74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67</v>
      </c>
      <c r="V1" t="s">
        <v>65</v>
      </c>
      <c r="W1" t="s">
        <v>70</v>
      </c>
      <c r="X1" t="s">
        <v>72</v>
      </c>
      <c r="Y1" t="s">
        <v>73</v>
      </c>
      <c r="Z1" t="s">
        <v>74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68</v>
      </c>
      <c r="AH1" t="s">
        <v>66</v>
      </c>
      <c r="AI1" t="s">
        <v>71</v>
      </c>
      <c r="AJ1" t="s">
        <v>72</v>
      </c>
      <c r="AK1" t="s">
        <v>73</v>
      </c>
      <c r="AL1" t="s">
        <v>74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24</v>
      </c>
      <c r="AS1" t="s">
        <v>25</v>
      </c>
      <c r="AT1" t="s">
        <v>26</v>
      </c>
      <c r="AU1" t="s">
        <v>27</v>
      </c>
      <c r="AV1" t="s">
        <v>28</v>
      </c>
      <c r="AW1" t="s">
        <v>29</v>
      </c>
      <c r="AX1" t="s">
        <v>30</v>
      </c>
    </row>
    <row r="2" spans="1:50" x14ac:dyDescent="0.25">
      <c r="A2" t="s">
        <v>31</v>
      </c>
      <c r="C2" t="s">
        <v>32</v>
      </c>
      <c r="D2">
        <v>4.0993212828640804</v>
      </c>
      <c r="E2">
        <v>2.3729402560000001</v>
      </c>
      <c r="F2">
        <v>1.34165512766666</v>
      </c>
      <c r="G2">
        <v>3.7569020119999998</v>
      </c>
      <c r="H2">
        <v>0.14953329033333301</v>
      </c>
      <c r="I2" s="1">
        <f t="shared" ref="I2:I14" si="0">((F2-H2)/F2)^6</f>
        <v>0.49212847214785882</v>
      </c>
    </row>
    <row r="3" spans="1:50" x14ac:dyDescent="0.25">
      <c r="A3" t="s">
        <v>33</v>
      </c>
      <c r="C3" t="s">
        <v>34</v>
      </c>
      <c r="D3">
        <v>4.5856629438104504</v>
      </c>
      <c r="E3">
        <v>2.6590116269999999</v>
      </c>
      <c r="F3">
        <v>1.4076073956666599</v>
      </c>
      <c r="G3">
        <v>4.1736617139999996</v>
      </c>
      <c r="H3">
        <v>0.15348651766666599</v>
      </c>
      <c r="I3" s="1">
        <f t="shared" si="0"/>
        <v>0.50020398474711869</v>
      </c>
    </row>
    <row r="4" spans="1:50" x14ac:dyDescent="0.25">
      <c r="A4" t="s">
        <v>35</v>
      </c>
      <c r="C4" t="s">
        <v>36</v>
      </c>
      <c r="D4">
        <v>5.0503656243663198</v>
      </c>
      <c r="E4">
        <v>2.9852235810000001</v>
      </c>
      <c r="F4">
        <v>1.4128536596666601</v>
      </c>
      <c r="G4">
        <v>4.5904808319999999</v>
      </c>
      <c r="H4">
        <v>0.15401648133333301</v>
      </c>
      <c r="I4" s="1">
        <f t="shared" si="0"/>
        <v>0.50030435074175683</v>
      </c>
    </row>
    <row r="5" spans="1:50" x14ac:dyDescent="0.25">
      <c r="A5" t="s">
        <v>37</v>
      </c>
      <c r="C5" t="s">
        <v>38</v>
      </c>
      <c r="D5">
        <v>3.2863132212138702</v>
      </c>
      <c r="E5">
        <v>1.877445579</v>
      </c>
      <c r="F5">
        <v>1.24211620666666</v>
      </c>
      <c r="G5">
        <v>2.791240669</v>
      </c>
      <c r="H5">
        <v>0.160117594333333</v>
      </c>
      <c r="I5" s="1">
        <f t="shared" si="0"/>
        <v>0.43690483689711634</v>
      </c>
    </row>
    <row r="6" spans="1:50" x14ac:dyDescent="0.25">
      <c r="A6" t="s">
        <v>39</v>
      </c>
      <c r="C6" t="s">
        <v>40</v>
      </c>
      <c r="D6">
        <v>3.7734744091571</v>
      </c>
      <c r="E6">
        <v>2.1667668177420101</v>
      </c>
      <c r="F6">
        <v>1.3261367448977901</v>
      </c>
      <c r="G6">
        <v>3.4118449865050602</v>
      </c>
      <c r="H6">
        <v>0.15599734456064501</v>
      </c>
      <c r="I6" s="1">
        <f t="shared" si="0"/>
        <v>0.47194975512236703</v>
      </c>
    </row>
    <row r="7" spans="1:50" x14ac:dyDescent="0.25">
      <c r="A7" t="s">
        <v>41</v>
      </c>
      <c r="C7" t="s">
        <v>42</v>
      </c>
      <c r="D7">
        <v>4.24320256690027</v>
      </c>
      <c r="E7">
        <v>2.4819444686930701</v>
      </c>
      <c r="F7">
        <v>1.3368818783673999</v>
      </c>
      <c r="G7">
        <v>3.9101064417945501</v>
      </c>
      <c r="H7">
        <v>0.16008502330358601</v>
      </c>
      <c r="I7" s="1">
        <f t="shared" si="0"/>
        <v>0.46521185798794484</v>
      </c>
    </row>
    <row r="8" spans="1:50" x14ac:dyDescent="0.25">
      <c r="A8" t="s">
        <v>43</v>
      </c>
      <c r="C8" t="s">
        <v>44</v>
      </c>
      <c r="D8">
        <v>5.1064173547936598</v>
      </c>
      <c r="E8">
        <v>2.36</v>
      </c>
      <c r="F8">
        <v>1.2483639757142799</v>
      </c>
      <c r="G8">
        <v>3.426185898</v>
      </c>
      <c r="H8">
        <v>9.5851948571428498E-3</v>
      </c>
      <c r="I8" s="1">
        <f t="shared" si="0"/>
        <v>0.95480608955132218</v>
      </c>
    </row>
    <row r="9" spans="1:50" x14ac:dyDescent="0.25">
      <c r="A9" t="s">
        <v>45</v>
      </c>
      <c r="C9" t="s">
        <v>46</v>
      </c>
      <c r="D9">
        <v>6.1739776214108097</v>
      </c>
      <c r="E9">
        <v>2.78</v>
      </c>
      <c r="F9">
        <v>1.1745447594285701</v>
      </c>
      <c r="G9">
        <v>3.4220759759999999</v>
      </c>
      <c r="H9">
        <v>7.17316142857143E-3</v>
      </c>
      <c r="I9" s="1">
        <f t="shared" si="0"/>
        <v>0.96391182427290933</v>
      </c>
    </row>
    <row r="10" spans="1:50" x14ac:dyDescent="0.25">
      <c r="A10" t="s">
        <v>47</v>
      </c>
      <c r="C10" t="s">
        <v>48</v>
      </c>
      <c r="D10">
        <v>5.1061313212355204</v>
      </c>
      <c r="E10">
        <v>2.9</v>
      </c>
      <c r="F10">
        <v>0.96608013314285701</v>
      </c>
      <c r="G10">
        <v>3.8872457030000001</v>
      </c>
      <c r="H10">
        <v>8.8732604000000007E-2</v>
      </c>
      <c r="I10" s="1">
        <f t="shared" si="0"/>
        <v>0.56098472593036264</v>
      </c>
    </row>
    <row r="11" spans="1:50" x14ac:dyDescent="0.25">
      <c r="A11" t="s">
        <v>49</v>
      </c>
      <c r="C11" t="s">
        <v>50</v>
      </c>
      <c r="D11">
        <v>2.7682437083559899</v>
      </c>
      <c r="E11">
        <v>2.7753778869999999</v>
      </c>
      <c r="F11">
        <v>0.70342265167665097</v>
      </c>
      <c r="G11">
        <v>4.0811358159999997</v>
      </c>
      <c r="H11">
        <v>2.94039629022026E-2</v>
      </c>
      <c r="I11" s="1">
        <f t="shared" si="0"/>
        <v>0.77398676595625004</v>
      </c>
      <c r="O11" t="s">
        <v>34</v>
      </c>
      <c r="P11">
        <v>2.91523071205815</v>
      </c>
      <c r="Q11">
        <v>2.6581854680000001</v>
      </c>
      <c r="R11">
        <v>0.60390420073538897</v>
      </c>
      <c r="S11">
        <v>4.134575559</v>
      </c>
      <c r="T11">
        <v>0.12703354385198201</v>
      </c>
    </row>
    <row r="12" spans="1:50" x14ac:dyDescent="0.25">
      <c r="A12" t="s">
        <v>49</v>
      </c>
      <c r="C12" t="s">
        <v>50</v>
      </c>
      <c r="D12">
        <v>2.7682437083559899</v>
      </c>
      <c r="E12">
        <v>2.7753778869999999</v>
      </c>
      <c r="F12">
        <v>0.70342265167665097</v>
      </c>
      <c r="G12">
        <v>4.0811358159999997</v>
      </c>
      <c r="H12">
        <v>2.94039629022026E-2</v>
      </c>
      <c r="I12" s="1">
        <f t="shared" si="0"/>
        <v>0.77398676595625004</v>
      </c>
      <c r="O12" t="s">
        <v>34</v>
      </c>
      <c r="P12">
        <v>2.91523071205815</v>
      </c>
      <c r="Q12">
        <v>2.6581854680000001</v>
      </c>
      <c r="R12">
        <v>0.60390420073538897</v>
      </c>
      <c r="S12">
        <v>4.134575559</v>
      </c>
      <c r="T12">
        <v>0.12703354385198201</v>
      </c>
    </row>
    <row r="13" spans="1:50" x14ac:dyDescent="0.25">
      <c r="A13" t="s">
        <v>51</v>
      </c>
      <c r="C13" t="s">
        <v>52</v>
      </c>
      <c r="D13">
        <v>1.8622816161292199</v>
      </c>
      <c r="E13">
        <v>1.530398323</v>
      </c>
      <c r="F13">
        <v>1.6749811033333299</v>
      </c>
      <c r="G13">
        <v>2.3899371070000002</v>
      </c>
      <c r="H13">
        <v>-3.0234316666666598E-3</v>
      </c>
      <c r="I13" s="1">
        <f t="shared" si="0"/>
        <v>1.0108793162627252</v>
      </c>
      <c r="O13" t="s">
        <v>38</v>
      </c>
      <c r="P13">
        <v>2.0521237006378499</v>
      </c>
      <c r="Q13">
        <v>1.8577348069999999</v>
      </c>
      <c r="R13">
        <v>0.53003806799999897</v>
      </c>
      <c r="S13">
        <v>2.7868348749999998</v>
      </c>
      <c r="T13">
        <v>9.1227028333333293E-2</v>
      </c>
    </row>
    <row r="14" spans="1:50" x14ac:dyDescent="0.25">
      <c r="A14" t="s">
        <v>53</v>
      </c>
      <c r="C14" t="s">
        <v>52</v>
      </c>
      <c r="D14">
        <v>1.53937602637806</v>
      </c>
      <c r="E14">
        <v>1.54988456</v>
      </c>
      <c r="F14">
        <v>0.84131976901994199</v>
      </c>
      <c r="G14">
        <v>1.596524772</v>
      </c>
      <c r="H14">
        <v>0.65037771955870305</v>
      </c>
      <c r="I14" s="1">
        <f t="shared" si="0"/>
        <v>1.3666047149494696E-4</v>
      </c>
      <c r="O14" t="s">
        <v>38</v>
      </c>
      <c r="P14">
        <v>2.1832177033120401</v>
      </c>
      <c r="Q14">
        <v>1.6452525250000001</v>
      </c>
      <c r="R14">
        <v>0.70843974773501694</v>
      </c>
      <c r="S14">
        <v>2.5225036080000001</v>
      </c>
      <c r="T14">
        <v>0.106373391378298</v>
      </c>
    </row>
    <row r="15" spans="1:50" s="1" customFormat="1" x14ac:dyDescent="0.25">
      <c r="A15" s="1" t="s">
        <v>53</v>
      </c>
      <c r="B15" s="1">
        <f>0.34*N15+0.66*Z15</f>
        <v>0.75885524448745001</v>
      </c>
      <c r="C15" s="1" t="s">
        <v>52</v>
      </c>
      <c r="D15" s="2">
        <v>1.6153299250716899</v>
      </c>
      <c r="E15" s="1">
        <v>1.546610467</v>
      </c>
      <c r="F15" s="1">
        <v>1.3116765876712999</v>
      </c>
      <c r="G15" s="1">
        <v>2.175810571</v>
      </c>
      <c r="H15" s="1">
        <v>2.1059275960319001E-3</v>
      </c>
      <c r="I15" s="1">
        <f>((F15-H15)/F15)^6</f>
        <v>0.99040544186795032</v>
      </c>
      <c r="J15" s="1">
        <v>6.1124589789360941</v>
      </c>
      <c r="K15" s="1">
        <f>0.34*SQRT(I15/J15)</f>
        <v>0.13686028726636934</v>
      </c>
      <c r="L15" s="1">
        <f>87.9/0.000024</f>
        <v>3662500</v>
      </c>
      <c r="M15" s="1">
        <v>2547.8000000000002</v>
      </c>
      <c r="N15" s="1">
        <f>(1/3*D15*10^-10*L15*M15)</f>
        <v>0.50243854660317167</v>
      </c>
      <c r="O15" s="1" t="s">
        <v>38</v>
      </c>
      <c r="P15" s="2">
        <v>2.3203950683052401</v>
      </c>
      <c r="Q15" s="1">
        <v>1.835548161</v>
      </c>
      <c r="R15" s="1">
        <v>0.759569796119963</v>
      </c>
      <c r="S15" s="1">
        <v>2.6131438060000001</v>
      </c>
      <c r="T15" s="1">
        <v>0.12969673517580199</v>
      </c>
      <c r="U15" s="1">
        <f>((R15-T15)/R15)^6</f>
        <v>0.32517120832267066</v>
      </c>
      <c r="V15" s="1">
        <v>5.0836623616947456</v>
      </c>
      <c r="W15" s="1">
        <f>0.66*SQRT(U15/V15)</f>
        <v>0.16692125014298695</v>
      </c>
      <c r="X15" s="1">
        <f>64.2/0.0000142</f>
        <v>4521126.760563381</v>
      </c>
      <c r="Y15" s="1">
        <v>2547.8000000000002</v>
      </c>
      <c r="Z15" s="1">
        <f>(1/3*P15*10^-10*X15*Y15)</f>
        <v>0.89094869491268425</v>
      </c>
    </row>
    <row r="16" spans="1:50" x14ac:dyDescent="0.25">
      <c r="A16" t="s">
        <v>54</v>
      </c>
      <c r="C16" t="s">
        <v>38</v>
      </c>
      <c r="D16">
        <v>2.3296339383346698</v>
      </c>
      <c r="E16">
        <v>1.785650285</v>
      </c>
      <c r="F16">
        <v>0.89148343478260805</v>
      </c>
      <c r="G16">
        <v>2.9373850340000001</v>
      </c>
      <c r="H16">
        <v>9.5699702608695605E-2</v>
      </c>
      <c r="O16" t="s">
        <v>40</v>
      </c>
      <c r="P16">
        <v>2.2186836709530802</v>
      </c>
      <c r="Q16">
        <v>2.1894193629999998</v>
      </c>
      <c r="R16">
        <v>0.39354126130434702</v>
      </c>
      <c r="S16">
        <v>3.3775595209999998</v>
      </c>
      <c r="T16">
        <v>8.4813443333333294E-2</v>
      </c>
    </row>
    <row r="17" spans="1:38" x14ac:dyDescent="0.25">
      <c r="A17" t="s">
        <v>55</v>
      </c>
      <c r="C17" t="s">
        <v>38</v>
      </c>
      <c r="D17">
        <v>2.0420635520311001</v>
      </c>
      <c r="E17">
        <v>1.8563202080000001</v>
      </c>
      <c r="F17">
        <v>1.0647057174893799</v>
      </c>
      <c r="G17">
        <v>2.9862677190000002</v>
      </c>
      <c r="H17">
        <v>4.39229573295596E-2</v>
      </c>
      <c r="O17" t="s">
        <v>40</v>
      </c>
      <c r="P17">
        <v>2.2336909609348501</v>
      </c>
      <c r="Q17">
        <v>2.2589451829999998</v>
      </c>
      <c r="R17">
        <v>0.173604466394739</v>
      </c>
      <c r="S17">
        <v>3.4307426009999999</v>
      </c>
      <c r="T17">
        <v>2.09000353505924E-2</v>
      </c>
      <c r="AA17" t="s">
        <v>42</v>
      </c>
      <c r="AB17">
        <v>2.6394102861222599</v>
      </c>
      <c r="AC17">
        <v>2.6293409190000001</v>
      </c>
      <c r="AD17">
        <v>0.45418304190460301</v>
      </c>
      <c r="AE17">
        <v>3.88868642</v>
      </c>
      <c r="AF17">
        <v>9.3295369127889202E-2</v>
      </c>
    </row>
    <row r="18" spans="1:38" x14ac:dyDescent="0.25">
      <c r="A18" t="s">
        <v>56</v>
      </c>
      <c r="C18" t="s">
        <v>42</v>
      </c>
      <c r="D18">
        <v>2.7825161067269</v>
      </c>
      <c r="E18">
        <v>2.5608124509999999</v>
      </c>
      <c r="F18">
        <v>0.67721319232351995</v>
      </c>
      <c r="G18">
        <v>3.8424734530000002</v>
      </c>
      <c r="H18">
        <v>0.116247703880864</v>
      </c>
      <c r="O18" t="s">
        <v>57</v>
      </c>
      <c r="P18">
        <v>1.9427583620011999</v>
      </c>
      <c r="Q18">
        <v>1.949407841</v>
      </c>
      <c r="R18">
        <v>0.27348436575820301</v>
      </c>
      <c r="S18">
        <v>2.9662358289999999</v>
      </c>
      <c r="T18">
        <v>3.3373990475058699E-3</v>
      </c>
      <c r="AA18" t="s">
        <v>40</v>
      </c>
      <c r="AB18">
        <v>2.2422961306308098</v>
      </c>
      <c r="AC18">
        <v>2.2470787859999999</v>
      </c>
      <c r="AD18">
        <v>0.57559482156715702</v>
      </c>
      <c r="AE18">
        <v>3.5024409419999998</v>
      </c>
      <c r="AF18">
        <v>5.07316528393131E-2</v>
      </c>
    </row>
    <row r="19" spans="1:38" x14ac:dyDescent="0.25">
      <c r="A19" t="s">
        <v>58</v>
      </c>
      <c r="C19" t="s">
        <v>59</v>
      </c>
      <c r="D19">
        <v>2.2144014529196201</v>
      </c>
      <c r="E19">
        <v>2.2262439770000002</v>
      </c>
      <c r="F19">
        <v>0.23622583068911701</v>
      </c>
      <c r="G19">
        <v>3.1291180590000001</v>
      </c>
      <c r="H19">
        <v>5.07326992960303E-3</v>
      </c>
      <c r="O19" t="s">
        <v>38</v>
      </c>
      <c r="P19">
        <v>2.16205175427746</v>
      </c>
      <c r="Q19">
        <v>1.8217033330000001</v>
      </c>
      <c r="R19">
        <v>0.75824774118874505</v>
      </c>
      <c r="S19">
        <v>2.9547960959999999</v>
      </c>
      <c r="T19">
        <v>9.6905407271998298E-2</v>
      </c>
      <c r="AA19" t="s">
        <v>40</v>
      </c>
      <c r="AB19">
        <v>2.24394629374653</v>
      </c>
      <c r="AC19">
        <v>2.242349811</v>
      </c>
      <c r="AD19">
        <v>0.33995379346587801</v>
      </c>
      <c r="AE19">
        <v>3.39818022</v>
      </c>
      <c r="AF19">
        <v>8.3234037419577606E-2</v>
      </c>
    </row>
    <row r="20" spans="1:38" x14ac:dyDescent="0.25">
      <c r="A20" t="s">
        <v>60</v>
      </c>
      <c r="C20" t="s">
        <v>34</v>
      </c>
      <c r="D20">
        <v>2.6241717537464502</v>
      </c>
      <c r="E20">
        <v>2.6636667900000002</v>
      </c>
      <c r="F20">
        <v>0.26197267003335201</v>
      </c>
      <c r="G20">
        <v>4.0883520869999996</v>
      </c>
      <c r="H20">
        <v>4.33761211604939E-2</v>
      </c>
      <c r="O20" t="s">
        <v>36</v>
      </c>
      <c r="P20">
        <v>2.9520714130166801</v>
      </c>
      <c r="Q20">
        <v>2.9787973349999999</v>
      </c>
      <c r="R20">
        <v>0.352975397614469</v>
      </c>
      <c r="S20">
        <v>4.471325362</v>
      </c>
      <c r="T20">
        <v>9.0541923003228705E-2</v>
      </c>
      <c r="AA20" t="s">
        <v>61</v>
      </c>
      <c r="AB20">
        <v>2.3709295161883501</v>
      </c>
      <c r="AC20">
        <v>2.3932959029999998</v>
      </c>
      <c r="AD20">
        <v>1.05775576780064</v>
      </c>
      <c r="AE20">
        <v>2.6717668670000001</v>
      </c>
      <c r="AF20">
        <v>0.47913070299711302</v>
      </c>
    </row>
    <row r="21" spans="1:38" s="1" customFormat="1" x14ac:dyDescent="0.25">
      <c r="A21" s="1" t="s">
        <v>62</v>
      </c>
      <c r="B21" s="1">
        <f>0.38*N21+0.21*AL21+0.41*Z21</f>
        <v>0.27134820820985633</v>
      </c>
      <c r="C21" s="1" t="s">
        <v>44</v>
      </c>
      <c r="D21" s="2">
        <v>2.3832144974655098</v>
      </c>
      <c r="E21" s="1">
        <v>2.3747611399999999</v>
      </c>
      <c r="F21" s="1">
        <v>1.3640939497070099</v>
      </c>
      <c r="G21" s="1">
        <v>3.5133434569999999</v>
      </c>
      <c r="H21" s="1">
        <v>3.40597758976455E-2</v>
      </c>
      <c r="I21" s="1">
        <f>((F21-H21)/F21)^6</f>
        <v>0.85923330616596982</v>
      </c>
      <c r="J21" s="1">
        <v>14.41957838281067</v>
      </c>
      <c r="K21" s="1">
        <f>0.38*SQRT(I21/J21)</f>
        <v>9.2760454329402595E-2</v>
      </c>
      <c r="L21" s="1">
        <f>92.048/0.00005651</f>
        <v>1628879.8442753495</v>
      </c>
      <c r="M21" s="1">
        <v>2101</v>
      </c>
      <c r="N21" s="1">
        <f>(1/3*D21*10^-10*L21*M21)</f>
        <v>0.2718673031674298</v>
      </c>
      <c r="O21" s="1" t="s">
        <v>36</v>
      </c>
      <c r="P21" s="2">
        <v>3.1028111014399902</v>
      </c>
      <c r="Q21" s="1">
        <v>3.1296135899999999</v>
      </c>
      <c r="R21" s="1">
        <v>0.44016044737058002</v>
      </c>
      <c r="S21" s="1">
        <v>4.5428896950000004</v>
      </c>
      <c r="T21" s="1">
        <v>8.7557661369520701E-2</v>
      </c>
      <c r="U21" s="1">
        <f>((R21-T21)/R21)^6</f>
        <v>0.26427029526597223</v>
      </c>
      <c r="V21" s="1">
        <v>18.593196523185469</v>
      </c>
      <c r="W21" s="1">
        <f>0.41*SQRT(U21/V21)</f>
        <v>4.8879978010934313E-2</v>
      </c>
      <c r="X21" s="1">
        <f>73.6/0.00004884</f>
        <v>1506961.5069615068</v>
      </c>
      <c r="Y21" s="1">
        <v>1597.18</v>
      </c>
      <c r="Z21" s="1">
        <f>(1/3*P21*10^-10*X21*Y21)</f>
        <v>0.24893737418498987</v>
      </c>
      <c r="AA21" s="1" t="s">
        <v>34</v>
      </c>
      <c r="AB21" s="2">
        <v>2.7173404473346601</v>
      </c>
      <c r="AC21" s="1">
        <v>2.7349168439999998</v>
      </c>
      <c r="AD21" s="1">
        <v>0.29413142669634301</v>
      </c>
      <c r="AE21" s="1">
        <v>4.1008739670000001</v>
      </c>
      <c r="AF21" s="1">
        <v>3.7966505077901398E-2</v>
      </c>
      <c r="AG21" s="1">
        <f>((AD21-AF21)/AD21)^6</f>
        <v>0.43638455852484287</v>
      </c>
      <c r="AH21" s="1">
        <v>13.946314699792962</v>
      </c>
      <c r="AI21" s="1">
        <f>0.21*SQRT(AG21/AH21)</f>
        <v>3.7147043266570971E-2</v>
      </c>
      <c r="AJ21" s="1">
        <f>69.62/0.000035</f>
        <v>1989142.8571428575</v>
      </c>
      <c r="AK21" s="1">
        <v>1743.68</v>
      </c>
      <c r="AL21" s="1">
        <f>(1/3*AB21*10^-10*AJ21*AK21)</f>
        <v>0.31416337900184366</v>
      </c>
    </row>
    <row r="22" spans="1:38" x14ac:dyDescent="0.25">
      <c r="A22" t="s">
        <v>31</v>
      </c>
      <c r="C22" t="s">
        <v>32</v>
      </c>
      <c r="D22">
        <v>4.11809859412371</v>
      </c>
      <c r="E22">
        <v>2.3729402560000001</v>
      </c>
      <c r="F22">
        <v>1.34165512766666</v>
      </c>
      <c r="G22">
        <v>3.7569020119999998</v>
      </c>
      <c r="H22">
        <v>0.14953329033333301</v>
      </c>
    </row>
    <row r="23" spans="1:38" x14ac:dyDescent="0.25">
      <c r="A23" t="s">
        <v>33</v>
      </c>
      <c r="C23" t="s">
        <v>34</v>
      </c>
      <c r="D23">
        <v>4.5992114342776897</v>
      </c>
      <c r="E23">
        <v>2.6590116269999999</v>
      </c>
      <c r="F23">
        <v>1.4076073956666599</v>
      </c>
      <c r="G23">
        <v>4.1736617139999996</v>
      </c>
      <c r="H23">
        <v>0.15348651766666599</v>
      </c>
    </row>
    <row r="24" spans="1:38" x14ac:dyDescent="0.25">
      <c r="A24" t="s">
        <v>35</v>
      </c>
      <c r="C24" t="s">
        <v>36</v>
      </c>
      <c r="D24">
        <v>5.0614944217642099</v>
      </c>
      <c r="E24">
        <v>2.9852235810000001</v>
      </c>
      <c r="F24">
        <v>1.4128536596666601</v>
      </c>
      <c r="G24">
        <v>4.5904808319999999</v>
      </c>
      <c r="H24">
        <v>0.15401648133333301</v>
      </c>
    </row>
    <row r="25" spans="1:38" x14ac:dyDescent="0.25">
      <c r="A25" t="s">
        <v>37</v>
      </c>
      <c r="C25" t="s">
        <v>38</v>
      </c>
      <c r="D25">
        <v>3.3159909884917802</v>
      </c>
      <c r="E25">
        <v>1.877445579</v>
      </c>
      <c r="F25">
        <v>1.24211620666666</v>
      </c>
      <c r="G25">
        <v>2.791240669</v>
      </c>
      <c r="H25">
        <v>0.160117594333333</v>
      </c>
    </row>
    <row r="26" spans="1:38" x14ac:dyDescent="0.25">
      <c r="A26" t="s">
        <v>39</v>
      </c>
      <c r="C26" t="s">
        <v>40</v>
      </c>
      <c r="D26">
        <v>3.7969068224247802</v>
      </c>
      <c r="E26">
        <v>2.1667668177420101</v>
      </c>
      <c r="F26">
        <v>1.3261367448977901</v>
      </c>
      <c r="G26">
        <v>3.4118449865050602</v>
      </c>
      <c r="H26">
        <v>0.15599734456064501</v>
      </c>
    </row>
    <row r="27" spans="1:38" x14ac:dyDescent="0.25">
      <c r="A27" t="s">
        <v>41</v>
      </c>
      <c r="C27" t="s">
        <v>42</v>
      </c>
      <c r="D27">
        <v>4.2549241444108699</v>
      </c>
      <c r="E27">
        <v>2.4819444686930701</v>
      </c>
      <c r="F27">
        <v>1.3368818783673999</v>
      </c>
      <c r="G27">
        <v>3.9101064417945501</v>
      </c>
      <c r="H27">
        <v>0.16008502330358601</v>
      </c>
    </row>
    <row r="28" spans="1:38" x14ac:dyDescent="0.25">
      <c r="A28" t="s">
        <v>43</v>
      </c>
      <c r="C28" t="s">
        <v>44</v>
      </c>
      <c r="D28">
        <v>5.1123003731591297</v>
      </c>
      <c r="E28">
        <v>2.36</v>
      </c>
      <c r="F28">
        <v>1.2483639757142799</v>
      </c>
      <c r="G28">
        <v>3.426185898</v>
      </c>
      <c r="H28">
        <v>9.5851948571428498E-3</v>
      </c>
    </row>
    <row r="29" spans="1:38" x14ac:dyDescent="0.25">
      <c r="A29" t="s">
        <v>45</v>
      </c>
      <c r="C29" t="s">
        <v>46</v>
      </c>
      <c r="D29">
        <v>6.1761980195166597</v>
      </c>
      <c r="E29">
        <v>2.78</v>
      </c>
      <c r="F29">
        <v>1.1745447594285701</v>
      </c>
      <c r="G29">
        <v>3.4220759759999999</v>
      </c>
      <c r="H29">
        <v>7.17316142857143E-3</v>
      </c>
    </row>
    <row r="30" spans="1:38" x14ac:dyDescent="0.25">
      <c r="A30" t="s">
        <v>47</v>
      </c>
      <c r="C30" t="s">
        <v>48</v>
      </c>
      <c r="D30">
        <v>5.1067922051356698</v>
      </c>
      <c r="E30">
        <v>2.9</v>
      </c>
      <c r="F30">
        <v>0.96608013314285701</v>
      </c>
      <c r="G30">
        <v>3.8872457030000001</v>
      </c>
      <c r="H30">
        <v>8.8732604000000007E-2</v>
      </c>
    </row>
    <row r="31" spans="1:38" x14ac:dyDescent="0.25">
      <c r="A31" t="s">
        <v>49</v>
      </c>
      <c r="C31" t="s">
        <v>50</v>
      </c>
      <c r="D31">
        <v>2.7682437083559899</v>
      </c>
      <c r="E31">
        <v>2.7753778869999999</v>
      </c>
      <c r="F31">
        <v>0.70342265167665097</v>
      </c>
      <c r="G31">
        <v>4.0811358159999997</v>
      </c>
      <c r="H31">
        <v>2.94039629022026E-2</v>
      </c>
      <c r="O31" t="s">
        <v>34</v>
      </c>
      <c r="P31">
        <v>2.9625175167376998</v>
      </c>
      <c r="Q31">
        <v>2.6581854680000001</v>
      </c>
      <c r="R31">
        <v>0.60390420073538897</v>
      </c>
      <c r="S31">
        <v>4.134575559</v>
      </c>
      <c r="T31">
        <v>0.12703354385198201</v>
      </c>
    </row>
    <row r="32" spans="1:38" x14ac:dyDescent="0.25">
      <c r="A32" t="s">
        <v>49</v>
      </c>
      <c r="C32" t="s">
        <v>50</v>
      </c>
      <c r="D32">
        <v>2.7682437083559899</v>
      </c>
      <c r="E32">
        <v>2.7753778869999999</v>
      </c>
      <c r="F32">
        <v>0.70342265167665097</v>
      </c>
      <c r="G32">
        <v>4.0811358159999997</v>
      </c>
      <c r="H32">
        <v>2.94039629022026E-2</v>
      </c>
      <c r="O32" t="s">
        <v>34</v>
      </c>
      <c r="P32">
        <v>2.9625175167376998</v>
      </c>
      <c r="Q32">
        <v>2.6581854680000001</v>
      </c>
      <c r="R32">
        <v>0.60390420073538897</v>
      </c>
      <c r="S32">
        <v>4.134575559</v>
      </c>
      <c r="T32">
        <v>0.12703354385198201</v>
      </c>
    </row>
    <row r="33" spans="1:32" x14ac:dyDescent="0.25">
      <c r="A33" t="s">
        <v>51</v>
      </c>
      <c r="C33" t="s">
        <v>52</v>
      </c>
      <c r="D33">
        <v>1.8622832667637701</v>
      </c>
      <c r="E33">
        <v>1.530398323</v>
      </c>
      <c r="F33">
        <v>1.6749811033333299</v>
      </c>
      <c r="G33">
        <v>2.3899371070000002</v>
      </c>
      <c r="H33">
        <v>-3.0234316666666598E-3</v>
      </c>
      <c r="O33" t="s">
        <v>38</v>
      </c>
      <c r="P33">
        <v>2.0521239601581001</v>
      </c>
      <c r="Q33">
        <v>1.8577348069999999</v>
      </c>
      <c r="R33">
        <v>0.53003806799999897</v>
      </c>
      <c r="S33">
        <v>2.7868348749999998</v>
      </c>
      <c r="T33">
        <v>9.1227028333333293E-2</v>
      </c>
    </row>
    <row r="34" spans="1:32" x14ac:dyDescent="0.25">
      <c r="A34" t="s">
        <v>53</v>
      </c>
      <c r="C34" t="s">
        <v>52</v>
      </c>
      <c r="D34">
        <v>1.53937602637806</v>
      </c>
      <c r="E34">
        <v>1.54988456</v>
      </c>
      <c r="F34">
        <v>0.84131976901994199</v>
      </c>
      <c r="G34">
        <v>1.596524772</v>
      </c>
      <c r="H34">
        <v>0.65037771955870305</v>
      </c>
      <c r="O34" t="s">
        <v>38</v>
      </c>
      <c r="P34">
        <v>2.1832850618489101</v>
      </c>
      <c r="Q34">
        <v>1.6452525250000001</v>
      </c>
      <c r="R34">
        <v>0.70843974773501694</v>
      </c>
      <c r="S34">
        <v>2.5225036080000001</v>
      </c>
      <c r="T34">
        <v>0.106373391378298</v>
      </c>
    </row>
    <row r="35" spans="1:32" x14ac:dyDescent="0.25">
      <c r="A35" t="s">
        <v>53</v>
      </c>
      <c r="C35" t="s">
        <v>52</v>
      </c>
      <c r="D35">
        <v>1.61532992530079</v>
      </c>
      <c r="E35">
        <v>1.546610467</v>
      </c>
      <c r="F35">
        <v>1.3116765876712999</v>
      </c>
      <c r="G35">
        <v>2.175810571</v>
      </c>
      <c r="H35">
        <v>2.1059275960319001E-3</v>
      </c>
      <c r="O35" t="s">
        <v>38</v>
      </c>
      <c r="P35">
        <v>2.3204231416308398</v>
      </c>
      <c r="Q35">
        <v>1.835548161</v>
      </c>
      <c r="R35">
        <v>0.759569796119963</v>
      </c>
      <c r="S35">
        <v>2.6131438060000001</v>
      </c>
      <c r="T35">
        <v>0.12969673517580199</v>
      </c>
    </row>
    <row r="36" spans="1:32" x14ac:dyDescent="0.25">
      <c r="A36" t="s">
        <v>54</v>
      </c>
      <c r="C36" t="s">
        <v>38</v>
      </c>
      <c r="D36">
        <v>2.3315066619081302</v>
      </c>
      <c r="E36">
        <v>1.785650285</v>
      </c>
      <c r="F36">
        <v>0.89148343478260805</v>
      </c>
      <c r="G36">
        <v>2.9373850340000001</v>
      </c>
      <c r="H36">
        <v>9.5699702608695605E-2</v>
      </c>
      <c r="O36" t="s">
        <v>40</v>
      </c>
      <c r="P36">
        <v>2.2186836709530802</v>
      </c>
      <c r="Q36">
        <v>2.1894193629999998</v>
      </c>
      <c r="R36">
        <v>0.39354126130434702</v>
      </c>
      <c r="S36">
        <v>3.3775595209999998</v>
      </c>
      <c r="T36">
        <v>8.4813443333333294E-2</v>
      </c>
    </row>
    <row r="37" spans="1:32" x14ac:dyDescent="0.25">
      <c r="A37" t="s">
        <v>55</v>
      </c>
      <c r="C37" t="s">
        <v>38</v>
      </c>
      <c r="D37">
        <v>2.07233301240402</v>
      </c>
      <c r="E37">
        <v>1.8563202080000001</v>
      </c>
      <c r="F37">
        <v>1.0647057174893799</v>
      </c>
      <c r="G37">
        <v>2.9862677190000002</v>
      </c>
      <c r="H37">
        <v>4.39229573295596E-2</v>
      </c>
      <c r="O37" t="s">
        <v>40</v>
      </c>
      <c r="P37">
        <v>2.23369096120916</v>
      </c>
      <c r="Q37">
        <v>2.2589451829999998</v>
      </c>
      <c r="R37">
        <v>0.173604466394739</v>
      </c>
      <c r="S37">
        <v>3.4307426009999999</v>
      </c>
      <c r="T37">
        <v>2.09000353505924E-2</v>
      </c>
      <c r="AA37" t="s">
        <v>42</v>
      </c>
      <c r="AB37">
        <v>2.6394102861222599</v>
      </c>
      <c r="AC37">
        <v>2.6293409190000001</v>
      </c>
      <c r="AD37">
        <v>0.45418304190460301</v>
      </c>
      <c r="AE37">
        <v>3.88868642</v>
      </c>
      <c r="AF37">
        <v>9.3295369127889202E-2</v>
      </c>
    </row>
    <row r="38" spans="1:32" x14ac:dyDescent="0.25">
      <c r="A38" t="s">
        <v>56</v>
      </c>
      <c r="C38" t="s">
        <v>42</v>
      </c>
      <c r="D38">
        <v>2.8210256530940501</v>
      </c>
      <c r="E38">
        <v>2.5608124509999999</v>
      </c>
      <c r="F38">
        <v>0.67721319232351995</v>
      </c>
      <c r="G38">
        <v>3.8424734530000002</v>
      </c>
      <c r="H38">
        <v>0.116247703880864</v>
      </c>
      <c r="O38" t="s">
        <v>57</v>
      </c>
      <c r="P38">
        <v>1.9427583620011999</v>
      </c>
      <c r="Q38">
        <v>1.949407841</v>
      </c>
      <c r="R38">
        <v>0.27348436575820301</v>
      </c>
      <c r="S38">
        <v>2.9662358289999999</v>
      </c>
      <c r="T38">
        <v>3.3373990475058699E-3</v>
      </c>
      <c r="AA38" t="s">
        <v>40</v>
      </c>
      <c r="AB38">
        <v>2.2432089093124401</v>
      </c>
      <c r="AC38">
        <v>2.2470787859999999</v>
      </c>
      <c r="AD38">
        <v>0.57559482156715702</v>
      </c>
      <c r="AE38">
        <v>3.5024409419999998</v>
      </c>
      <c r="AF38">
        <v>5.07316528393131E-2</v>
      </c>
    </row>
    <row r="39" spans="1:32" x14ac:dyDescent="0.25">
      <c r="A39" t="s">
        <v>58</v>
      </c>
      <c r="C39" t="s">
        <v>59</v>
      </c>
      <c r="D39">
        <v>2.2144014529196299</v>
      </c>
      <c r="E39">
        <v>2.2262439770000002</v>
      </c>
      <c r="F39">
        <v>0.23622583068911701</v>
      </c>
      <c r="G39">
        <v>3.1291180590000001</v>
      </c>
      <c r="H39">
        <v>5.07326992960303E-3</v>
      </c>
      <c r="O39" t="s">
        <v>38</v>
      </c>
      <c r="P39">
        <v>2.1630515732931199</v>
      </c>
      <c r="Q39">
        <v>1.8217033330000001</v>
      </c>
      <c r="R39">
        <v>0.75824774118874505</v>
      </c>
      <c r="S39">
        <v>2.9547960959999999</v>
      </c>
      <c r="T39">
        <v>9.6905407271998298E-2</v>
      </c>
      <c r="AA39" t="s">
        <v>40</v>
      </c>
      <c r="AB39">
        <v>2.24394629374653</v>
      </c>
      <c r="AC39">
        <v>2.242349811</v>
      </c>
      <c r="AD39">
        <v>0.33995379346587801</v>
      </c>
      <c r="AE39">
        <v>3.39818022</v>
      </c>
      <c r="AF39">
        <v>8.3234037419577606E-2</v>
      </c>
    </row>
    <row r="40" spans="1:32" x14ac:dyDescent="0.25">
      <c r="A40" t="s">
        <v>60</v>
      </c>
      <c r="C40" t="s">
        <v>34</v>
      </c>
      <c r="D40">
        <v>2.6241717537464502</v>
      </c>
      <c r="E40">
        <v>2.6636667900000002</v>
      </c>
      <c r="F40">
        <v>0.26197267003335201</v>
      </c>
      <c r="G40">
        <v>4.0883520869999996</v>
      </c>
      <c r="H40">
        <v>4.33761211604939E-2</v>
      </c>
      <c r="O40" t="s">
        <v>36</v>
      </c>
      <c r="P40">
        <v>2.95207141302732</v>
      </c>
      <c r="Q40">
        <v>2.9787973349999999</v>
      </c>
      <c r="R40">
        <v>0.352975397614469</v>
      </c>
      <c r="S40">
        <v>4.471325362</v>
      </c>
      <c r="T40">
        <v>9.0541923003228705E-2</v>
      </c>
      <c r="AA40" t="s">
        <v>61</v>
      </c>
      <c r="AB40">
        <v>2.3709295162013402</v>
      </c>
      <c r="AC40">
        <v>2.3932959029999998</v>
      </c>
      <c r="AD40">
        <v>1.05775576780064</v>
      </c>
      <c r="AE40">
        <v>2.6717668670000001</v>
      </c>
      <c r="AF40">
        <v>0.47913070299711302</v>
      </c>
    </row>
    <row r="41" spans="1:32" x14ac:dyDescent="0.25">
      <c r="A41" t="s">
        <v>62</v>
      </c>
      <c r="C41" t="s">
        <v>44</v>
      </c>
      <c r="D41">
        <v>2.3832144977123502</v>
      </c>
      <c r="E41">
        <v>2.3747611399999999</v>
      </c>
      <c r="F41">
        <v>1.3640939497070099</v>
      </c>
      <c r="G41">
        <v>3.5133434569999999</v>
      </c>
      <c r="H41">
        <v>3.40597758976455E-2</v>
      </c>
      <c r="O41" t="s">
        <v>36</v>
      </c>
      <c r="P41">
        <v>3.1028111014436801</v>
      </c>
      <c r="Q41">
        <v>3.1296135899999999</v>
      </c>
      <c r="R41">
        <v>0.44016044737058002</v>
      </c>
      <c r="S41">
        <v>4.5428896950000004</v>
      </c>
      <c r="T41">
        <v>8.7557661369520701E-2</v>
      </c>
      <c r="AA41" t="s">
        <v>34</v>
      </c>
      <c r="AB41">
        <v>2.7173404473346601</v>
      </c>
      <c r="AC41">
        <v>2.7349168439999998</v>
      </c>
      <c r="AD41">
        <v>0.29413142669634301</v>
      </c>
      <c r="AE41">
        <v>4.1008739670000001</v>
      </c>
      <c r="AF41">
        <v>3.7966505077901398E-2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04FB-55E7-4D25-A0BF-04E6CA4248D3}">
  <dimension ref="A1:AE41"/>
  <sheetViews>
    <sheetView zoomScale="90" zoomScaleNormal="90" workbookViewId="0">
      <pane ySplit="1" topLeftCell="A2" activePane="bottomLeft" state="frozen"/>
      <selection activeCell="B1" sqref="B1"/>
      <selection pane="bottomLeft" activeCell="N23" sqref="N23"/>
    </sheetView>
  </sheetViews>
  <sheetFormatPr defaultRowHeight="15" x14ac:dyDescent="0.25"/>
  <cols>
    <col min="1" max="1" width="27.5703125" customWidth="1"/>
    <col min="4" max="7" width="5.7109375" customWidth="1"/>
    <col min="10" max="13" width="5.7109375" customWidth="1"/>
    <col min="16" max="19" width="5.710937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>
        <v>4.0993212828640804</v>
      </c>
      <c r="D2">
        <v>2.3729402560000001</v>
      </c>
      <c r="E2">
        <v>1.34165512766666</v>
      </c>
      <c r="F2">
        <v>3.7569020119999998</v>
      </c>
      <c r="G2">
        <v>0.14953329033333301</v>
      </c>
    </row>
    <row r="3" spans="1:31" x14ac:dyDescent="0.25">
      <c r="A3" t="s">
        <v>33</v>
      </c>
      <c r="B3" t="s">
        <v>34</v>
      </c>
      <c r="C3">
        <v>4.5856629438104504</v>
      </c>
      <c r="D3">
        <v>2.6590116269999999</v>
      </c>
      <c r="E3">
        <v>1.4076073956666599</v>
      </c>
      <c r="F3">
        <v>4.1736617139999996</v>
      </c>
      <c r="G3">
        <v>0.15348651766666599</v>
      </c>
    </row>
    <row r="4" spans="1:31" x14ac:dyDescent="0.25">
      <c r="A4" t="s">
        <v>35</v>
      </c>
      <c r="B4" t="s">
        <v>36</v>
      </c>
      <c r="C4">
        <v>5.0503656243663198</v>
      </c>
      <c r="D4">
        <v>2.9852235810000001</v>
      </c>
      <c r="E4">
        <v>1.4128536596666601</v>
      </c>
      <c r="F4">
        <v>4.5904808319999999</v>
      </c>
      <c r="G4">
        <v>0.15401648133333301</v>
      </c>
    </row>
    <row r="5" spans="1:31" x14ac:dyDescent="0.25">
      <c r="A5" t="s">
        <v>37</v>
      </c>
      <c r="B5" t="s">
        <v>38</v>
      </c>
      <c r="C5">
        <v>3.2863132212138702</v>
      </c>
      <c r="D5">
        <v>1.877445579</v>
      </c>
      <c r="E5">
        <v>1.24211620666666</v>
      </c>
      <c r="F5">
        <v>2.791240669</v>
      </c>
      <c r="G5">
        <v>0.160117594333333</v>
      </c>
    </row>
    <row r="6" spans="1:31" x14ac:dyDescent="0.25">
      <c r="A6" t="s">
        <v>39</v>
      </c>
      <c r="B6" t="s">
        <v>40</v>
      </c>
      <c r="C6">
        <v>3.7734744091571</v>
      </c>
      <c r="D6">
        <v>2.1667668177420101</v>
      </c>
      <c r="E6">
        <v>1.3261367448977901</v>
      </c>
      <c r="F6">
        <v>3.4118449865050602</v>
      </c>
      <c r="G6">
        <v>0.15599734456064501</v>
      </c>
    </row>
    <row r="7" spans="1:31" x14ac:dyDescent="0.25">
      <c r="A7" t="s">
        <v>41</v>
      </c>
      <c r="B7" t="s">
        <v>42</v>
      </c>
      <c r="C7">
        <v>4.24320256690027</v>
      </c>
      <c r="D7">
        <v>2.4819444686930701</v>
      </c>
      <c r="E7">
        <v>1.3368818783673999</v>
      </c>
      <c r="F7">
        <v>3.9101064417945501</v>
      </c>
      <c r="G7">
        <v>0.16008502330358601</v>
      </c>
    </row>
    <row r="8" spans="1:31" x14ac:dyDescent="0.25">
      <c r="A8" t="s">
        <v>43</v>
      </c>
      <c r="B8" t="s">
        <v>44</v>
      </c>
      <c r="C8">
        <v>5.1064173547936598</v>
      </c>
      <c r="D8">
        <v>2.36</v>
      </c>
      <c r="E8">
        <v>1.2483639757142799</v>
      </c>
      <c r="F8">
        <v>3.426185898</v>
      </c>
      <c r="G8">
        <v>9.5851948571428498E-3</v>
      </c>
    </row>
    <row r="9" spans="1:31" x14ac:dyDescent="0.25">
      <c r="A9" t="s">
        <v>45</v>
      </c>
      <c r="B9" t="s">
        <v>46</v>
      </c>
      <c r="C9">
        <v>6.1739776214108097</v>
      </c>
      <c r="D9">
        <v>2.78</v>
      </c>
      <c r="E9">
        <v>1.1745447594285701</v>
      </c>
      <c r="F9">
        <v>3.4220759759999999</v>
      </c>
      <c r="G9">
        <v>7.17316142857143E-3</v>
      </c>
    </row>
    <row r="10" spans="1:31" x14ac:dyDescent="0.25">
      <c r="A10" t="s">
        <v>47</v>
      </c>
      <c r="B10" t="s">
        <v>48</v>
      </c>
      <c r="C10">
        <v>5.1061313212355204</v>
      </c>
      <c r="D10">
        <v>2.9</v>
      </c>
      <c r="E10">
        <v>0.96608013314285701</v>
      </c>
      <c r="F10">
        <v>3.8872457030000001</v>
      </c>
      <c r="G10">
        <v>8.8732604000000007E-2</v>
      </c>
    </row>
    <row r="11" spans="1:31" x14ac:dyDescent="0.25">
      <c r="A11" t="s">
        <v>49</v>
      </c>
      <c r="B11" t="s">
        <v>50</v>
      </c>
      <c r="C11">
        <v>2.7682437083559899</v>
      </c>
      <c r="D11">
        <v>2.7753778869999999</v>
      </c>
      <c r="E11">
        <v>0.70342265167665097</v>
      </c>
      <c r="F11">
        <v>4.0811358159999997</v>
      </c>
      <c r="G11">
        <v>2.94039629022026E-2</v>
      </c>
      <c r="H11" t="s">
        <v>34</v>
      </c>
      <c r="I11">
        <v>2.91523071205815</v>
      </c>
      <c r="J11">
        <v>2.6581854680000001</v>
      </c>
      <c r="K11">
        <v>0.60390420073538897</v>
      </c>
      <c r="L11">
        <v>4.134575559</v>
      </c>
      <c r="M11">
        <v>0.12703354385198201</v>
      </c>
    </row>
    <row r="12" spans="1:31" x14ac:dyDescent="0.25">
      <c r="A12" t="s">
        <v>49</v>
      </c>
      <c r="B12" t="s">
        <v>50</v>
      </c>
      <c r="C12">
        <v>2.7682437083559899</v>
      </c>
      <c r="D12">
        <v>2.7753778869999999</v>
      </c>
      <c r="E12">
        <v>0.70342265167665097</v>
      </c>
      <c r="F12">
        <v>4.0811358159999997</v>
      </c>
      <c r="G12">
        <v>2.94039629022026E-2</v>
      </c>
      <c r="H12" t="s">
        <v>34</v>
      </c>
      <c r="I12">
        <v>2.91523071205815</v>
      </c>
      <c r="J12">
        <v>2.6581854680000001</v>
      </c>
      <c r="K12">
        <v>0.60390420073538897</v>
      </c>
      <c r="L12">
        <v>4.134575559</v>
      </c>
      <c r="M12">
        <v>0.12703354385198201</v>
      </c>
    </row>
    <row r="13" spans="1:31" x14ac:dyDescent="0.25">
      <c r="A13" t="s">
        <v>51</v>
      </c>
      <c r="B13" t="s">
        <v>52</v>
      </c>
      <c r="C13">
        <v>1.8622816161292199</v>
      </c>
      <c r="D13">
        <v>1.530398323</v>
      </c>
      <c r="E13">
        <v>1.6749811033333299</v>
      </c>
      <c r="F13">
        <v>2.3899371070000002</v>
      </c>
      <c r="G13">
        <v>-3.0234316666666598E-3</v>
      </c>
      <c r="H13" t="s">
        <v>38</v>
      </c>
      <c r="I13">
        <v>2.0521237006378499</v>
      </c>
      <c r="J13">
        <v>1.8577348069999999</v>
      </c>
      <c r="K13">
        <v>0.53003806799999897</v>
      </c>
      <c r="L13">
        <v>2.7868348749999998</v>
      </c>
      <c r="M13">
        <v>9.1227028333333293E-2</v>
      </c>
    </row>
    <row r="14" spans="1:31" x14ac:dyDescent="0.25">
      <c r="A14" t="s">
        <v>53</v>
      </c>
      <c r="B14" t="s">
        <v>52</v>
      </c>
      <c r="C14">
        <v>1.53937602637806</v>
      </c>
      <c r="D14">
        <v>1.54988456</v>
      </c>
      <c r="E14">
        <v>0.84131976901994199</v>
      </c>
      <c r="F14">
        <v>1.596524772</v>
      </c>
      <c r="G14">
        <v>0.65037771955870305</v>
      </c>
      <c r="H14" t="s">
        <v>38</v>
      </c>
      <c r="I14">
        <v>2.1832177033120401</v>
      </c>
      <c r="J14">
        <v>1.6452525250000001</v>
      </c>
      <c r="K14">
        <v>0.70843974773501694</v>
      </c>
      <c r="L14">
        <v>2.5225036080000001</v>
      </c>
      <c r="M14">
        <v>0.106373391378298</v>
      </c>
    </row>
    <row r="15" spans="1:31" s="1" customFormat="1" x14ac:dyDescent="0.25">
      <c r="A15" s="1" t="s">
        <v>53</v>
      </c>
      <c r="B15" s="1" t="s">
        <v>52</v>
      </c>
      <c r="C15" s="2">
        <v>1.6153299250716899</v>
      </c>
      <c r="D15" s="1">
        <v>1.546610467</v>
      </c>
      <c r="E15" s="1">
        <v>1.3116765876712999</v>
      </c>
      <c r="F15" s="1">
        <v>2.175810571</v>
      </c>
      <c r="G15" s="1">
        <v>2.1059275960319001E-3</v>
      </c>
      <c r="H15" s="1" t="s">
        <v>38</v>
      </c>
      <c r="I15" s="2">
        <v>2.3203950683052401</v>
      </c>
      <c r="J15" s="1">
        <v>1.835548161</v>
      </c>
      <c r="K15" s="1">
        <v>0.759569796119963</v>
      </c>
      <c r="L15" s="1">
        <v>2.6131438060000001</v>
      </c>
      <c r="M15" s="1">
        <v>0.12969673517580199</v>
      </c>
    </row>
    <row r="16" spans="1:31" x14ac:dyDescent="0.25">
      <c r="A16" t="s">
        <v>54</v>
      </c>
      <c r="B16" t="s">
        <v>38</v>
      </c>
      <c r="C16">
        <v>2.3296339383346698</v>
      </c>
      <c r="D16">
        <v>1.785650285</v>
      </c>
      <c r="E16">
        <v>0.89148343478260805</v>
      </c>
      <c r="F16">
        <v>2.9373850340000001</v>
      </c>
      <c r="G16">
        <v>9.5699702608695605E-2</v>
      </c>
      <c r="H16" t="s">
        <v>40</v>
      </c>
      <c r="I16">
        <v>2.2186836709530802</v>
      </c>
      <c r="J16">
        <v>2.1894193629999998</v>
      </c>
      <c r="K16">
        <v>0.39354126130434702</v>
      </c>
      <c r="L16">
        <v>3.3775595209999998</v>
      </c>
      <c r="M16">
        <v>8.4813443333333294E-2</v>
      </c>
    </row>
    <row r="17" spans="1:19" x14ac:dyDescent="0.25">
      <c r="A17" t="s">
        <v>55</v>
      </c>
      <c r="B17" t="s">
        <v>38</v>
      </c>
      <c r="C17">
        <v>2.0420635520311001</v>
      </c>
      <c r="D17">
        <v>1.8563202080000001</v>
      </c>
      <c r="E17">
        <v>1.0647057174893799</v>
      </c>
      <c r="F17">
        <v>2.9862677190000002</v>
      </c>
      <c r="G17">
        <v>4.39229573295596E-2</v>
      </c>
      <c r="H17" t="s">
        <v>40</v>
      </c>
      <c r="I17">
        <v>2.2336909609348501</v>
      </c>
      <c r="J17">
        <v>2.2589451829999998</v>
      </c>
      <c r="K17">
        <v>0.173604466394739</v>
      </c>
      <c r="L17">
        <v>3.4307426009999999</v>
      </c>
      <c r="M17">
        <v>2.09000353505924E-2</v>
      </c>
      <c r="N17" t="s">
        <v>42</v>
      </c>
      <c r="O17">
        <v>2.6394102861222599</v>
      </c>
      <c r="P17">
        <v>2.6293409190000001</v>
      </c>
      <c r="Q17">
        <v>0.45418304190460301</v>
      </c>
      <c r="R17">
        <v>3.88868642</v>
      </c>
      <c r="S17">
        <v>9.3295369127889202E-2</v>
      </c>
    </row>
    <row r="18" spans="1:19" x14ac:dyDescent="0.25">
      <c r="A18" t="s">
        <v>56</v>
      </c>
      <c r="B18" t="s">
        <v>42</v>
      </c>
      <c r="C18">
        <v>2.7825161067269</v>
      </c>
      <c r="D18">
        <v>2.5608124509999999</v>
      </c>
      <c r="E18">
        <v>0.67721319232351995</v>
      </c>
      <c r="F18">
        <v>3.8424734530000002</v>
      </c>
      <c r="G18">
        <v>0.116247703880864</v>
      </c>
      <c r="H18" t="s">
        <v>57</v>
      </c>
      <c r="I18">
        <v>1.9427583620011999</v>
      </c>
      <c r="J18">
        <v>1.949407841</v>
      </c>
      <c r="K18">
        <v>0.27348436575820301</v>
      </c>
      <c r="L18">
        <v>2.9662358289999999</v>
      </c>
      <c r="M18">
        <v>3.3373990475058699E-3</v>
      </c>
      <c r="N18" t="s">
        <v>40</v>
      </c>
      <c r="O18">
        <v>2.2422961306308098</v>
      </c>
      <c r="P18">
        <v>2.2470787859999999</v>
      </c>
      <c r="Q18">
        <v>0.57559482156715702</v>
      </c>
      <c r="R18">
        <v>3.5024409419999998</v>
      </c>
      <c r="S18">
        <v>5.07316528393131E-2</v>
      </c>
    </row>
    <row r="19" spans="1:19" x14ac:dyDescent="0.25">
      <c r="A19" t="s">
        <v>58</v>
      </c>
      <c r="B19" t="s">
        <v>59</v>
      </c>
      <c r="C19">
        <v>2.2144014529196201</v>
      </c>
      <c r="D19">
        <v>2.2262439770000002</v>
      </c>
      <c r="E19">
        <v>0.23622583068911701</v>
      </c>
      <c r="F19">
        <v>3.1291180590000001</v>
      </c>
      <c r="G19">
        <v>5.07326992960303E-3</v>
      </c>
      <c r="H19" t="s">
        <v>38</v>
      </c>
      <c r="I19">
        <v>2.16205175427746</v>
      </c>
      <c r="J19">
        <v>1.8217033330000001</v>
      </c>
      <c r="K19">
        <v>0.75824774118874505</v>
      </c>
      <c r="L19">
        <v>2.9547960959999999</v>
      </c>
      <c r="M19">
        <v>9.6905407271998298E-2</v>
      </c>
      <c r="N19" t="s">
        <v>40</v>
      </c>
      <c r="O19">
        <v>2.24394629374653</v>
      </c>
      <c r="P19">
        <v>2.242349811</v>
      </c>
      <c r="Q19">
        <v>0.33995379346587801</v>
      </c>
      <c r="R19">
        <v>3.39818022</v>
      </c>
      <c r="S19">
        <v>8.3234037419577606E-2</v>
      </c>
    </row>
    <row r="20" spans="1:19" x14ac:dyDescent="0.25">
      <c r="A20" t="s">
        <v>60</v>
      </c>
      <c r="B20" t="s">
        <v>34</v>
      </c>
      <c r="C20">
        <v>2.6241717537464502</v>
      </c>
      <c r="D20">
        <v>2.6636667900000002</v>
      </c>
      <c r="E20">
        <v>0.26197267003335201</v>
      </c>
      <c r="F20">
        <v>4.0883520869999996</v>
      </c>
      <c r="G20">
        <v>4.33761211604939E-2</v>
      </c>
      <c r="H20" t="s">
        <v>36</v>
      </c>
      <c r="I20">
        <v>2.9520714130166801</v>
      </c>
      <c r="J20">
        <v>2.9787973349999999</v>
      </c>
      <c r="K20">
        <v>0.352975397614469</v>
      </c>
      <c r="L20">
        <v>4.471325362</v>
      </c>
      <c r="M20">
        <v>9.0541923003228705E-2</v>
      </c>
      <c r="N20" t="s">
        <v>61</v>
      </c>
      <c r="O20">
        <v>2.3709295161883501</v>
      </c>
      <c r="P20">
        <v>2.3932959029999998</v>
      </c>
      <c r="Q20">
        <v>1.05775576780064</v>
      </c>
      <c r="R20">
        <v>2.6717668670000001</v>
      </c>
      <c r="S20">
        <v>0.47913070299711302</v>
      </c>
    </row>
    <row r="21" spans="1:19" s="1" customFormat="1" x14ac:dyDescent="0.25">
      <c r="A21" s="1" t="s">
        <v>62</v>
      </c>
      <c r="B21" s="1" t="s">
        <v>44</v>
      </c>
      <c r="C21" s="2">
        <v>2.3832144974655098</v>
      </c>
      <c r="D21" s="1">
        <v>2.3747611399999999</v>
      </c>
      <c r="E21" s="1">
        <v>1.3640939497070099</v>
      </c>
      <c r="F21" s="1">
        <v>3.5133434569999999</v>
      </c>
      <c r="G21" s="1">
        <v>3.40597758976455E-2</v>
      </c>
      <c r="H21" s="1" t="s">
        <v>36</v>
      </c>
      <c r="I21" s="2">
        <v>3.1028111014399902</v>
      </c>
      <c r="J21" s="1">
        <v>3.1296135899999999</v>
      </c>
      <c r="K21" s="1">
        <v>0.44016044737058002</v>
      </c>
      <c r="L21" s="1">
        <v>4.5428896950000004</v>
      </c>
      <c r="M21" s="1">
        <v>8.7557661369520701E-2</v>
      </c>
      <c r="N21" s="1" t="s">
        <v>34</v>
      </c>
      <c r="O21" s="2">
        <v>2.7173404473346601</v>
      </c>
      <c r="P21" s="1">
        <v>2.7349168439999998</v>
      </c>
      <c r="Q21" s="1">
        <v>0.29413142669634301</v>
      </c>
      <c r="R21" s="1">
        <v>4.1008739670000001</v>
      </c>
      <c r="S21" s="1">
        <v>3.7966505077901398E-2</v>
      </c>
    </row>
    <row r="22" spans="1:19" x14ac:dyDescent="0.25">
      <c r="A22" t="s">
        <v>31</v>
      </c>
      <c r="B22" t="s">
        <v>32</v>
      </c>
      <c r="C22">
        <v>4.11809859412371</v>
      </c>
      <c r="D22">
        <v>2.3729402560000001</v>
      </c>
      <c r="E22">
        <v>1.34165512766666</v>
      </c>
      <c r="F22">
        <v>3.7569020119999998</v>
      </c>
      <c r="G22">
        <v>0.14953329033333301</v>
      </c>
    </row>
    <row r="23" spans="1:19" x14ac:dyDescent="0.25">
      <c r="A23" t="s">
        <v>33</v>
      </c>
      <c r="B23" t="s">
        <v>34</v>
      </c>
      <c r="C23">
        <v>4.5992114342776897</v>
      </c>
      <c r="D23">
        <v>2.6590116269999999</v>
      </c>
      <c r="E23">
        <v>1.4076073956666599</v>
      </c>
      <c r="F23">
        <v>4.1736617139999996</v>
      </c>
      <c r="G23">
        <v>0.15348651766666599</v>
      </c>
    </row>
    <row r="24" spans="1:19" x14ac:dyDescent="0.25">
      <c r="A24" t="s">
        <v>35</v>
      </c>
      <c r="B24" t="s">
        <v>36</v>
      </c>
      <c r="C24">
        <v>5.0614944217642099</v>
      </c>
      <c r="D24">
        <v>2.9852235810000001</v>
      </c>
      <c r="E24">
        <v>1.4128536596666601</v>
      </c>
      <c r="F24">
        <v>4.5904808319999999</v>
      </c>
      <c r="G24">
        <v>0.15401648133333301</v>
      </c>
    </row>
    <row r="25" spans="1:19" x14ac:dyDescent="0.25">
      <c r="A25" t="s">
        <v>37</v>
      </c>
      <c r="B25" t="s">
        <v>38</v>
      </c>
      <c r="C25">
        <v>3.3159909884917802</v>
      </c>
      <c r="D25">
        <v>1.877445579</v>
      </c>
      <c r="E25">
        <v>1.24211620666666</v>
      </c>
      <c r="F25">
        <v>2.791240669</v>
      </c>
      <c r="G25">
        <v>0.160117594333333</v>
      </c>
    </row>
    <row r="26" spans="1:19" x14ac:dyDescent="0.25">
      <c r="A26" t="s">
        <v>39</v>
      </c>
      <c r="B26" t="s">
        <v>40</v>
      </c>
      <c r="C26">
        <v>3.7969068224247802</v>
      </c>
      <c r="D26">
        <v>2.1667668177420101</v>
      </c>
      <c r="E26">
        <v>1.3261367448977901</v>
      </c>
      <c r="F26">
        <v>3.4118449865050602</v>
      </c>
      <c r="G26">
        <v>0.15599734456064501</v>
      </c>
    </row>
    <row r="27" spans="1:19" x14ac:dyDescent="0.25">
      <c r="A27" t="s">
        <v>41</v>
      </c>
      <c r="B27" t="s">
        <v>42</v>
      </c>
      <c r="C27">
        <v>4.2549241444108699</v>
      </c>
      <c r="D27">
        <v>2.4819444686930701</v>
      </c>
      <c r="E27">
        <v>1.3368818783673999</v>
      </c>
      <c r="F27">
        <v>3.9101064417945501</v>
      </c>
      <c r="G27">
        <v>0.16008502330358601</v>
      </c>
    </row>
    <row r="28" spans="1:19" x14ac:dyDescent="0.25">
      <c r="A28" t="s">
        <v>43</v>
      </c>
      <c r="B28" t="s">
        <v>44</v>
      </c>
      <c r="C28">
        <v>5.1123003731591297</v>
      </c>
      <c r="D28">
        <v>2.36</v>
      </c>
      <c r="E28">
        <v>1.2483639757142799</v>
      </c>
      <c r="F28">
        <v>3.426185898</v>
      </c>
      <c r="G28">
        <v>9.5851948571428498E-3</v>
      </c>
    </row>
    <row r="29" spans="1:19" x14ac:dyDescent="0.25">
      <c r="A29" t="s">
        <v>45</v>
      </c>
      <c r="B29" t="s">
        <v>46</v>
      </c>
      <c r="C29">
        <v>6.1761980195166597</v>
      </c>
      <c r="D29">
        <v>2.78</v>
      </c>
      <c r="E29">
        <v>1.1745447594285701</v>
      </c>
      <c r="F29">
        <v>3.4220759759999999</v>
      </c>
      <c r="G29">
        <v>7.17316142857143E-3</v>
      </c>
    </row>
    <row r="30" spans="1:19" x14ac:dyDescent="0.25">
      <c r="A30" t="s">
        <v>47</v>
      </c>
      <c r="B30" t="s">
        <v>48</v>
      </c>
      <c r="C30">
        <v>5.1067922051356698</v>
      </c>
      <c r="D30">
        <v>2.9</v>
      </c>
      <c r="E30">
        <v>0.96608013314285701</v>
      </c>
      <c r="F30">
        <v>3.8872457030000001</v>
      </c>
      <c r="G30">
        <v>8.8732604000000007E-2</v>
      </c>
    </row>
    <row r="31" spans="1:19" x14ac:dyDescent="0.25">
      <c r="A31" t="s">
        <v>49</v>
      </c>
      <c r="B31" t="s">
        <v>50</v>
      </c>
      <c r="C31">
        <v>2.7682437083559899</v>
      </c>
      <c r="D31">
        <v>2.7753778869999999</v>
      </c>
      <c r="E31">
        <v>0.70342265167665097</v>
      </c>
      <c r="F31">
        <v>4.0811358159999997</v>
      </c>
      <c r="G31">
        <v>2.94039629022026E-2</v>
      </c>
      <c r="H31" t="s">
        <v>34</v>
      </c>
      <c r="I31">
        <v>2.9625175167376998</v>
      </c>
      <c r="J31">
        <v>2.6581854680000001</v>
      </c>
      <c r="K31">
        <v>0.60390420073538897</v>
      </c>
      <c r="L31">
        <v>4.134575559</v>
      </c>
      <c r="M31">
        <v>0.12703354385198201</v>
      </c>
    </row>
    <row r="32" spans="1:19" x14ac:dyDescent="0.25">
      <c r="A32" t="s">
        <v>49</v>
      </c>
      <c r="B32" t="s">
        <v>50</v>
      </c>
      <c r="C32">
        <v>2.7682437083559899</v>
      </c>
      <c r="D32">
        <v>2.7753778869999999</v>
      </c>
      <c r="E32">
        <v>0.70342265167665097</v>
      </c>
      <c r="F32">
        <v>4.0811358159999997</v>
      </c>
      <c r="G32">
        <v>2.94039629022026E-2</v>
      </c>
      <c r="H32" t="s">
        <v>34</v>
      </c>
      <c r="I32">
        <v>2.9625175167376998</v>
      </c>
      <c r="J32">
        <v>2.6581854680000001</v>
      </c>
      <c r="K32">
        <v>0.60390420073538897</v>
      </c>
      <c r="L32">
        <v>4.134575559</v>
      </c>
      <c r="M32">
        <v>0.12703354385198201</v>
      </c>
    </row>
    <row r="33" spans="1:19" x14ac:dyDescent="0.25">
      <c r="A33" t="s">
        <v>51</v>
      </c>
      <c r="B33" t="s">
        <v>52</v>
      </c>
      <c r="C33">
        <v>1.8622832667637701</v>
      </c>
      <c r="D33">
        <v>1.530398323</v>
      </c>
      <c r="E33">
        <v>1.6749811033333299</v>
      </c>
      <c r="F33">
        <v>2.3899371070000002</v>
      </c>
      <c r="G33">
        <v>-3.0234316666666598E-3</v>
      </c>
      <c r="H33" t="s">
        <v>38</v>
      </c>
      <c r="I33">
        <v>2.0521239601581001</v>
      </c>
      <c r="J33">
        <v>1.8577348069999999</v>
      </c>
      <c r="K33">
        <v>0.53003806799999897</v>
      </c>
      <c r="L33">
        <v>2.7868348749999998</v>
      </c>
      <c r="M33">
        <v>9.1227028333333293E-2</v>
      </c>
    </row>
    <row r="34" spans="1:19" x14ac:dyDescent="0.25">
      <c r="A34" t="s">
        <v>53</v>
      </c>
      <c r="B34" t="s">
        <v>52</v>
      </c>
      <c r="C34">
        <v>1.53937602637806</v>
      </c>
      <c r="D34">
        <v>1.54988456</v>
      </c>
      <c r="E34">
        <v>0.84131976901994199</v>
      </c>
      <c r="F34">
        <v>1.596524772</v>
      </c>
      <c r="G34">
        <v>0.65037771955870305</v>
      </c>
      <c r="H34" t="s">
        <v>38</v>
      </c>
      <c r="I34">
        <v>2.1832850618489101</v>
      </c>
      <c r="J34">
        <v>1.6452525250000001</v>
      </c>
      <c r="K34">
        <v>0.70843974773501694</v>
      </c>
      <c r="L34">
        <v>2.5225036080000001</v>
      </c>
      <c r="M34">
        <v>0.106373391378298</v>
      </c>
    </row>
    <row r="35" spans="1:19" x14ac:dyDescent="0.25">
      <c r="A35" t="s">
        <v>53</v>
      </c>
      <c r="B35" t="s">
        <v>52</v>
      </c>
      <c r="C35">
        <v>1.61532992530079</v>
      </c>
      <c r="D35">
        <v>1.546610467</v>
      </c>
      <c r="E35">
        <v>1.3116765876712999</v>
      </c>
      <c r="F35">
        <v>2.175810571</v>
      </c>
      <c r="G35">
        <v>2.1059275960319001E-3</v>
      </c>
      <c r="H35" t="s">
        <v>38</v>
      </c>
      <c r="I35">
        <v>2.3204231416308398</v>
      </c>
      <c r="J35">
        <v>1.835548161</v>
      </c>
      <c r="K35">
        <v>0.759569796119963</v>
      </c>
      <c r="L35">
        <v>2.6131438060000001</v>
      </c>
      <c r="M35">
        <v>0.12969673517580199</v>
      </c>
    </row>
    <row r="36" spans="1:19" x14ac:dyDescent="0.25">
      <c r="A36" t="s">
        <v>54</v>
      </c>
      <c r="B36" t="s">
        <v>38</v>
      </c>
      <c r="C36">
        <v>2.3315066619081302</v>
      </c>
      <c r="D36">
        <v>1.785650285</v>
      </c>
      <c r="E36">
        <v>0.89148343478260805</v>
      </c>
      <c r="F36">
        <v>2.9373850340000001</v>
      </c>
      <c r="G36">
        <v>9.5699702608695605E-2</v>
      </c>
      <c r="H36" t="s">
        <v>40</v>
      </c>
      <c r="I36">
        <v>2.2186836709530802</v>
      </c>
      <c r="J36">
        <v>2.1894193629999998</v>
      </c>
      <c r="K36">
        <v>0.39354126130434702</v>
      </c>
      <c r="L36">
        <v>3.3775595209999998</v>
      </c>
      <c r="M36">
        <v>8.4813443333333294E-2</v>
      </c>
    </row>
    <row r="37" spans="1:19" x14ac:dyDescent="0.25">
      <c r="A37" t="s">
        <v>55</v>
      </c>
      <c r="B37" t="s">
        <v>38</v>
      </c>
      <c r="C37">
        <v>2.07233301240402</v>
      </c>
      <c r="D37">
        <v>1.8563202080000001</v>
      </c>
      <c r="E37">
        <v>1.0647057174893799</v>
      </c>
      <c r="F37">
        <v>2.9862677190000002</v>
      </c>
      <c r="G37">
        <v>4.39229573295596E-2</v>
      </c>
      <c r="H37" t="s">
        <v>40</v>
      </c>
      <c r="I37">
        <v>2.23369096120916</v>
      </c>
      <c r="J37">
        <v>2.2589451829999998</v>
      </c>
      <c r="K37">
        <v>0.173604466394739</v>
      </c>
      <c r="L37">
        <v>3.4307426009999999</v>
      </c>
      <c r="M37">
        <v>2.09000353505924E-2</v>
      </c>
      <c r="N37" t="s">
        <v>42</v>
      </c>
      <c r="O37">
        <v>2.6394102861222599</v>
      </c>
      <c r="P37">
        <v>2.6293409190000001</v>
      </c>
      <c r="Q37">
        <v>0.45418304190460301</v>
      </c>
      <c r="R37">
        <v>3.88868642</v>
      </c>
      <c r="S37">
        <v>9.3295369127889202E-2</v>
      </c>
    </row>
    <row r="38" spans="1:19" x14ac:dyDescent="0.25">
      <c r="A38" t="s">
        <v>56</v>
      </c>
      <c r="B38" t="s">
        <v>42</v>
      </c>
      <c r="C38">
        <v>2.8210256530940501</v>
      </c>
      <c r="D38">
        <v>2.5608124509999999</v>
      </c>
      <c r="E38">
        <v>0.67721319232351995</v>
      </c>
      <c r="F38">
        <v>3.8424734530000002</v>
      </c>
      <c r="G38">
        <v>0.116247703880864</v>
      </c>
      <c r="H38" t="s">
        <v>57</v>
      </c>
      <c r="I38">
        <v>1.9427583620011999</v>
      </c>
      <c r="J38">
        <v>1.949407841</v>
      </c>
      <c r="K38">
        <v>0.27348436575820301</v>
      </c>
      <c r="L38">
        <v>2.9662358289999999</v>
      </c>
      <c r="M38">
        <v>3.3373990475058699E-3</v>
      </c>
      <c r="N38" t="s">
        <v>40</v>
      </c>
      <c r="O38">
        <v>2.2432089093124401</v>
      </c>
      <c r="P38">
        <v>2.2470787859999999</v>
      </c>
      <c r="Q38">
        <v>0.57559482156715702</v>
      </c>
      <c r="R38">
        <v>3.5024409419999998</v>
      </c>
      <c r="S38">
        <v>5.07316528393131E-2</v>
      </c>
    </row>
    <row r="39" spans="1:19" x14ac:dyDescent="0.25">
      <c r="A39" t="s">
        <v>58</v>
      </c>
      <c r="B39" t="s">
        <v>59</v>
      </c>
      <c r="C39">
        <v>2.2144014529196299</v>
      </c>
      <c r="D39">
        <v>2.2262439770000002</v>
      </c>
      <c r="E39">
        <v>0.23622583068911701</v>
      </c>
      <c r="F39">
        <v>3.1291180590000001</v>
      </c>
      <c r="G39">
        <v>5.07326992960303E-3</v>
      </c>
      <c r="H39" t="s">
        <v>38</v>
      </c>
      <c r="I39">
        <v>2.1630515732931199</v>
      </c>
      <c r="J39">
        <v>1.8217033330000001</v>
      </c>
      <c r="K39">
        <v>0.75824774118874505</v>
      </c>
      <c r="L39">
        <v>2.9547960959999999</v>
      </c>
      <c r="M39">
        <v>9.6905407271998298E-2</v>
      </c>
      <c r="N39" t="s">
        <v>40</v>
      </c>
      <c r="O39">
        <v>2.24394629374653</v>
      </c>
      <c r="P39">
        <v>2.242349811</v>
      </c>
      <c r="Q39">
        <v>0.33995379346587801</v>
      </c>
      <c r="R39">
        <v>3.39818022</v>
      </c>
      <c r="S39">
        <v>8.3234037419577606E-2</v>
      </c>
    </row>
    <row r="40" spans="1:19" x14ac:dyDescent="0.25">
      <c r="A40" t="s">
        <v>60</v>
      </c>
      <c r="B40" t="s">
        <v>34</v>
      </c>
      <c r="C40">
        <v>2.6241717537464502</v>
      </c>
      <c r="D40">
        <v>2.6636667900000002</v>
      </c>
      <c r="E40">
        <v>0.26197267003335201</v>
      </c>
      <c r="F40">
        <v>4.0883520869999996</v>
      </c>
      <c r="G40">
        <v>4.33761211604939E-2</v>
      </c>
      <c r="H40" t="s">
        <v>36</v>
      </c>
      <c r="I40">
        <v>2.95207141302732</v>
      </c>
      <c r="J40">
        <v>2.9787973349999999</v>
      </c>
      <c r="K40">
        <v>0.352975397614469</v>
      </c>
      <c r="L40">
        <v>4.471325362</v>
      </c>
      <c r="M40">
        <v>9.0541923003228705E-2</v>
      </c>
      <c r="N40" t="s">
        <v>61</v>
      </c>
      <c r="O40">
        <v>2.3709295162013402</v>
      </c>
      <c r="P40">
        <v>2.3932959029999998</v>
      </c>
      <c r="Q40">
        <v>1.05775576780064</v>
      </c>
      <c r="R40">
        <v>2.6717668670000001</v>
      </c>
      <c r="S40">
        <v>0.47913070299711302</v>
      </c>
    </row>
    <row r="41" spans="1:19" x14ac:dyDescent="0.25">
      <c r="A41" t="s">
        <v>62</v>
      </c>
      <c r="B41" t="s">
        <v>44</v>
      </c>
      <c r="C41">
        <v>2.3832144977123502</v>
      </c>
      <c r="D41">
        <v>2.3747611399999999</v>
      </c>
      <c r="E41">
        <v>1.3640939497070099</v>
      </c>
      <c r="F41">
        <v>3.5133434569999999</v>
      </c>
      <c r="G41">
        <v>3.40597758976455E-2</v>
      </c>
      <c r="H41" t="s">
        <v>36</v>
      </c>
      <c r="I41">
        <v>3.1028111014436801</v>
      </c>
      <c r="J41">
        <v>3.1296135899999999</v>
      </c>
      <c r="K41">
        <v>0.44016044737058002</v>
      </c>
      <c r="L41">
        <v>4.5428896950000004</v>
      </c>
      <c r="M41">
        <v>8.7557661369520701E-2</v>
      </c>
      <c r="N41" t="s">
        <v>34</v>
      </c>
      <c r="O41">
        <v>2.7173404473346601</v>
      </c>
      <c r="P41">
        <v>2.7349168439999998</v>
      </c>
      <c r="Q41">
        <v>0.29413142669634301</v>
      </c>
      <c r="R41">
        <v>4.1008739670000001</v>
      </c>
      <c r="S41">
        <v>3.7966505077901398E-2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salt_analysis_results</vt:lpstr>
      <vt:lpstr>salt_analysis_results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Numbers</dc:creator>
  <cp:lastModifiedBy>Jacob Numbers</cp:lastModifiedBy>
  <dcterms:created xsi:type="dcterms:W3CDTF">2025-06-30T18:03:24Z</dcterms:created>
  <dcterms:modified xsi:type="dcterms:W3CDTF">2025-07-01T20:45:43Z</dcterms:modified>
</cp:coreProperties>
</file>