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groups\munro-big\PDF_Molten_Salt\"/>
    </mc:Choice>
  </mc:AlternateContent>
  <xr:revisionPtr revIDLastSave="0" documentId="13_ncr:1_{0405B704-B873-4AA9-8F44-768966F27EAC}" xr6:coauthVersionLast="36" xr6:coauthVersionMax="36" xr10:uidLastSave="{00000000-0000-0000-0000-000000000000}"/>
  <bookViews>
    <workbookView xWindow="0" yWindow="0" windowWidth="28800" windowHeight="13905" xr2:uid="{26887A6A-F5FB-4358-8BF0-CD7C4BB9CFE9}"/>
  </bookViews>
  <sheets>
    <sheet name="MFP-rsu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41" i="1" l="1"/>
  <c r="AK41" i="1"/>
  <c r="AH41" i="1"/>
  <c r="AI41" i="1" s="1"/>
  <c r="AG41" i="1"/>
  <c r="AF41" i="1"/>
  <c r="AD41" i="1"/>
  <c r="AE41" i="1" s="1"/>
  <c r="M41" i="1"/>
  <c r="I41" i="1"/>
  <c r="G41" i="1"/>
  <c r="F41" i="1"/>
  <c r="J41" i="1" s="1"/>
  <c r="AP40" i="1"/>
  <c r="AQ40" i="1" s="1"/>
  <c r="AN40" i="1"/>
  <c r="AL40" i="1"/>
  <c r="AM40" i="1" s="1"/>
  <c r="AJ40" i="1"/>
  <c r="AH40" i="1"/>
  <c r="AI40" i="1" s="1"/>
  <c r="AG40" i="1"/>
  <c r="AE40" i="1"/>
  <c r="AB40" i="1"/>
  <c r="V40" i="1"/>
  <c r="L40" i="1"/>
  <c r="AV40" i="1" s="1"/>
  <c r="AN39" i="1"/>
  <c r="AP39" i="1" s="1"/>
  <c r="AQ39" i="1" s="1"/>
  <c r="AJ39" i="1"/>
  <c r="AL39" i="1" s="1"/>
  <c r="AM39" i="1" s="1"/>
  <c r="AH39" i="1"/>
  <c r="AG39" i="1"/>
  <c r="AI39" i="1" s="1"/>
  <c r="AE39" i="1"/>
  <c r="AB39" i="1"/>
  <c r="V39" i="1"/>
  <c r="AV39" i="1" s="1"/>
  <c r="L39" i="1"/>
  <c r="AN38" i="1"/>
  <c r="AP38" i="1" s="1"/>
  <c r="AQ38" i="1" s="1"/>
  <c r="AM38" i="1"/>
  <c r="AL38" i="1"/>
  <c r="AJ38" i="1"/>
  <c r="AI38" i="1"/>
  <c r="AH38" i="1"/>
  <c r="AG38" i="1"/>
  <c r="AE38" i="1"/>
  <c r="AB38" i="1"/>
  <c r="V38" i="1"/>
  <c r="L38" i="1"/>
  <c r="AV38" i="1" s="1"/>
  <c r="AP37" i="1"/>
  <c r="AQ37" i="1" s="1"/>
  <c r="AN37" i="1"/>
  <c r="AL37" i="1"/>
  <c r="AM37" i="1" s="1"/>
  <c r="AK37" i="1"/>
  <c r="AJ37" i="1"/>
  <c r="AI37" i="1"/>
  <c r="AH37" i="1"/>
  <c r="AG37" i="1"/>
  <c r="AE37" i="1"/>
  <c r="AB37" i="1"/>
  <c r="M37" i="1"/>
  <c r="L37" i="1"/>
  <c r="AV37" i="1" s="1"/>
  <c r="J37" i="1"/>
  <c r="I37" i="1"/>
  <c r="H37" i="1"/>
  <c r="G37" i="1"/>
  <c r="F37" i="1"/>
  <c r="AV36" i="1"/>
  <c r="AN36" i="1"/>
  <c r="AP36" i="1" s="1"/>
  <c r="AQ36" i="1" s="1"/>
  <c r="AK36" i="1"/>
  <c r="AJ36" i="1" s="1"/>
  <c r="AL36" i="1" s="1"/>
  <c r="AM36" i="1" s="1"/>
  <c r="AH36" i="1"/>
  <c r="AI36" i="1" s="1"/>
  <c r="AG36" i="1"/>
  <c r="AE36" i="1"/>
  <c r="AB36" i="1"/>
  <c r="M36" i="1"/>
  <c r="L36" i="1"/>
  <c r="J36" i="1"/>
  <c r="I36" i="1"/>
  <c r="G36" i="1"/>
  <c r="F36" i="1"/>
  <c r="H36" i="1" s="1"/>
  <c r="AV35" i="1"/>
  <c r="AN35" i="1"/>
  <c r="AP35" i="1" s="1"/>
  <c r="AQ35" i="1" s="1"/>
  <c r="AK35" i="1"/>
  <c r="AJ35" i="1"/>
  <c r="AL35" i="1" s="1"/>
  <c r="AM35" i="1" s="1"/>
  <c r="AH35" i="1"/>
  <c r="AI35" i="1" s="1"/>
  <c r="AG35" i="1"/>
  <c r="AE35" i="1"/>
  <c r="AB35" i="1"/>
  <c r="M35" i="1"/>
  <c r="L35" i="1"/>
  <c r="I35" i="1"/>
  <c r="G35" i="1"/>
  <c r="F35" i="1"/>
  <c r="J35" i="1" s="1"/>
  <c r="AP34" i="1"/>
  <c r="AQ34" i="1" s="1"/>
  <c r="AN34" i="1"/>
  <c r="AL34" i="1"/>
  <c r="AM34" i="1" s="1"/>
  <c r="AK34" i="1"/>
  <c r="AJ34" i="1"/>
  <c r="AI34" i="1"/>
  <c r="AH34" i="1"/>
  <c r="AG34" i="1"/>
  <c r="AE34" i="1"/>
  <c r="AB34" i="1"/>
  <c r="M34" i="1"/>
  <c r="L34" i="1"/>
  <c r="AV34" i="1" s="1"/>
  <c r="J34" i="1"/>
  <c r="I34" i="1"/>
  <c r="H34" i="1"/>
  <c r="G34" i="1"/>
  <c r="F34" i="1"/>
  <c r="AQ33" i="1"/>
  <c r="AP33" i="1"/>
  <c r="AN33" i="1"/>
  <c r="AK33" i="1"/>
  <c r="AJ33" i="1"/>
  <c r="AL33" i="1" s="1"/>
  <c r="AM33" i="1" s="1"/>
  <c r="AH33" i="1"/>
  <c r="AG33" i="1"/>
  <c r="AI33" i="1" s="1"/>
  <c r="AE33" i="1"/>
  <c r="AB33" i="1"/>
  <c r="M33" i="1"/>
  <c r="J33" i="1"/>
  <c r="I33" i="1"/>
  <c r="H33" i="1"/>
  <c r="G33" i="1"/>
  <c r="F33" i="1"/>
  <c r="AQ32" i="1"/>
  <c r="AP32" i="1"/>
  <c r="AN32" i="1"/>
  <c r="AK32" i="1"/>
  <c r="AJ32" i="1"/>
  <c r="AL32" i="1" s="1"/>
  <c r="AM32" i="1" s="1"/>
  <c r="AH32" i="1"/>
  <c r="AG32" i="1"/>
  <c r="AI32" i="1" s="1"/>
  <c r="AE32" i="1"/>
  <c r="AB32" i="1"/>
  <c r="M32" i="1"/>
  <c r="J32" i="1"/>
  <c r="I32" i="1"/>
  <c r="H32" i="1"/>
  <c r="G32" i="1"/>
  <c r="F32" i="1"/>
  <c r="AQ31" i="1"/>
  <c r="AP31" i="1"/>
  <c r="AN31" i="1"/>
  <c r="AK31" i="1"/>
  <c r="AJ31" i="1"/>
  <c r="AL31" i="1" s="1"/>
  <c r="AM31" i="1" s="1"/>
  <c r="AH31" i="1"/>
  <c r="AG31" i="1"/>
  <c r="AI31" i="1" s="1"/>
  <c r="AE31" i="1"/>
  <c r="AB31" i="1"/>
  <c r="M31" i="1"/>
  <c r="J31" i="1"/>
  <c r="I31" i="1"/>
  <c r="H31" i="1"/>
  <c r="G31" i="1"/>
  <c r="F31" i="1"/>
  <c r="AV30" i="1"/>
  <c r="AN30" i="1"/>
  <c r="AP30" i="1" s="1"/>
  <c r="AQ30" i="1" s="1"/>
  <c r="AK30" i="1"/>
  <c r="AJ30" i="1" s="1"/>
  <c r="AL30" i="1" s="1"/>
  <c r="AM30" i="1" s="1"/>
  <c r="AH30" i="1"/>
  <c r="AI30" i="1" s="1"/>
  <c r="AG30" i="1"/>
  <c r="AE30" i="1"/>
  <c r="AB30" i="1"/>
  <c r="M30" i="1"/>
  <c r="L30" i="1"/>
  <c r="J30" i="1"/>
  <c r="I30" i="1"/>
  <c r="G30" i="1"/>
  <c r="F30" i="1"/>
  <c r="H30" i="1" s="1"/>
  <c r="AV29" i="1"/>
  <c r="AN29" i="1"/>
  <c r="AP29" i="1" s="1"/>
  <c r="AQ29" i="1" s="1"/>
  <c r="AK29" i="1"/>
  <c r="AJ29" i="1"/>
  <c r="AL29" i="1" s="1"/>
  <c r="AM29" i="1" s="1"/>
  <c r="AH29" i="1"/>
  <c r="AI29" i="1" s="1"/>
  <c r="AG29" i="1"/>
  <c r="AE29" i="1"/>
  <c r="AB29" i="1"/>
  <c r="M29" i="1"/>
  <c r="L29" i="1"/>
  <c r="I29" i="1"/>
  <c r="G29" i="1"/>
  <c r="F29" i="1"/>
  <c r="J29" i="1" s="1"/>
  <c r="AP28" i="1"/>
  <c r="AQ28" i="1" s="1"/>
  <c r="AN28" i="1"/>
  <c r="AK28" i="1"/>
  <c r="AJ28" i="1" s="1"/>
  <c r="AL28" i="1" s="1"/>
  <c r="AM28" i="1" s="1"/>
  <c r="AI28" i="1"/>
  <c r="AH28" i="1"/>
  <c r="AG28" i="1"/>
  <c r="AE28" i="1"/>
  <c r="AB28" i="1"/>
  <c r="M28" i="1"/>
  <c r="L28" i="1"/>
  <c r="AV28" i="1" s="1"/>
  <c r="J28" i="1"/>
  <c r="I28" i="1"/>
  <c r="H28" i="1"/>
  <c r="G28" i="1"/>
  <c r="F28" i="1"/>
  <c r="AQ27" i="1"/>
  <c r="AP27" i="1"/>
  <c r="AN27" i="1"/>
  <c r="AK27" i="1"/>
  <c r="AJ27" i="1"/>
  <c r="AL27" i="1" s="1"/>
  <c r="AM27" i="1" s="1"/>
  <c r="AH27" i="1"/>
  <c r="AG27" i="1"/>
  <c r="AI27" i="1" s="1"/>
  <c r="AE27" i="1"/>
  <c r="AB27" i="1"/>
  <c r="M27" i="1"/>
  <c r="J27" i="1"/>
  <c r="I27" i="1"/>
  <c r="H27" i="1"/>
  <c r="G27" i="1"/>
  <c r="F27" i="1"/>
  <c r="AV26" i="1"/>
  <c r="AN26" i="1"/>
  <c r="AP26" i="1" s="1"/>
  <c r="AQ26" i="1" s="1"/>
  <c r="AK26" i="1"/>
  <c r="AJ26" i="1" s="1"/>
  <c r="AL26" i="1" s="1"/>
  <c r="AM26" i="1" s="1"/>
  <c r="AH26" i="1"/>
  <c r="AI26" i="1" s="1"/>
  <c r="AG26" i="1"/>
  <c r="AE26" i="1"/>
  <c r="AB26" i="1"/>
  <c r="M26" i="1"/>
  <c r="L26" i="1"/>
  <c r="J26" i="1"/>
  <c r="I26" i="1"/>
  <c r="G26" i="1"/>
  <c r="F26" i="1"/>
  <c r="H26" i="1" s="1"/>
  <c r="AV25" i="1"/>
  <c r="AN25" i="1"/>
  <c r="AP25" i="1" s="1"/>
  <c r="AQ25" i="1" s="1"/>
  <c r="AK25" i="1"/>
  <c r="AJ25" i="1"/>
  <c r="AL25" i="1" s="1"/>
  <c r="AM25" i="1" s="1"/>
  <c r="AH25" i="1"/>
  <c r="AI25" i="1" s="1"/>
  <c r="AG25" i="1"/>
  <c r="AE25" i="1"/>
  <c r="AB25" i="1"/>
  <c r="M25" i="1"/>
  <c r="L25" i="1"/>
  <c r="I25" i="1"/>
  <c r="G25" i="1"/>
  <c r="F25" i="1"/>
  <c r="J25" i="1" s="1"/>
  <c r="AP24" i="1"/>
  <c r="AQ24" i="1" s="1"/>
  <c r="AN24" i="1"/>
  <c r="AK24" i="1"/>
  <c r="AJ24" i="1" s="1"/>
  <c r="AL24" i="1" s="1"/>
  <c r="AM24" i="1" s="1"/>
  <c r="AI24" i="1"/>
  <c r="AH24" i="1"/>
  <c r="AG24" i="1"/>
  <c r="AE24" i="1"/>
  <c r="AB24" i="1"/>
  <c r="M24" i="1"/>
  <c r="L24" i="1"/>
  <c r="AV24" i="1" s="1"/>
  <c r="J24" i="1"/>
  <c r="I24" i="1"/>
  <c r="H24" i="1"/>
  <c r="G24" i="1"/>
  <c r="F24" i="1"/>
  <c r="AV23" i="1"/>
  <c r="AN23" i="1"/>
  <c r="AP23" i="1" s="1"/>
  <c r="AQ23" i="1" s="1"/>
  <c r="AK23" i="1"/>
  <c r="AJ23" i="1" s="1"/>
  <c r="AL23" i="1" s="1"/>
  <c r="AM23" i="1" s="1"/>
  <c r="AH23" i="1"/>
  <c r="AI23" i="1" s="1"/>
  <c r="AG23" i="1"/>
  <c r="AE23" i="1"/>
  <c r="AB23" i="1"/>
  <c r="M23" i="1"/>
  <c r="L23" i="1"/>
  <c r="J23" i="1"/>
  <c r="I23" i="1"/>
  <c r="G23" i="1"/>
  <c r="F23" i="1"/>
  <c r="H23" i="1" s="1"/>
  <c r="AN22" i="1"/>
  <c r="AK22" i="1"/>
  <c r="T22" i="1"/>
  <c r="O22" i="1"/>
  <c r="M22" i="1"/>
  <c r="L22" i="1"/>
  <c r="AV22" i="1" s="1"/>
  <c r="J22" i="1"/>
  <c r="I22" i="1"/>
  <c r="G22" i="1"/>
  <c r="F22" i="1"/>
  <c r="H22" i="1" s="1"/>
  <c r="AN21" i="1"/>
  <c r="AK21" i="1"/>
  <c r="T21" i="1"/>
  <c r="O21" i="1"/>
  <c r="M21" i="1"/>
  <c r="L21" i="1"/>
  <c r="AV21" i="1" s="1"/>
  <c r="J21" i="1"/>
  <c r="I21" i="1"/>
  <c r="G21" i="1"/>
  <c r="F21" i="1"/>
  <c r="H21" i="1" s="1"/>
  <c r="AN20" i="1"/>
  <c r="AK20" i="1"/>
  <c r="T20" i="1"/>
  <c r="O20" i="1"/>
  <c r="M20" i="1"/>
  <c r="J20" i="1"/>
  <c r="I20" i="1"/>
  <c r="H20" i="1"/>
  <c r="G20" i="1"/>
  <c r="F20" i="1"/>
  <c r="AN19" i="1"/>
  <c r="AK19" i="1"/>
  <c r="U19" i="1"/>
  <c r="O19" i="1" s="1"/>
  <c r="T19" i="1"/>
  <c r="M19" i="1"/>
  <c r="I19" i="1"/>
  <c r="G19" i="1"/>
  <c r="H19" i="1" s="1"/>
  <c r="F19" i="1"/>
  <c r="AP18" i="1"/>
  <c r="AQ18" i="1" s="1"/>
  <c r="AN18" i="1"/>
  <c r="AK18" i="1"/>
  <c r="AJ18" i="1" s="1"/>
  <c r="AL18" i="1" s="1"/>
  <c r="AM18" i="1" s="1"/>
  <c r="AI18" i="1"/>
  <c r="AH18" i="1"/>
  <c r="AG18" i="1"/>
  <c r="AE18" i="1"/>
  <c r="AB18" i="1"/>
  <c r="U18" i="1"/>
  <c r="T18" i="1"/>
  <c r="M18" i="1"/>
  <c r="I18" i="1"/>
  <c r="G18" i="1"/>
  <c r="F18" i="1"/>
  <c r="J18" i="1" s="1"/>
  <c r="AN17" i="1"/>
  <c r="AP17" i="1" s="1"/>
  <c r="AQ17" i="1" s="1"/>
  <c r="AK17" i="1"/>
  <c r="AJ17" i="1" s="1"/>
  <c r="AL17" i="1" s="1"/>
  <c r="AM17" i="1" s="1"/>
  <c r="AH17" i="1"/>
  <c r="AI17" i="1" s="1"/>
  <c r="AG17" i="1"/>
  <c r="AE17" i="1"/>
  <c r="AB17" i="1"/>
  <c r="U17" i="1"/>
  <c r="T17" i="1"/>
  <c r="M17" i="1"/>
  <c r="I17" i="1"/>
  <c r="H17" i="1"/>
  <c r="G17" i="1"/>
  <c r="F17" i="1"/>
  <c r="J17" i="1" s="1"/>
  <c r="AV16" i="1"/>
  <c r="AN16" i="1"/>
  <c r="AP16" i="1" s="1"/>
  <c r="AQ16" i="1" s="1"/>
  <c r="AK16" i="1"/>
  <c r="AJ16" i="1" s="1"/>
  <c r="AL16" i="1" s="1"/>
  <c r="AM16" i="1" s="1"/>
  <c r="AH16" i="1"/>
  <c r="AI16" i="1" s="1"/>
  <c r="AG16" i="1"/>
  <c r="AE16" i="1"/>
  <c r="AB16" i="1"/>
  <c r="U16" i="1"/>
  <c r="T16" i="1"/>
  <c r="O16" i="1"/>
  <c r="M16" i="1"/>
  <c r="L16" i="1"/>
  <c r="J16" i="1"/>
  <c r="I16" i="1"/>
  <c r="G16" i="1"/>
  <c r="F16" i="1"/>
  <c r="H16" i="1" s="1"/>
  <c r="AN15" i="1"/>
  <c r="AK15" i="1"/>
  <c r="U15" i="1"/>
  <c r="T15" i="1"/>
  <c r="O15" i="1"/>
  <c r="M15" i="1"/>
  <c r="L15" i="1"/>
  <c r="AV15" i="1" s="1"/>
  <c r="I15" i="1"/>
  <c r="H15" i="1"/>
  <c r="G15" i="1"/>
  <c r="F15" i="1"/>
  <c r="J15" i="1" s="1"/>
  <c r="AV14" i="1"/>
  <c r="AN14" i="1"/>
  <c r="AP14" i="1" s="1"/>
  <c r="AQ14" i="1" s="1"/>
  <c r="AK14" i="1"/>
  <c r="AJ14" i="1" s="1"/>
  <c r="AL14" i="1" s="1"/>
  <c r="AM14" i="1" s="1"/>
  <c r="AH14" i="1"/>
  <c r="AI14" i="1" s="1"/>
  <c r="AG14" i="1"/>
  <c r="AE14" i="1"/>
  <c r="AB14" i="1"/>
  <c r="U14" i="1"/>
  <c r="T14" i="1"/>
  <c r="O14" i="1"/>
  <c r="M14" i="1"/>
  <c r="L14" i="1"/>
  <c r="J14" i="1"/>
  <c r="I14" i="1"/>
  <c r="G14" i="1"/>
  <c r="F14" i="1"/>
  <c r="H14" i="1" s="1"/>
  <c r="AN13" i="1"/>
  <c r="AP13" i="1" s="1"/>
  <c r="AQ13" i="1" s="1"/>
  <c r="AK13" i="1"/>
  <c r="AJ13" i="1"/>
  <c r="AL13" i="1" s="1"/>
  <c r="AM13" i="1" s="1"/>
  <c r="AH13" i="1"/>
  <c r="AI13" i="1" s="1"/>
  <c r="AG13" i="1"/>
  <c r="AE13" i="1"/>
  <c r="AB13" i="1"/>
  <c r="U13" i="1"/>
  <c r="O13" i="1" s="1"/>
  <c r="T13" i="1"/>
  <c r="M13" i="1"/>
  <c r="L13" i="1"/>
  <c r="AV13" i="1" s="1"/>
  <c r="I13" i="1"/>
  <c r="G13" i="1"/>
  <c r="F13" i="1"/>
  <c r="J13" i="1" s="1"/>
  <c r="AP12" i="1"/>
  <c r="AQ12" i="1" s="1"/>
  <c r="AN12" i="1"/>
  <c r="AK12" i="1"/>
  <c r="AJ12" i="1" s="1"/>
  <c r="AL12" i="1" s="1"/>
  <c r="AM12" i="1" s="1"/>
  <c r="AI12" i="1"/>
  <c r="AH12" i="1"/>
  <c r="AG12" i="1"/>
  <c r="AE12" i="1"/>
  <c r="AB12" i="1"/>
  <c r="U12" i="1"/>
  <c r="O12" i="1" s="1"/>
  <c r="T12" i="1"/>
  <c r="M12" i="1"/>
  <c r="L12" i="1"/>
  <c r="AV12" i="1" s="1"/>
  <c r="J12" i="1"/>
  <c r="I12" i="1"/>
  <c r="H12" i="1"/>
  <c r="G12" i="1"/>
  <c r="F12" i="1"/>
  <c r="AN11" i="1"/>
  <c r="AP11" i="1" s="1"/>
  <c r="AQ11" i="1" s="1"/>
  <c r="AK11" i="1"/>
  <c r="AJ11" i="1" s="1"/>
  <c r="AL11" i="1" s="1"/>
  <c r="AM11" i="1" s="1"/>
  <c r="AH11" i="1"/>
  <c r="AI11" i="1" s="1"/>
  <c r="AG11" i="1"/>
  <c r="AE11" i="1"/>
  <c r="AB11" i="1"/>
  <c r="U11" i="1"/>
  <c r="AV11" i="1" s="1"/>
  <c r="T11" i="1"/>
  <c r="O11" i="1"/>
  <c r="M11" i="1"/>
  <c r="L11" i="1"/>
  <c r="I11" i="1"/>
  <c r="G11" i="1"/>
  <c r="H11" i="1" s="1"/>
  <c r="F11" i="1"/>
  <c r="AP10" i="1"/>
  <c r="AQ10" i="1" s="1"/>
  <c r="AN10" i="1"/>
  <c r="AL10" i="1"/>
  <c r="AM10" i="1" s="1"/>
  <c r="AK10" i="1"/>
  <c r="AJ10" i="1"/>
  <c r="AI10" i="1"/>
  <c r="AH10" i="1"/>
  <c r="AG10" i="1"/>
  <c r="AE10" i="1"/>
  <c r="AB10" i="1"/>
  <c r="T10" i="1"/>
  <c r="M10" i="1"/>
  <c r="L10" i="1"/>
  <c r="I10" i="1"/>
  <c r="G10" i="1"/>
  <c r="F10" i="1"/>
  <c r="J10" i="1" s="1"/>
  <c r="AV9" i="1"/>
  <c r="AP9" i="1"/>
  <c r="AQ9" i="1" s="1"/>
  <c r="AN9" i="1"/>
  <c r="AK9" i="1"/>
  <c r="AJ9" i="1" s="1"/>
  <c r="AL9" i="1" s="1"/>
  <c r="AM9" i="1" s="1"/>
  <c r="AI9" i="1"/>
  <c r="AH9" i="1"/>
  <c r="AG9" i="1"/>
  <c r="AE9" i="1"/>
  <c r="AB9" i="1"/>
  <c r="T9" i="1"/>
  <c r="M9" i="1"/>
  <c r="L9" i="1"/>
  <c r="I9" i="1"/>
  <c r="G9" i="1"/>
  <c r="F9" i="1"/>
  <c r="J9" i="1" s="1"/>
  <c r="AN8" i="1"/>
  <c r="AP8" i="1" s="1"/>
  <c r="AQ8" i="1" s="1"/>
  <c r="AL8" i="1"/>
  <c r="AM8" i="1" s="1"/>
  <c r="AK8" i="1"/>
  <c r="AJ8" i="1"/>
  <c r="AH8" i="1"/>
  <c r="AI8" i="1" s="1"/>
  <c r="AG8" i="1"/>
  <c r="AE8" i="1"/>
  <c r="AB8" i="1"/>
  <c r="T8" i="1"/>
  <c r="M8" i="1"/>
  <c r="L8" i="1"/>
  <c r="AV8" i="1" s="1"/>
  <c r="I8" i="1"/>
  <c r="G8" i="1"/>
  <c r="F8" i="1"/>
  <c r="J8" i="1" s="1"/>
  <c r="AV7" i="1"/>
  <c r="AP7" i="1"/>
  <c r="AQ7" i="1" s="1"/>
  <c r="AN7" i="1"/>
  <c r="AK7" i="1"/>
  <c r="AJ7" i="1" s="1"/>
  <c r="AL7" i="1" s="1"/>
  <c r="AM7" i="1" s="1"/>
  <c r="AI7" i="1"/>
  <c r="AH7" i="1"/>
  <c r="AG7" i="1"/>
  <c r="AE7" i="1"/>
  <c r="AB7" i="1"/>
  <c r="T7" i="1"/>
  <c r="O7" i="1"/>
  <c r="M7" i="1"/>
  <c r="L7" i="1"/>
  <c r="I7" i="1"/>
  <c r="G7" i="1"/>
  <c r="H7" i="1" s="1"/>
  <c r="F7" i="1"/>
  <c r="AV6" i="1"/>
  <c r="AN6" i="1"/>
  <c r="AK6" i="1"/>
  <c r="T6" i="1"/>
  <c r="M6" i="1"/>
  <c r="L6" i="1"/>
  <c r="I6" i="1"/>
  <c r="G6" i="1"/>
  <c r="F6" i="1"/>
  <c r="J6" i="1" s="1"/>
  <c r="AN5" i="1"/>
  <c r="AK5" i="1"/>
  <c r="X5" i="1"/>
  <c r="U5" i="1"/>
  <c r="T5" i="1"/>
  <c r="M5" i="1"/>
  <c r="L5" i="1"/>
  <c r="AV5" i="1" s="1"/>
  <c r="I5" i="1"/>
  <c r="G5" i="1"/>
  <c r="H5" i="1" s="1"/>
  <c r="F5" i="1"/>
  <c r="AP4" i="1"/>
  <c r="AQ4" i="1" s="1"/>
  <c r="AN4" i="1"/>
  <c r="AK4" i="1"/>
  <c r="AJ4" i="1"/>
  <c r="AL4" i="1" s="1"/>
  <c r="AM4" i="1" s="1"/>
  <c r="AH4" i="1"/>
  <c r="AG4" i="1"/>
  <c r="AI4" i="1" s="1"/>
  <c r="AE4" i="1"/>
  <c r="AB4" i="1"/>
  <c r="T4" i="1"/>
  <c r="M4" i="1"/>
  <c r="L4" i="1"/>
  <c r="AV4" i="1" s="1"/>
  <c r="J4" i="1"/>
  <c r="I4" i="1"/>
  <c r="G4" i="1"/>
  <c r="F4" i="1"/>
  <c r="H4" i="1" s="1"/>
  <c r="AV3" i="1"/>
  <c r="AN3" i="1"/>
  <c r="AP3" i="1" s="1"/>
  <c r="AQ3" i="1" s="1"/>
  <c r="AK3" i="1"/>
  <c r="AJ3" i="1"/>
  <c r="AL3" i="1" s="1"/>
  <c r="AM3" i="1" s="1"/>
  <c r="AH3" i="1"/>
  <c r="AI3" i="1" s="1"/>
  <c r="AG3" i="1"/>
  <c r="AE3" i="1"/>
  <c r="AB3" i="1"/>
  <c r="T3" i="1"/>
  <c r="M3" i="1"/>
  <c r="L3" i="1"/>
  <c r="I3" i="1"/>
  <c r="G3" i="1"/>
  <c r="H3" i="1" s="1"/>
  <c r="F3" i="1"/>
  <c r="AP2" i="1"/>
  <c r="AQ2" i="1" s="1"/>
  <c r="AN2" i="1"/>
  <c r="AK2" i="1"/>
  <c r="AJ2" i="1"/>
  <c r="AL2" i="1" s="1"/>
  <c r="AM2" i="1" s="1"/>
  <c r="AH2" i="1"/>
  <c r="AG2" i="1"/>
  <c r="AI2" i="1" s="1"/>
  <c r="AE2" i="1"/>
  <c r="AB2" i="1"/>
  <c r="T2" i="1"/>
  <c r="M2" i="1"/>
  <c r="L2" i="1"/>
  <c r="AV2" i="1" s="1"/>
  <c r="J2" i="1"/>
  <c r="I2" i="1"/>
  <c r="G2" i="1"/>
  <c r="F2" i="1"/>
  <c r="H2" i="1" s="1"/>
  <c r="H6" i="1" l="1"/>
  <c r="H9" i="1"/>
  <c r="H25" i="1"/>
  <c r="H29" i="1"/>
  <c r="H35" i="1"/>
  <c r="H41" i="1"/>
  <c r="J3" i="1"/>
  <c r="J5" i="1"/>
  <c r="J11" i="1"/>
  <c r="J19" i="1"/>
  <c r="AN41" i="1"/>
  <c r="AP41" i="1" s="1"/>
  <c r="AQ41" i="1" s="1"/>
  <c r="J7" i="1"/>
  <c r="H8" i="1"/>
  <c r="H10" i="1"/>
  <c r="H13" i="1"/>
  <c r="H18" i="1"/>
  <c r="AJ41" i="1"/>
  <c r="AL41" i="1" s="1"/>
  <c r="AM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V6" authorId="0" shapeId="0" xr:uid="{A70CC089-0511-4187-B740-0798BC62CA69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V7" authorId="0" shapeId="0" xr:uid="{A33A9870-F0D0-4318-9D22-C114714F0F5E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V8" authorId="0" shapeId="0" xr:uid="{8429D8EB-C7F1-4C8B-9575-B203B694F62B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V9" authorId="0" shapeId="0" xr:uid="{89FF5F51-D465-43FA-B079-DCA1926FBC11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7" authorId="0" shapeId="0" xr:uid="{4F1E293C-547A-4E69-B1A3-1D7033962F2B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N17" authorId="0" shapeId="0" xr:uid="{604D9555-128A-4704-AA48-6F29229564FE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O17" authorId="0" shapeId="0" xr:uid="{5A948D7A-F8D1-462F-9E94-A57BCF414473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P17" authorId="0" shapeId="0" xr:uid="{3829A6AC-AC92-4FE8-AA6D-2D7D28A7AA2C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  <comment ref="R17" authorId="0" shapeId="0" xr:uid="{BB2BB24E-7E3F-451B-B48A-AA0C15D373F3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S17" authorId="0" shapeId="0" xr:uid="{560745A6-52F8-460D-8D4B-E20186E0F0DC}">
      <text>
        <r>
          <rPr>
            <sz val="11"/>
            <color theme="1"/>
            <rFont val="Calibri"/>
            <family val="2"/>
            <scheme val="minor"/>
          </rPr>
          <t>Jacob Numbers:
Gheribi 2014</t>
        </r>
      </text>
    </comment>
    <comment ref="V17" authorId="0" shapeId="0" xr:uid="{D39323D6-6CF5-4927-832D-3EF83C414819}">
      <text>
        <r>
          <rPr>
            <sz val="11"/>
            <color theme="1"/>
            <rFont val="Calibri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17" authorId="0" shapeId="0" xr:uid="{0ABAC132-3B57-4C11-8A3C-80ABA8F0B873}">
      <text>
        <r>
          <rPr>
            <sz val="11"/>
            <color theme="1"/>
            <rFont val="Calibri"/>
            <family val="2"/>
            <scheme val="minor"/>
          </rPr>
          <t xml:space="preserve">Jacob Numbers:
Janz, 1979
</t>
        </r>
      </text>
    </comment>
    <comment ref="AO17" authorId="0" shapeId="0" xr:uid="{21D22BC9-4B51-475C-8F06-B651F5F69E52}">
      <text>
        <r>
          <rPr>
            <sz val="11"/>
            <color theme="1"/>
            <rFont val="Calibri"/>
            <family val="2"/>
            <scheme val="minor"/>
          </rPr>
          <t>Jacob Numbers:
Gheribi, 2014</t>
        </r>
      </text>
    </comment>
  </commentList>
</comments>
</file>

<file path=xl/sharedStrings.xml><?xml version="1.0" encoding="utf-8"?>
<sst xmlns="http://schemas.openxmlformats.org/spreadsheetml/2006/main" count="86" uniqueCount="83">
  <si>
    <t>Compound</t>
  </si>
  <si>
    <t>S/cm</t>
  </si>
  <si>
    <t>order</t>
  </si>
  <si>
    <t>protons</t>
  </si>
  <si>
    <t>electrons</t>
  </si>
  <si>
    <t>Mp/molecule</t>
  </si>
  <si>
    <t>Me/molecule</t>
  </si>
  <si>
    <t>ratio of Mpe*#</t>
  </si>
  <si>
    <t>ratio</t>
  </si>
  <si>
    <t>Dif mass</t>
  </si>
  <si>
    <t>M_i (g/mol)</t>
  </si>
  <si>
    <t>Visc (N*s/m^2)</t>
  </si>
  <si>
    <t>T_i_m (K) inverse</t>
  </si>
  <si>
    <t>T_i_m (K)</t>
  </si>
  <si>
    <t>V_i_m (m^3/mol)</t>
  </si>
  <si>
    <t>alpha_i_m (K^-1)</t>
  </si>
  <si>
    <t>r_c (m)</t>
  </si>
  <si>
    <t>r_a (m)</t>
  </si>
  <si>
    <t>sum_radii</t>
  </si>
  <si>
    <t>rho_m (g/m^3)</t>
  </si>
  <si>
    <t>SoS(T)_A (A+B*T)</t>
  </si>
  <si>
    <t>SoS(T)_B</t>
  </si>
  <si>
    <t>A (Density (g/cm3):   A - BT(K))</t>
  </si>
  <si>
    <t>B (Density (g/cm3):   A - BT(K))</t>
  </si>
  <si>
    <t>#_cations</t>
  </si>
  <si>
    <t>#_anions</t>
  </si>
  <si>
    <t>sum_ions</t>
  </si>
  <si>
    <t>λ_meas</t>
  </si>
  <si>
    <t>1/3*Cp*vs*r_sum</t>
  </si>
  <si>
    <t>dev_λ</t>
  </si>
  <si>
    <t>1/3*Cp*vs</t>
  </si>
  <si>
    <t>r_sum</t>
  </si>
  <si>
    <t>MFP_calc</t>
  </si>
  <si>
    <t>MFP_dev</t>
  </si>
  <si>
    <t>1/3*Cp*r_sum</t>
  </si>
  <si>
    <t>SoS_Tm</t>
  </si>
  <si>
    <t>vs_calc</t>
  </si>
  <si>
    <t>vs_dev</t>
  </si>
  <si>
    <t>1/3*vs*r_sum</t>
  </si>
  <si>
    <t>C_i_p (J/mol/K)</t>
  </si>
  <si>
    <t>Cp_calc</t>
  </si>
  <si>
    <t>Cp_dev</t>
  </si>
  <si>
    <t>Visc/(Dens*C0)</t>
  </si>
  <si>
    <t>LiF</t>
  </si>
  <si>
    <t>NaF</t>
  </si>
  <si>
    <t>KF</t>
  </si>
  <si>
    <t>RbF</t>
  </si>
  <si>
    <t>CsF</t>
  </si>
  <si>
    <t>LiCl</t>
  </si>
  <si>
    <t>NaCl</t>
  </si>
  <si>
    <t>KCl</t>
  </si>
  <si>
    <t>BeF2</t>
  </si>
  <si>
    <t>MgF2</t>
  </si>
  <si>
    <t>CaF2</t>
  </si>
  <si>
    <t>SrF2</t>
  </si>
  <si>
    <t>MgCl2</t>
  </si>
  <si>
    <t>CaCl2</t>
  </si>
  <si>
    <t>SrCl2</t>
  </si>
  <si>
    <t>NaNO3</t>
  </si>
  <si>
    <t>KNO3</t>
  </si>
  <si>
    <t>ZrF4</t>
  </si>
  <si>
    <t>ThF4</t>
  </si>
  <si>
    <t>UF4</t>
  </si>
  <si>
    <t>UCl3</t>
  </si>
  <si>
    <t>0.68KCl-0.32MgCl2</t>
  </si>
  <si>
    <t>0.66LiF-0.34BeF2</t>
  </si>
  <si>
    <t>0.465LiF-0.115NaF-0.42KF</t>
  </si>
  <si>
    <t>0.675LiF-0.2BeF2-0.005ThF4-0.12UF4</t>
  </si>
  <si>
    <t>0.712LiF-0.23BeF2-0.05ZrF4-0.008UF4</t>
  </si>
  <si>
    <t>0.73LiF-0.27BeF2</t>
  </si>
  <si>
    <t>0.725LiF-0.265BeF2-0.01UF4</t>
  </si>
  <si>
    <t>0.72LiF-0.26BeF2-0.02UF4</t>
  </si>
  <si>
    <t>0.32KCl-0.68MgCl2</t>
  </si>
  <si>
    <t>0.4598NaCl-0.3891KCl-0.1511MgCl2</t>
  </si>
  <si>
    <t>0.345NaF-0.59KF-0.065MgF2</t>
  </si>
  <si>
    <t>0.582LiCl-0.418KCl</t>
  </si>
  <si>
    <t>0.6LiF-0.4NaF</t>
  </si>
  <si>
    <t>0.63NaCl-0.37UCl3 (ORNL)</t>
  </si>
  <si>
    <t>0.658NaCl-0.342UCl3 (ANL)</t>
  </si>
  <si>
    <r>
      <t>(NaF-KF)-.3UF</t>
    </r>
    <r>
      <rPr>
        <vertAlign val="subscript"/>
        <sz val="11"/>
        <color theme="1"/>
        <rFont val="Calibri"/>
        <family val="2"/>
        <scheme val="minor"/>
      </rPr>
      <t>4</t>
    </r>
  </si>
  <si>
    <r>
      <t>(NaF-KF)-.4UF</t>
    </r>
    <r>
      <rPr>
        <vertAlign val="subscript"/>
        <sz val="11"/>
        <color theme="1"/>
        <rFont val="Calibri"/>
        <family val="2"/>
        <scheme val="minor"/>
      </rPr>
      <t>4</t>
    </r>
  </si>
  <si>
    <r>
      <t>(NaF-KF)-.5UF</t>
    </r>
    <r>
      <rPr>
        <vertAlign val="subscript"/>
        <sz val="11"/>
        <color theme="1"/>
        <rFont val="Calibri"/>
        <family val="2"/>
        <scheme val="minor"/>
      </rPr>
      <t>4</t>
    </r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</si>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</sst>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0"/>
    <numFmt numFmtId="165" formatCode="#,##0.000"/>
    <numFmt numFmtId="166" formatCode="#,##0.00000000000000000"/>
    <numFmt numFmtId="167" formatCode="0.0000000"/>
    <numFmt numFmtId="168" formatCode="0.00000"/>
    <numFmt numFmtId="169" formatCode="0.000E+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3" fontId="1" fillId="0" borderId="1" xfId="0" applyNumberFormat="1" applyFont="1" applyFill="1" applyBorder="1" applyAlignment="1">
      <alignment horizontal="left"/>
    </xf>
    <xf numFmtId="0" fontId="0" fillId="0" borderId="1" xfId="0" applyFont="1" applyBorder="1"/>
    <xf numFmtId="3" fontId="2" fillId="0" borderId="1" xfId="0" applyNumberFormat="1" applyFont="1" applyFill="1" applyBorder="1"/>
    <xf numFmtId="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>
      <alignment horizontal="left"/>
    </xf>
    <xf numFmtId="164" fontId="1" fillId="0" borderId="2" xfId="0" applyNumberFormat="1" applyFont="1" applyFill="1" applyBorder="1" applyAlignment="1">
      <alignment horizontal="left"/>
    </xf>
    <xf numFmtId="11" fontId="1" fillId="0" borderId="1" xfId="0" applyNumberFormat="1" applyFont="1" applyFill="1" applyBorder="1" applyAlignment="1">
      <alignment horizontal="left"/>
    </xf>
    <xf numFmtId="0" fontId="2" fillId="0" borderId="1" xfId="0" applyFon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11" fontId="1" fillId="6" borderId="3" xfId="0" applyNumberFormat="1" applyFont="1" applyFill="1" applyBorder="1" applyAlignment="1">
      <alignment horizontal="left"/>
    </xf>
    <xf numFmtId="0" fontId="2" fillId="6" borderId="3" xfId="0" applyFont="1" applyFill="1" applyBorder="1"/>
    <xf numFmtId="0" fontId="2" fillId="7" borderId="3" xfId="0" applyFont="1" applyFill="1" applyBorder="1"/>
    <xf numFmtId="4" fontId="1" fillId="8" borderId="3" xfId="0" applyNumberFormat="1" applyFont="1" applyFill="1" applyBorder="1" applyAlignment="1">
      <alignment horizontal="left"/>
    </xf>
    <xf numFmtId="0" fontId="2" fillId="8" borderId="3" xfId="0" applyFont="1" applyFill="1" applyBorder="1"/>
    <xf numFmtId="0" fontId="0" fillId="8" borderId="3" xfId="0" applyFont="1" applyFill="1" applyBorder="1"/>
    <xf numFmtId="3" fontId="1" fillId="0" borderId="0" xfId="0" applyNumberFormat="1" applyFont="1" applyFill="1" applyAlignment="1">
      <alignment horizontal="left"/>
    </xf>
    <xf numFmtId="2" fontId="0" fillId="0" borderId="0" xfId="0" applyNumberFormat="1" applyBorder="1" applyAlignment="1">
      <alignment horizontal="right"/>
    </xf>
    <xf numFmtId="11" fontId="2" fillId="0" borderId="0" xfId="0" applyNumberFormat="1" applyFont="1" applyFill="1" applyBorder="1"/>
    <xf numFmtId="165" fontId="1" fillId="0" borderId="0" xfId="0" applyNumberFormat="1" applyFont="1" applyFill="1" applyAlignment="1">
      <alignment horizontal="left"/>
    </xf>
    <xf numFmtId="11" fontId="1" fillId="0" borderId="0" xfId="0" applyNumberFormat="1" applyFont="1" applyFill="1" applyAlignment="1">
      <alignment horizontal="left"/>
    </xf>
    <xf numFmtId="4" fontId="1" fillId="0" borderId="0" xfId="0" applyNumberFormat="1" applyFont="1" applyFill="1" applyAlignment="1">
      <alignment horizontal="right"/>
    </xf>
    <xf numFmtId="0" fontId="2" fillId="0" borderId="0" xfId="0" applyFont="1" applyFill="1" applyBorder="1"/>
    <xf numFmtId="166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0" fillId="0" borderId="0" xfId="0" applyBorder="1"/>
    <xf numFmtId="11" fontId="1" fillId="0" borderId="0" xfId="0" applyNumberFormat="1" applyFont="1" applyFill="1" applyAlignment="1">
      <alignment horizontal="right"/>
    </xf>
    <xf numFmtId="4" fontId="2" fillId="0" borderId="0" xfId="0" applyNumberFormat="1" applyFont="1" applyFill="1" applyBorder="1"/>
    <xf numFmtId="0" fontId="2" fillId="2" borderId="4" xfId="0" applyFont="1" applyFill="1" applyBorder="1"/>
    <xf numFmtId="4" fontId="2" fillId="2" borderId="4" xfId="0" applyNumberFormat="1" applyFont="1" applyFill="1" applyBorder="1"/>
    <xf numFmtId="0" fontId="2" fillId="3" borderId="4" xfId="0" applyFont="1" applyFill="1" applyBorder="1"/>
    <xf numFmtId="0" fontId="2" fillId="4" borderId="4" xfId="0" applyFont="1" applyFill="1" applyBorder="1"/>
    <xf numFmtId="11" fontId="2" fillId="5" borderId="4" xfId="0" applyNumberFormat="1" applyFont="1" applyFill="1" applyBorder="1"/>
    <xf numFmtId="11" fontId="1" fillId="6" borderId="4" xfId="0" applyNumberFormat="1" applyFont="1" applyFill="1" applyBorder="1" applyAlignment="1">
      <alignment horizontal="right"/>
    </xf>
    <xf numFmtId="11" fontId="2" fillId="6" borderId="4" xfId="0" applyNumberFormat="1" applyFont="1" applyFill="1" applyBorder="1"/>
    <xf numFmtId="0" fontId="2" fillId="7" borderId="4" xfId="0" applyFont="1" applyFill="1" applyBorder="1"/>
    <xf numFmtId="4" fontId="1" fillId="8" borderId="4" xfId="0" applyNumberFormat="1" applyFont="1" applyFill="1" applyBorder="1" applyAlignment="1">
      <alignment horizontal="right"/>
    </xf>
    <xf numFmtId="0" fontId="2" fillId="8" borderId="4" xfId="0" applyFont="1" applyFill="1" applyBorder="1"/>
    <xf numFmtId="11" fontId="2" fillId="8" borderId="4" xfId="0" applyNumberFormat="1" applyFont="1" applyFill="1" applyBorder="1"/>
    <xf numFmtId="0" fontId="2" fillId="2" borderId="5" xfId="0" applyFont="1" applyFill="1" applyBorder="1"/>
    <xf numFmtId="4" fontId="2" fillId="2" borderId="5" xfId="0" applyNumberFormat="1" applyFont="1" applyFill="1" applyBorder="1"/>
    <xf numFmtId="0" fontId="2" fillId="3" borderId="5" xfId="0" applyFont="1" applyFill="1" applyBorder="1"/>
    <xf numFmtId="0" fontId="2" fillId="4" borderId="5" xfId="0" applyFont="1" applyFill="1" applyBorder="1"/>
    <xf numFmtId="11" fontId="2" fillId="5" borderId="5" xfId="0" applyNumberFormat="1" applyFont="1" applyFill="1" applyBorder="1"/>
    <xf numFmtId="11" fontId="1" fillId="6" borderId="5" xfId="0" applyNumberFormat="1" applyFont="1" applyFill="1" applyBorder="1" applyAlignment="1">
      <alignment horizontal="right"/>
    </xf>
    <xf numFmtId="11" fontId="2" fillId="6" borderId="5" xfId="0" applyNumberFormat="1" applyFont="1" applyFill="1" applyBorder="1"/>
    <xf numFmtId="0" fontId="2" fillId="7" borderId="5" xfId="0" applyFont="1" applyFill="1" applyBorder="1"/>
    <xf numFmtId="4" fontId="1" fillId="8" borderId="5" xfId="0" applyNumberFormat="1" applyFont="1" applyFill="1" applyBorder="1" applyAlignment="1">
      <alignment horizontal="right"/>
    </xf>
    <xf numFmtId="0" fontId="2" fillId="8" borderId="5" xfId="0" applyFont="1" applyFill="1" applyBorder="1"/>
    <xf numFmtId="11" fontId="2" fillId="8" borderId="5" xfId="0" applyNumberFormat="1" applyFont="1" applyFill="1" applyBorder="1"/>
    <xf numFmtId="2" fontId="1" fillId="0" borderId="0" xfId="0" applyNumberFormat="1" applyFont="1" applyFill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11" fontId="1" fillId="0" borderId="6" xfId="0" applyNumberFormat="1" applyFont="1" applyFill="1" applyBorder="1" applyAlignment="1">
      <alignment horizontal="right"/>
    </xf>
    <xf numFmtId="0" fontId="2" fillId="0" borderId="0" xfId="0" applyFont="1" applyFill="1"/>
    <xf numFmtId="164" fontId="2" fillId="0" borderId="0" xfId="1" applyNumberFormat="1" applyFont="1" applyFill="1" applyBorder="1"/>
    <xf numFmtId="164" fontId="2" fillId="0" borderId="0" xfId="0" applyNumberFormat="1" applyFont="1" applyFill="1"/>
    <xf numFmtId="11" fontId="1" fillId="0" borderId="0" xfId="0" applyNumberFormat="1" applyFont="1" applyFill="1" applyBorder="1" applyAlignment="1">
      <alignment horizontal="right"/>
    </xf>
    <xf numFmtId="4" fontId="1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164" fontId="1" fillId="8" borderId="5" xfId="0" applyNumberFormat="1" applyFont="1" applyFill="1" applyBorder="1" applyAlignment="1">
      <alignment horizontal="right"/>
    </xf>
    <xf numFmtId="3" fontId="1" fillId="8" borderId="5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/>
    <xf numFmtId="164" fontId="2" fillId="0" borderId="0" xfId="0" applyNumberFormat="1" applyFont="1" applyFill="1" applyBorder="1"/>
    <xf numFmtId="164" fontId="0" fillId="0" borderId="0" xfId="0" applyNumberFormat="1" applyBorder="1"/>
    <xf numFmtId="0" fontId="0" fillId="2" borderId="5" xfId="0" applyFill="1" applyBorder="1"/>
    <xf numFmtId="0" fontId="0" fillId="3" borderId="5" xfId="0" applyFill="1" applyBorder="1"/>
    <xf numFmtId="0" fontId="0" fillId="6" borderId="5" xfId="0" applyFill="1" applyBorder="1"/>
    <xf numFmtId="0" fontId="0" fillId="8" borderId="5" xfId="0" applyFill="1" applyBorder="1"/>
    <xf numFmtId="3" fontId="2" fillId="0" borderId="0" xfId="0" applyNumberFormat="1" applyFont="1" applyFill="1" applyBorder="1"/>
    <xf numFmtId="167" fontId="2" fillId="0" borderId="0" xfId="0" applyNumberFormat="1" applyFont="1" applyFill="1" applyBorder="1" applyAlignment="1">
      <alignment horizontal="right"/>
    </xf>
    <xf numFmtId="168" fontId="2" fillId="2" borderId="5" xfId="0" applyNumberFormat="1" applyFont="1" applyFill="1" applyBorder="1"/>
    <xf numFmtId="169" fontId="2" fillId="4" borderId="5" xfId="0" applyNumberFormat="1" applyFont="1" applyFill="1" applyBorder="1"/>
    <xf numFmtId="4" fontId="2" fillId="8" borderId="5" xfId="0" applyNumberFormat="1" applyFont="1" applyFill="1" applyBorder="1"/>
    <xf numFmtId="0" fontId="2" fillId="0" borderId="5" xfId="0" applyFont="1" applyFill="1" applyBorder="1"/>
    <xf numFmtId="11" fontId="2" fillId="0" borderId="5" xfId="0" applyNumberFormat="1" applyFont="1" applyFill="1" applyBorder="1"/>
    <xf numFmtId="4" fontId="2" fillId="0" borderId="5" xfId="0" applyNumberFormat="1" applyFont="1" applyFill="1" applyBorder="1"/>
    <xf numFmtId="0" fontId="0" fillId="0" borderId="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'MFP-rsum'!$AF$2:$AF$22</c:f>
              <c:numCache>
                <c:formatCode>General</c:formatCode>
                <c:ptCount val="21"/>
                <c:pt idx="0">
                  <c:v>3801381451.0759559</c:v>
                </c:pt>
                <c:pt idx="1">
                  <c:v>2264711383.8811092</c:v>
                </c:pt>
                <c:pt idx="2">
                  <c:v>1331266012.0265069</c:v>
                </c:pt>
                <c:pt idx="5">
                  <c:v>1565153277.313864</c:v>
                </c:pt>
                <c:pt idx="6">
                  <c:v>1081717855.4526589</c:v>
                </c:pt>
                <c:pt idx="7">
                  <c:v>804148398.82862413</c:v>
                </c:pt>
                <c:pt idx="8">
                  <c:v>3112571177.1964269</c:v>
                </c:pt>
                <c:pt idx="9">
                  <c:v>2691006936.2557101</c:v>
                </c:pt>
                <c:pt idx="10">
                  <c:v>1837367566.4998081</c:v>
                </c:pt>
                <c:pt idx="11">
                  <c:v>1274480629.7023959</c:v>
                </c:pt>
                <c:pt idx="12">
                  <c:v>1140753272.891129</c:v>
                </c:pt>
                <c:pt idx="14">
                  <c:v>1123726028.406646</c:v>
                </c:pt>
                <c:pt idx="15">
                  <c:v>2096950736.418479</c:v>
                </c:pt>
                <c:pt idx="16">
                  <c:v>1438571938.91363</c:v>
                </c:pt>
              </c:numCache>
            </c:numRef>
          </c:xVal>
          <c:yVal>
            <c:numRef>
              <c:f>'MFP-rsum'!$AC$2:$AC$22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0.51871599999999995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2-4071-A9E0-0891938AB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'MFP-rsum'!$AF$23:$AF$40</c:f>
              <c:numCache>
                <c:formatCode>General</c:formatCode>
                <c:ptCount val="18"/>
                <c:pt idx="0">
                  <c:v>1120431343.2759011</c:v>
                </c:pt>
                <c:pt idx="1">
                  <c:v>3671349531.8618751</c:v>
                </c:pt>
                <c:pt idx="2">
                  <c:v>2282353441.8618789</c:v>
                </c:pt>
                <c:pt idx="3">
                  <c:v>2555332250.1711068</c:v>
                </c:pt>
                <c:pt idx="4">
                  <c:v>3356690310.8696609</c:v>
                </c:pt>
                <c:pt idx="5">
                  <c:v>3760693647.4549508</c:v>
                </c:pt>
                <c:pt idx="6">
                  <c:v>3595350729.2626648</c:v>
                </c:pt>
                <c:pt idx="7">
                  <c:v>3449729844.352057</c:v>
                </c:pt>
                <c:pt idx="8">
                  <c:v>1161710543.9117939</c:v>
                </c:pt>
                <c:pt idx="9">
                  <c:v>1260927039.745832</c:v>
                </c:pt>
                <c:pt idx="10">
                  <c:v>1742328821.428329</c:v>
                </c:pt>
                <c:pt idx="11">
                  <c:v>1446976992.079078</c:v>
                </c:pt>
                <c:pt idx="12">
                  <c:v>3211759248.6080689</c:v>
                </c:pt>
                <c:pt idx="13">
                  <c:v>1043486754.089075</c:v>
                </c:pt>
                <c:pt idx="14">
                  <c:v>1053713906.865366</c:v>
                </c:pt>
                <c:pt idx="15">
                  <c:v>1492586451.837889</c:v>
                </c:pt>
                <c:pt idx="16">
                  <c:v>1440892196.1891489</c:v>
                </c:pt>
                <c:pt idx="17">
                  <c:v>1407478287.0168049</c:v>
                </c:pt>
              </c:numCache>
            </c:numRef>
          </c:xVal>
          <c:y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2-4071-A9E0-0891938AB0F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'MFP-rsum'!$AF$41</c:f>
              <c:numCache>
                <c:formatCode>General</c:formatCode>
                <c:ptCount val="1"/>
                <c:pt idx="0">
                  <c:v>1956310395.8564556</c:v>
                </c:pt>
              </c:numCache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2-4071-A9E0-0891938A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1/3*Cp*vsound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'MFP-rsum'!$AH$2:$AH$22</c:f>
              <c:numCache>
                <c:formatCode>General</c:formatCode>
                <c:ptCount val="21"/>
                <c:pt idx="0">
                  <c:v>3.7687383348348277E-10</c:v>
                </c:pt>
                <c:pt idx="1">
                  <c:v>3.9959175656596945E-10</c:v>
                </c:pt>
                <c:pt idx="2">
                  <c:v>4.2641755657523466E-10</c:v>
                </c:pt>
                <c:pt idx="5">
                  <c:v>3.9991610347213343E-10</c:v>
                </c:pt>
                <c:pt idx="6">
                  <c:v>4.7952984910555673E-10</c:v>
                </c:pt>
                <c:pt idx="7">
                  <c:v>4.8341947899948041E-10</c:v>
                </c:pt>
                <c:pt idx="8">
                  <c:v>2.5678418596676501E-10</c:v>
                </c:pt>
                <c:pt idx="9">
                  <c:v>2.4179714709519052E-10</c:v>
                </c:pt>
                <c:pt idx="10">
                  <c:v>3.0739804614922655E-10</c:v>
                </c:pt>
                <c:pt idx="11">
                  <c:v>3.0633262750424528E-10</c:v>
                </c:pt>
                <c:pt idx="12">
                  <c:v>1.7905712379182813E-10</c:v>
                </c:pt>
                <c:pt idx="14">
                  <c:v>3.3884771765935189E-10</c:v>
                </c:pt>
                <c:pt idx="15">
                  <c:v>2.8419151182246556E-10</c:v>
                </c:pt>
                <c:pt idx="16">
                  <c:v>1.014853661821394E-10</c:v>
                </c:pt>
              </c:numCache>
            </c:numRef>
          </c:xVal>
          <c:yVal>
            <c:numRef>
              <c:f>'MFP-rsum'!$AC$2:$AC$22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0.51871599999999995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6-4FDF-9D9D-362ECE2F2FDD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'MFP-rsum'!$AH$23:$AH$37</c:f>
              <c:numCache>
                <c:formatCode>General</c:formatCode>
                <c:ptCount val="15"/>
                <c:pt idx="0">
                  <c:v>3.8845753701199716E-10</c:v>
                </c:pt>
                <c:pt idx="1">
                  <c:v>2.9961734518972644E-10</c:v>
                </c:pt>
                <c:pt idx="2">
                  <c:v>3.4185873702814765E-10</c:v>
                </c:pt>
                <c:pt idx="3">
                  <c:v>4.5395271003303991E-10</c:v>
                </c:pt>
                <c:pt idx="4">
                  <c:v>3.6941149917364205E-10</c:v>
                </c:pt>
                <c:pt idx="5">
                  <c:v>2.6219323241660306E-10</c:v>
                </c:pt>
                <c:pt idx="6">
                  <c:v>2.4769981669004444E-10</c:v>
                </c:pt>
                <c:pt idx="7">
                  <c:v>2.3305383798131233E-10</c:v>
                </c:pt>
                <c:pt idx="8">
                  <c:v>3.9568089407094871E-10</c:v>
                </c:pt>
                <c:pt idx="9">
                  <c:v>3.6921059218577845E-10</c:v>
                </c:pt>
                <c:pt idx="10">
                  <c:v>4.7554516048842846E-10</c:v>
                </c:pt>
                <c:pt idx="11">
                  <c:v>4.0386344457174019E-10</c:v>
                </c:pt>
                <c:pt idx="12">
                  <c:v>2.6946274087941797E-10</c:v>
                </c:pt>
                <c:pt idx="13">
                  <c:v>2.292914368173461E-10</c:v>
                </c:pt>
                <c:pt idx="14">
                  <c:v>2.6162169932534978E-10</c:v>
                </c:pt>
              </c:numCache>
            </c:numRef>
          </c:xVal>
          <c:yVal>
            <c:numRef>
              <c:f>'MFP-rsum'!$AC$23:$AC$37</c:f>
              <c:numCache>
                <c:formatCode>General</c:formatCode>
                <c:ptCount val="15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B6-4FDF-9D9D-362ECE2F2FDD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'MFP-rsum'!$AH$41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6-4FDF-9D9D-362ECE2F2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'MFP-rsum'!$AV$2:$AV$4</c:f>
              <c:numCache>
                <c:formatCode>0.00E+00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'MFP-rsum'!$AH$2:$AH$4</c:f>
              <c:numCache>
                <c:formatCode>General</c:formatCode>
                <c:ptCount val="3"/>
                <c:pt idx="0">
                  <c:v>3.7687383348348277E-10</c:v>
                </c:pt>
                <c:pt idx="1">
                  <c:v>3.9959175656596945E-10</c:v>
                </c:pt>
                <c:pt idx="2">
                  <c:v>4.2641755657523466E-10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3-4ACB-9EA7-D12A3E19E653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'MFP-rsum'!$AV$7:$AV$9</c:f>
              <c:numCache>
                <c:formatCode>0.00E+00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'MFP-rsum'!$AH$7:$AH$9</c:f>
              <c:numCache>
                <c:formatCode>General</c:formatCode>
                <c:ptCount val="3"/>
                <c:pt idx="0">
                  <c:v>3.9991610347213343E-10</c:v>
                </c:pt>
                <c:pt idx="1">
                  <c:v>4.7952984910555673E-10</c:v>
                </c:pt>
                <c:pt idx="2">
                  <c:v>4.8341947899948041E-10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3-4ACB-9EA7-D12A3E19E653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'MFP-rsum'!$AV$10:$AV$13</c:f>
              <c:numCache>
                <c:formatCode>0.00E+00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'MFP-rsum'!$AH$10:$AH$13</c:f>
              <c:numCache>
                <c:formatCode>General</c:formatCode>
                <c:ptCount val="4"/>
                <c:pt idx="0">
                  <c:v>2.5678418596676501E-10</c:v>
                </c:pt>
                <c:pt idx="1">
                  <c:v>2.4179714709519052E-10</c:v>
                </c:pt>
                <c:pt idx="2">
                  <c:v>3.0739804614922655E-10</c:v>
                </c:pt>
                <c:pt idx="3">
                  <c:v>3.0633262750424528E-10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43-4ACB-9EA7-D12A3E19E653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'MFP-rsum'!$AV$14:$AV$16</c:f>
              <c:numCache>
                <c:formatCode>0.00E+00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'MFP-rsum'!$AH$14:$AH$16</c:f>
              <c:numCache>
                <c:formatCode>General</c:formatCode>
                <c:ptCount val="3"/>
                <c:pt idx="0">
                  <c:v>1.7905712379182813E-10</c:v>
                </c:pt>
                <c:pt idx="2">
                  <c:v>3.3884771765935189E-10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43-4ACB-9EA7-D12A3E19E653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('MFP-rsum'!$AV$35,'MFP-rsum'!$AV$28:$AV$30,'MFP-rsum'!$AV$24:$AV$26)</c:f>
              <c:numCache>
                <c:formatCode>0.00E+00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('MFP-rsum'!$AH$35,'MFP-rsum'!$AH$28:$AH$30,'MFP-rsum'!$AH$24:$AH$26)</c:f>
              <c:numCache>
                <c:formatCode>General</c:formatCode>
                <c:ptCount val="7"/>
                <c:pt idx="0">
                  <c:v>2.6946274087941797E-10</c:v>
                </c:pt>
                <c:pt idx="1">
                  <c:v>2.6219323241660306E-10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2.9961734518972644E-10</c:v>
                </c:pt>
                <c:pt idx="5">
                  <c:v>3.4185873702814765E-10</c:v>
                </c:pt>
                <c:pt idx="6">
                  <c:v>4.5395271003303991E-10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43-4ACB-9EA7-D12A3E19E653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('MFP-rsum'!$AV$23,'MFP-rsum'!$AV$36:$AV$37)</c:f>
              <c:numCache>
                <c:formatCode>0.00E+00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'MFP-rsum'!$AH$36:$AH$37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43-4ACB-9EA7-D12A3E19E653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'MFP-rsum'!$AV$41</c:f>
              <c:numCache>
                <c:formatCode>0.00E+00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'MFP-rsum'!$AH$41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43-4ACB-9EA7-D12A3E19E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'MFP-rsum'!$AL$2:$AL$22</c:f>
              <c:numCache>
                <c:formatCode>0.00E+00</c:formatCode>
                <c:ptCount val="21"/>
                <c:pt idx="0">
                  <c:v>4594.2543203311834</c:v>
                </c:pt>
                <c:pt idx="1">
                  <c:v>3546.1642907162945</c:v>
                </c:pt>
                <c:pt idx="2">
                  <c:v>2858.0990766171808</c:v>
                </c:pt>
                <c:pt idx="5">
                  <c:v>3178.1619842234295</c:v>
                </c:pt>
                <c:pt idx="6">
                  <c:v>2954.5816511956787</c:v>
                </c:pt>
                <c:pt idx="7">
                  <c:v>2420.4070756937499</c:v>
                </c:pt>
                <c:pt idx="8">
                  <c:v>3917.5733473420601</c:v>
                </c:pt>
                <c:pt idx="9">
                  <c:v>2566.1164547331541</c:v>
                </c:pt>
                <c:pt idx="10">
                  <c:v>2256.4072031288506</c:v>
                </c:pt>
                <c:pt idx="11">
                  <c:v>1706.9195730176784</c:v>
                </c:pt>
                <c:pt idx="12">
                  <c:v>1486.9526367060503</c:v>
                </c:pt>
                <c:pt idx="14">
                  <c:v>2122.7619577901723</c:v>
                </c:pt>
                <c:pt idx="15">
                  <c:v>1550.6359381556415</c:v>
                </c:pt>
                <c:pt idx="16">
                  <c:v>485.85362732444491</c:v>
                </c:pt>
              </c:numCache>
            </c:numRef>
          </c:xVal>
          <c:yVal>
            <c:numRef>
              <c:f>'MFP-rsum'!$AK$2:$AK$22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5-411F-BE87-A6454689173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'MFP-rsum'!$AL$23:$AL$40</c:f>
              <c:numCache>
                <c:formatCode>0.00E+00</c:formatCode>
                <c:ptCount val="18"/>
                <c:pt idx="0">
                  <c:v>3031.5021274627966</c:v>
                </c:pt>
                <c:pt idx="1">
                  <c:v>4489.23185837235</c:v>
                </c:pt>
                <c:pt idx="2">
                  <c:v>3928.5026616668206</c:v>
                </c:pt>
                <c:pt idx="3">
                  <c:v>4749.3953484419217</c:v>
                </c:pt>
                <c:pt idx="4">
                  <c:v>4937.466210619561</c:v>
                </c:pt>
                <c:pt idx="5">
                  <c:v>3795.8303809762697</c:v>
                </c:pt>
                <c:pt idx="6">
                  <c:v>3449.509084380104</c:v>
                </c:pt>
                <c:pt idx="7">
                  <c:v>3132.7084908009401</c:v>
                </c:pt>
                <c:pt idx="8">
                  <c:v>3532.8676528038841</c:v>
                </c:pt>
                <c:pt idx="9">
                  <c:v>3321.033763100063</c:v>
                </c:pt>
                <c:pt idx="10">
                  <c:v>4633.4649403519479</c:v>
                </c:pt>
                <c:pt idx="11">
                  <c:v>3647.3492314127866</c:v>
                </c:pt>
                <c:pt idx="12">
                  <c:v>3505.1330931193306</c:v>
                </c:pt>
                <c:pt idx="13">
                  <c:v>1402.3754205361033</c:v>
                </c:pt>
                <c:pt idx="14">
                  <c:v>1611.4557750945648</c:v>
                </c:pt>
                <c:pt idx="15">
                  <c:v>2628.0818161314883</c:v>
                </c:pt>
                <c:pt idx="16">
                  <c:v>2395.4780479310921</c:v>
                </c:pt>
                <c:pt idx="17">
                  <c:v>2231.6285138229914</c:v>
                </c:pt>
              </c:numCache>
            </c:numRef>
          </c:xVal>
          <c:yVal>
            <c:numRef>
              <c:f>'MFP-rsum'!$AK$23:$AK$40</c:f>
              <c:numCache>
                <c:formatCode>0.00E+00</c:formatCode>
                <c:ptCount val="18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 formatCode="General">
                  <c:v>1348.6175138087231</c:v>
                </c:pt>
                <c:pt idx="16" formatCode="General">
                  <c:v>1272.126022947567</c:v>
                </c:pt>
                <c:pt idx="17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5-411F-BE87-A6454689173D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'MFP-rsum'!$AL$41</c:f>
              <c:numCache>
                <c:formatCode>0.00E+00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'MFP-rsum'!$AK$41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05-411F-BE87-A6454689173D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9605-411F-BE87-A64546891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'MFP-rsum'!$AO$2:$AO$22</c:f>
              <c:numCache>
                <c:formatCode>#,##0.00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  <c:pt idx="8">
                  <c:v>87.9</c:v>
                </c:pt>
                <c:pt idx="9">
                  <c:v>94.9</c:v>
                </c:pt>
                <c:pt idx="10" formatCode="General">
                  <c:v>99.914000000000001</c:v>
                </c:pt>
                <c:pt idx="11">
                  <c:v>99</c:v>
                </c:pt>
                <c:pt idx="12" formatCode="General">
                  <c:v>92.048000000000002</c:v>
                </c:pt>
                <c:pt idx="13" formatCode="General">
                  <c:v>102.533</c:v>
                </c:pt>
                <c:pt idx="14">
                  <c:v>104.6</c:v>
                </c:pt>
                <c:pt idx="15" formatCode="General">
                  <c:v>155.6</c:v>
                </c:pt>
                <c:pt idx="16" formatCode="General">
                  <c:v>141</c:v>
                </c:pt>
                <c:pt idx="17" formatCode="#,##0.000000">
                  <c:v>123</c:v>
                </c:pt>
                <c:pt idx="18" formatCode="#,##0">
                  <c:v>168</c:v>
                </c:pt>
                <c:pt idx="19" formatCode="#,##0">
                  <c:v>174</c:v>
                </c:pt>
                <c:pt idx="20" formatCode="#,##0">
                  <c:v>150</c:v>
                </c:pt>
              </c:numCache>
            </c:numRef>
          </c:xVal>
          <c:yVal>
            <c:numRef>
              <c:f>'MFP-rsum'!$AC$2:$AC$22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0.51871599999999995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B-44AD-A353-7799BA7C9D0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'MFP-rsum'!$AO$23:$AO$40</c:f>
              <c:numCache>
                <c:formatCode>General</c:formatCode>
                <c:ptCount val="18"/>
                <c:pt idx="0">
                  <c:v>79.503360000000001</c:v>
                </c:pt>
                <c:pt idx="1">
                  <c:v>72.25800000000001</c:v>
                </c:pt>
                <c:pt idx="2">
                  <c:v>66.024000000000001</c:v>
                </c:pt>
                <c:pt idx="3">
                  <c:v>82.635000000000005</c:v>
                </c:pt>
                <c:pt idx="4">
                  <c:v>73.469400000000007</c:v>
                </c:pt>
                <c:pt idx="5">
                  <c:v>70.599000000000004</c:v>
                </c:pt>
                <c:pt idx="6">
                  <c:v>71.578500000000005</c:v>
                </c:pt>
                <c:pt idx="7">
                  <c:v>72.558000000000007</c:v>
                </c:pt>
                <c:pt idx="8">
                  <c:v>86.14464000000001</c:v>
                </c:pt>
                <c:pt idx="9">
                  <c:v>74.557488799999987</c:v>
                </c:pt>
                <c:pt idx="10">
                  <c:v>69.858500000000006</c:v>
                </c:pt>
                <c:pt idx="11">
                  <c:v>68.606440000000006</c:v>
                </c:pt>
                <c:pt idx="12">
                  <c:v>66.600000000000009</c:v>
                </c:pt>
                <c:pt idx="13">
                  <c:v>99.360600000000005</c:v>
                </c:pt>
                <c:pt idx="14">
                  <c:v>97.109960000000001</c:v>
                </c:pt>
                <c:pt idx="15">
                  <c:v>100.416</c:v>
                </c:pt>
                <c:pt idx="16">
                  <c:v>110.928</c:v>
                </c:pt>
                <c:pt idx="17">
                  <c:v>121.44</c:v>
                </c:pt>
              </c:numCache>
            </c:numRef>
          </c:xVal>
          <c:y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B-44AD-A353-7799BA7C9D0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'MFP-rsum'!$AO$41</c:f>
              <c:numCache>
                <c:formatCode>#,##0.00</c:formatCode>
                <c:ptCount val="1"/>
                <c:pt idx="0">
                  <c:v>75.38</c:v>
                </c:pt>
              </c:numCache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B-44AD-A353-7799BA7C9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('MFP-rsum'!$AH$7:$AH$9,'MFP-rsum'!$AH$7:$AH$9)</c:f>
              <c:numCache>
                <c:formatCode>General</c:formatCode>
                <c:ptCount val="6"/>
                <c:pt idx="0">
                  <c:v>3.9991610347213343E-10</c:v>
                </c:pt>
                <c:pt idx="1">
                  <c:v>4.7952984910555673E-10</c:v>
                </c:pt>
                <c:pt idx="2">
                  <c:v>4.8341947899948041E-10</c:v>
                </c:pt>
                <c:pt idx="3">
                  <c:v>3.9991610347213343E-10</c:v>
                </c:pt>
                <c:pt idx="4">
                  <c:v>4.7952984910555673E-10</c:v>
                </c:pt>
                <c:pt idx="5">
                  <c:v>4.8341947899948041E-10</c:v>
                </c:pt>
              </c:numCache>
            </c:numRef>
          </c:xVal>
          <c:yVal>
            <c:numRef>
              <c:f>'MFP-rsum'!$AG$7:$AG$9</c:f>
              <c:numCache>
                <c:formatCode>General</c:formatCode>
                <c:ptCount val="3"/>
                <c:pt idx="0">
                  <c:v>2.5700000000000004E-10</c:v>
                </c:pt>
                <c:pt idx="1">
                  <c:v>2.8300000000000001E-10</c:v>
                </c:pt>
                <c:pt idx="2">
                  <c:v>3.1899999999999998E-10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E-4923-9996-9EAFE216237C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('MFP-rsum'!$AH$2:$AH$4,'MFP-rsum'!$AH$10,'MFP-rsum'!$AH$10:$AH$13)</c:f>
              <c:numCache>
                <c:formatCode>General</c:formatCode>
                <c:ptCount val="8"/>
                <c:pt idx="0">
                  <c:v>3.7687383348348277E-10</c:v>
                </c:pt>
                <c:pt idx="1">
                  <c:v>3.9959175656596945E-10</c:v>
                </c:pt>
                <c:pt idx="2">
                  <c:v>4.2641755657523466E-10</c:v>
                </c:pt>
                <c:pt idx="3">
                  <c:v>2.5678418596676501E-10</c:v>
                </c:pt>
                <c:pt idx="4">
                  <c:v>2.5678418596676501E-10</c:v>
                </c:pt>
                <c:pt idx="5">
                  <c:v>2.4179714709519052E-10</c:v>
                </c:pt>
                <c:pt idx="6">
                  <c:v>3.0739804614922655E-10</c:v>
                </c:pt>
                <c:pt idx="7">
                  <c:v>3.0633262750424528E-10</c:v>
                </c:pt>
              </c:numCache>
            </c:numRef>
          </c:xVal>
          <c:yVal>
            <c:numRef>
              <c:f>('MFP-rsum'!$AG$2:$AG$4,'MFP-rsum'!$AG$10,'MFP-rsum'!$AG$11,'MFP-rsum'!$AG$12,'MFP-rsum'!$AG$13)</c:f>
              <c:numCache>
                <c:formatCode>General</c:formatCode>
                <c:ptCount val="7"/>
                <c:pt idx="0">
                  <c:v>2.0900000000000005E-10</c:v>
                </c:pt>
                <c:pt idx="1">
                  <c:v>2.3499999999999996E-10</c:v>
                </c:pt>
                <c:pt idx="2">
                  <c:v>2.710000000000001E-10</c:v>
                </c:pt>
                <c:pt idx="3">
                  <c:v>1.6699999999999999E-10</c:v>
                </c:pt>
                <c:pt idx="4">
                  <c:v>2.0499999999999996E-10</c:v>
                </c:pt>
                <c:pt idx="5">
                  <c:v>2.3299999999999997E-10</c:v>
                </c:pt>
                <c:pt idx="6">
                  <c:v>2.5100000000000012E-10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E-4923-9996-9EAFE216237C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'MFP-rsum'!$AH$31:$AH$32</c:f>
              <c:numCache>
                <c:formatCode>General</c:formatCode>
                <c:ptCount val="2"/>
                <c:pt idx="0">
                  <c:v>3.9568089407094871E-10</c:v>
                </c:pt>
                <c:pt idx="1">
                  <c:v>3.6921059218577845E-10</c:v>
                </c:pt>
              </c:numCache>
            </c:numRef>
          </c:xVal>
          <c:yVal>
            <c:numRef>
              <c:f>'MFP-rsum'!$AG$31:$AG$32</c:f>
              <c:numCache>
                <c:formatCode>General</c:formatCode>
                <c:ptCount val="2"/>
                <c:pt idx="0">
                  <c:v>2.2842400000000006E-10</c:v>
                </c:pt>
                <c:pt idx="1">
                  <c:v>2.2510131898000011E-10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4E-4923-9996-9EAFE216237C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('MFP-rsum'!$AH$24:$AH$25,'MFP-rsum'!$AH$28,'MFP-rsum'!$AH$33,'MFP-rsum'!$AH$35)</c:f>
              <c:numCache>
                <c:formatCode>General</c:formatCode>
                <c:ptCount val="5"/>
                <c:pt idx="0">
                  <c:v>2.9961734518972644E-10</c:v>
                </c:pt>
                <c:pt idx="1">
                  <c:v>3.4185873702814765E-10</c:v>
                </c:pt>
                <c:pt idx="2">
                  <c:v>2.6219323241660306E-10</c:v>
                </c:pt>
                <c:pt idx="3">
                  <c:v>4.7554516048842846E-10</c:v>
                </c:pt>
                <c:pt idx="4">
                  <c:v>2.6946274087941797E-10</c:v>
                </c:pt>
              </c:numCache>
            </c:numRef>
          </c:xVal>
          <c:yVal>
            <c:numRef>
              <c:f>('MFP-rsum'!$AG$24:$AG$25,'MFP-rsum'!$AG$28,'MFP-rsum'!$AG$33,'MFP-rsum'!$AG$35)</c:f>
              <c:numCache>
                <c:formatCode>General</c:formatCode>
                <c:ptCount val="5"/>
                <c:pt idx="0">
                  <c:v>1.7003600000000001E-10</c:v>
                </c:pt>
                <c:pt idx="1">
                  <c:v>1.7512524999999998E-10</c:v>
                </c:pt>
                <c:pt idx="2">
                  <c:v>1.7597899999999999E-10</c:v>
                </c:pt>
                <c:pt idx="3">
                  <c:v>1.9348255000000005E-10</c:v>
                </c:pt>
                <c:pt idx="4">
                  <c:v>1.7668000000000003E-10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4E-4923-9996-9EAFE216237C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'MFP-rsum'!$AH$36:$AH$37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xVal>
          <c:yVal>
            <c:numRef>
              <c:f>'MFP-rsum'!$AG$36:$AG$37</c:f>
              <c:numCache>
                <c:formatCode>General</c:formatCode>
                <c:ptCount val="2"/>
                <c:pt idx="0">
                  <c:v>2.3736419999999999E-10</c:v>
                </c:pt>
                <c:pt idx="1">
                  <c:v>2.3873015199999994E-10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4E-4923-9996-9EAFE216237C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('MFP-rsum'!$AH$26:$AH$27,'MFP-rsum'!$AH$29:$AH$30,'MFP-rsum'!$AH$38:$AH$40)</c:f>
              <c:numCache>
                <c:formatCode>General</c:formatCode>
                <c:ptCount val="7"/>
                <c:pt idx="0">
                  <c:v>4.5395271003303991E-10</c:v>
                </c:pt>
                <c:pt idx="1">
                  <c:v>3.6941149917364205E-10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3.3093601826261176E-10</c:v>
                </c:pt>
                <c:pt idx="5">
                  <c:v>3.171208353723041E-10</c:v>
                </c:pt>
                <c:pt idx="6">
                  <c:v>3.1210834180383304E-10</c:v>
                </c:pt>
              </c:numCache>
            </c:numRef>
          </c:xVal>
          <c:yVal>
            <c:numRef>
              <c:f>('MFP-rsum'!$AG$26:$AG$27,'MFP-rsum'!$AG$29:$AG$30,'MFP-rsum'!$AG$38:$AG$40)</c:f>
              <c:numCache>
                <c:formatCode>General</c:formatCode>
                <c:ptCount val="7"/>
                <c:pt idx="0">
                  <c:v>1.7027145000000005E-10</c:v>
                </c:pt>
                <c:pt idx="1">
                  <c:v>1.7351204000000004E-10</c:v>
                </c:pt>
                <c:pt idx="2">
                  <c:v>1.7534405000000001E-10</c:v>
                </c:pt>
                <c:pt idx="3">
                  <c:v>1.7473239999999999E-10</c:v>
                </c:pt>
                <c:pt idx="4">
                  <c:v>1.6982200000000003E-10</c:v>
                </c:pt>
                <c:pt idx="5">
                  <c:v>1.68408E-10</c:v>
                </c:pt>
                <c:pt idx="6">
                  <c:v>1.6994999999999999E-10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4E-4923-9996-9EAFE216237C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'MFP-rsum'!$AH$17:$AH$18</c:f>
              <c:numCache>
                <c:formatCode>General</c:formatCode>
                <c:ptCount val="2"/>
                <c:pt idx="0">
                  <c:v>2.8419151182246556E-10</c:v>
                </c:pt>
                <c:pt idx="1">
                  <c:v>1.014853661821394E-10</c:v>
                </c:pt>
              </c:numCache>
            </c:numRef>
          </c:xVal>
          <c:yVal>
            <c:numRef>
              <c:f>'MFP-rsum'!$AG$17:$AG$18</c:f>
              <c:numCache>
                <c:formatCode>General</c:formatCode>
                <c:ptCount val="2"/>
                <c:pt idx="0">
                  <c:v>3.3300000000000009E-10</c:v>
                </c:pt>
                <c:pt idx="1">
                  <c:v>3.6899999999999997E-10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4E-4923-9996-9EAFE216237C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'MFP-rsum'!$AH$41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'MFP-rsum'!$AG$41</c:f>
              <c:numCache>
                <c:formatCode>0.000E+00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4E-4923-9996-9EAFE216237C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D34E-4923-9996-9EAFE2162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'MFP-rsum'!$AD$2:$AD$22</c:f>
              <c:numCache>
                <c:formatCode>General</c:formatCode>
                <c:ptCount val="21"/>
                <c:pt idx="0">
                  <c:v>0.79448872327487496</c:v>
                </c:pt>
                <c:pt idx="1">
                  <c:v>0.53220717521206062</c:v>
                </c:pt>
                <c:pt idx="2">
                  <c:v>0.3607730892591835</c:v>
                </c:pt>
                <c:pt idx="5">
                  <c:v>0.40224439226966308</c:v>
                </c:pt>
                <c:pt idx="6">
                  <c:v>0.30612615309310248</c:v>
                </c:pt>
                <c:pt idx="7">
                  <c:v>0.25652333922633108</c:v>
                </c:pt>
                <c:pt idx="8">
                  <c:v>0.51979938659180325</c:v>
                </c:pt>
                <c:pt idx="9">
                  <c:v>0.55165642193242048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0.28861057804145579</c:v>
                </c:pt>
                <c:pt idx="14">
                  <c:v>0.33599408249358731</c:v>
                </c:pt>
                <c:pt idx="15">
                  <c:v>0.69828459522735364</c:v>
                </c:pt>
                <c:pt idx="16">
                  <c:v>0.53083304545912946</c:v>
                </c:pt>
              </c:numCache>
            </c:numRef>
          </c:xVal>
          <c:yVal>
            <c:numRef>
              <c:f>'MFP-rsum'!$AC$2:$AC$22</c:f>
              <c:numCache>
                <c:formatCode>General</c:formatCode>
                <c:ptCount val="21"/>
                <c:pt idx="0">
                  <c:v>1.4326411999999999</c:v>
                </c:pt>
                <c:pt idx="1">
                  <c:v>0.90495999999999999</c:v>
                </c:pt>
                <c:pt idx="2">
                  <c:v>0.56767520000000005</c:v>
                </c:pt>
                <c:pt idx="5">
                  <c:v>0.62592999999999999</c:v>
                </c:pt>
                <c:pt idx="6">
                  <c:v>0.51871599999999995</c:v>
                </c:pt>
                <c:pt idx="7">
                  <c:v>0.38874099999999989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0.20426</c:v>
                </c:pt>
                <c:pt idx="14">
                  <c:v>0.380772</c:v>
                </c:pt>
                <c:pt idx="15">
                  <c:v>0.59593560000000001</c:v>
                </c:pt>
                <c:pt idx="16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D-4006-8217-748432AD35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'MFP-rsum'!$AD$23:$AD$40</c:f>
              <c:numCache>
                <c:formatCode>General</c:formatCode>
                <c:ptCount val="18"/>
                <c:pt idx="0">
                  <c:v>0.28255485787268969</c:v>
                </c:pt>
                <c:pt idx="1">
                  <c:v>0.62426158899966577</c:v>
                </c:pt>
                <c:pt idx="2">
                  <c:v>0.39969771709442198</c:v>
                </c:pt>
                <c:pt idx="3">
                  <c:v>0.43510012746839721</c:v>
                </c:pt>
                <c:pt idx="4">
                  <c:v>0.58242618348722919</c:v>
                </c:pt>
                <c:pt idx="5">
                  <c:v>0.66180310738547476</c:v>
                </c:pt>
                <c:pt idx="6">
                  <c:v>0.63042335803936922</c:v>
                </c:pt>
                <c:pt idx="7">
                  <c:v>0.60277957505526136</c:v>
                </c:pt>
                <c:pt idx="8">
                  <c:v>0.26536256928250768</c:v>
                </c:pt>
                <c:pt idx="9">
                  <c:v>0.28383633978433381</c:v>
                </c:pt>
                <c:pt idx="10">
                  <c:v>0.33711022330844781</c:v>
                </c:pt>
                <c:pt idx="11">
                  <c:v>0.33404178089988812</c:v>
                </c:pt>
                <c:pt idx="12">
                  <c:v>0.56745362404407373</c:v>
                </c:pt>
                <c:pt idx="13">
                  <c:v>0.24768639859495001</c:v>
                </c:pt>
                <c:pt idx="14">
                  <c:v>0.25155328115048259</c:v>
                </c:pt>
                <c:pt idx="15">
                  <c:v>0.25347401642401401</c:v>
                </c:pt>
                <c:pt idx="16">
                  <c:v>0.24265777297582219</c:v>
                </c:pt>
                <c:pt idx="17">
                  <c:v>0.23920093487850599</c:v>
                </c:pt>
              </c:numCache>
            </c:numRef>
          </c:xVal>
          <c:yVal>
            <c:numRef>
              <c:f>'MFP-rsum'!$AC$23:$AC$40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D-4006-8217-748432AD35E6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'MFP-rsum'!$AD$41</c:f>
              <c:numCache>
                <c:formatCode>0.00000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4D-4006-8217-748432AD35E6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BC4D-4006-8217-748432AD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'MFP-rsum'!$AD$7:$AD$9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'MFP-rsum'!$AC$7:$AC$9</c:f>
              <c:numCache>
                <c:formatCode>General</c:formatCode>
                <c:ptCount val="3"/>
                <c:pt idx="0">
                  <c:v>0.62592999999999999</c:v>
                </c:pt>
                <c:pt idx="1">
                  <c:v>0.51871599999999995</c:v>
                </c:pt>
                <c:pt idx="2">
                  <c:v>0.38874099999999989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1-4904-BDE5-371CEB3A0DCE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('MFP-rsum'!$AD$3:$AD$4,'MFP-rsum'!$AD$10:$AD$13)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('MFP-rsum'!$AC$3:$AC$4,'MFP-rsum'!$AC$10:$AC$13)</c:f>
              <c:numCache>
                <c:formatCode>General</c:formatCode>
                <c:ptCount val="6"/>
                <c:pt idx="0">
                  <c:v>0.90495999999999999</c:v>
                </c:pt>
                <c:pt idx="1">
                  <c:v>0.56767520000000005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81-4904-BDE5-371CEB3A0DCE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'MFP-rsum'!$AD$31:$AD$32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'MFP-rsum'!$AC$31:$AC$32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81-4904-BDE5-371CEB3A0DCE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('MFP-rsum'!$AD$24,'MFP-rsum'!$AD$25,'MFP-rsum'!$AD$28,'MFP-rsum'!$AD$33,'MFP-rsum'!$AD$35)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('MFP-rsum'!$AC$24,'MFP-rsum'!$AC$25,'MFP-rsum'!$AC$28,'MFP-rsum'!$AC$33,'MFP-rsum'!$AC$35)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81-4904-BDE5-371CEB3A0DCE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845873432487625E-2"/>
                  <c:y val="9.8049462567179099E-2"/>
                </c:manualLayout>
              </c:layout>
              <c:tx>
                <c:rich>
                  <a:bodyPr/>
                  <a:lstStyle/>
                  <a:p>
                    <a:fld id="{4E0BA487-CCDC-4FE7-BE25-673E4F54B5A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28813065033539"/>
                      <c:h val="9.793182102237219E-2"/>
                    </c:manualLayout>
                  </c15:layout>
                  <c15:dlblFieldTable>
                    <c15:dlblFTEntry>
                      <c15:txfldGUID>{4E0BA487-CCDC-4FE7-BE25-673E4F54B5AB}</c15:txfldGUID>
                      <c15:f>'MFP-rsum'!$A$36</c15:f>
                      <c15:dlblFieldTableCache>
                        <c:ptCount val="1"/>
                        <c:pt idx="0">
                          <c:v>0.63NaCl-0.37UCl3 (ORNL)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381-4904-BDE5-371CEB3A0DCE}"/>
                </c:ext>
              </c:extLst>
            </c:dLbl>
            <c:dLbl>
              <c:idx val="1"/>
              <c:layout>
                <c:manualLayout>
                  <c:x val="3.2551855497229512E-2"/>
                  <c:y val="1.568788276465442E-2"/>
                </c:manualLayout>
              </c:layout>
              <c:tx>
                <c:rich>
                  <a:bodyPr/>
                  <a:lstStyle/>
                  <a:p>
                    <a:fld id="{F48043BA-4F93-455A-BDFD-BB5447868CFE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4159375911344"/>
                      <c:h val="9.793182102237219E-2"/>
                    </c:manualLayout>
                  </c15:layout>
                  <c15:dlblFieldTable>
                    <c15:dlblFTEntry>
                      <c15:txfldGUID>{F48043BA-4F93-455A-BDFD-BB5447868CFE}</c15:txfldGUID>
                      <c15:f>'MFP-rsum'!$A$37</c15:f>
                      <c15:dlblFieldTableCache>
                        <c:ptCount val="1"/>
                        <c:pt idx="0">
                          <c:v>0.658NaCl-0.342UCl3 (ANL)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381-4904-BDE5-371CEB3A0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'MFP-rsum'!$AD$36:$AD$37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'MFP-rsum'!$AC$36:$AC$37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81-4904-BDE5-371CEB3A0DCE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81-4904-BDE5-371CEB3A0DC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81-4904-BDE5-371CEB3A0DCE}"/>
                </c:ext>
              </c:extLst>
            </c:dLbl>
            <c:dLbl>
              <c:idx val="4"/>
              <c:layout>
                <c:manualLayout>
                  <c:x val="-0.16839292566607783"/>
                  <c:y val="-8.5716626761600315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'MFP-rsum'!$A$38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381-4904-BDE5-371CEB3A0DCE}"/>
                </c:ext>
              </c:extLst>
            </c:dLbl>
            <c:dLbl>
              <c:idx val="5"/>
              <c:layout>
                <c:manualLayout>
                  <c:x val="-0.16237889260657506"/>
                  <c:y val="-3.8763597025245865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'MFP-rsum'!$A$39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381-4904-BDE5-371CEB3A0DCE}"/>
                </c:ext>
              </c:extLst>
            </c:dLbl>
            <c:dLbl>
              <c:idx val="6"/>
              <c:layout>
                <c:manualLayout>
                  <c:x val="-0.16638824797957691"/>
                  <c:y val="4.2786354251166996E-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'MFP-rsum'!$A$40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381-4904-BDE5-371CEB3A0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('MFP-rsum'!$AD$26:$AD$27,'MFP-rsum'!$AD$29:$AD$30,'MFP-rsum'!$AD$38:$AD$40)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('MFP-rsum'!$AC$26:$AC$27,'MFP-rsum'!$AC$29:$AC$30,'MFP-rsum'!$AC$38:$AC$40)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381-4904-BDE5-371CEB3A0DCE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'MFP-rsum'!$AD$17:$AD$18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'MFP-rsum'!$AC$17:$AC$18</c:f>
              <c:numCache>
                <c:formatCode>General</c:formatCode>
                <c:ptCount val="2"/>
                <c:pt idx="0">
                  <c:v>0.59593560000000001</c:v>
                </c:pt>
                <c:pt idx="1">
                  <c:v>0.14599400000000001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381-4904-BDE5-371CEB3A0DCE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'MFP-rsum'!$AD$41</c:f>
              <c:numCache>
                <c:formatCode>0.00000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'MFP-rsum'!$AC$41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381-4904-BDE5-371CEB3A0DCE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6381-4904-BDE5-371CEB3A0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('MFP-rsum'!$AP$7,'MFP-rsum'!$AP$8,'MFP-rsum'!$AP$9,'MFP-rsum'!$AP$14)</c:f>
              <c:numCache>
                <c:formatCode>General</c:formatCode>
                <c:ptCount val="4"/>
                <c:pt idx="0">
                  <c:v>101.17721808466192</c:v>
                </c:pt>
                <c:pt idx="1">
                  <c:v>117.9677317834942</c:v>
                </c:pt>
                <c:pt idx="2">
                  <c:v>111.53502712966069</c:v>
                </c:pt>
                <c:pt idx="3">
                  <c:v>65.145652690870307</c:v>
                </c:pt>
              </c:numCache>
            </c:numRef>
          </c:xVal>
          <c:yVal>
            <c:numRef>
              <c:f>('MFP-rsum'!$AO$7,'MFP-rsum'!$AO$8,'MFP-rsum'!$AO$9,'MFP-rsum'!$AO$14)</c:f>
              <c:numCache>
                <c:formatCode>#,##0.00</c:formatCode>
                <c:ptCount val="4"/>
                <c:pt idx="0">
                  <c:v>65.02</c:v>
                </c:pt>
                <c:pt idx="1">
                  <c:v>69.62</c:v>
                </c:pt>
                <c:pt idx="2">
                  <c:v>73.599999999999994</c:v>
                </c:pt>
                <c:pt idx="3" formatCode="General">
                  <c:v>92.048000000000002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97-4286-B2C0-C95A89C9065A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('MFP-rsum'!$AP$2:$AP$4,'MFP-rsum'!$AP$10:$AP$13)</c:f>
              <c:numCache>
                <c:formatCode>General</c:formatCode>
                <c:ptCount val="7"/>
                <c:pt idx="0">
                  <c:v>115.76698617052435</c:v>
                </c:pt>
                <c:pt idx="1">
                  <c:v>119.36740983374918</c:v>
                </c:pt>
                <c:pt idx="2">
                  <c:v>105.26691710289001</c:v>
                </c:pt>
                <c:pt idx="3">
                  <c:v>135.15766435017156</c:v>
                </c:pt>
                <c:pt idx="4">
                  <c:v>111.93438663089556</c:v>
                </c:pt>
                <c:pt idx="5">
                  <c:v>131.8170316864971</c:v>
                </c:pt>
                <c:pt idx="6">
                  <c:v>120.82442280047917</c:v>
                </c:pt>
              </c:numCache>
            </c:numRef>
          </c:xVal>
          <c:yVal>
            <c:numRef>
              <c:f>('MFP-rsum'!$AO$2:$AO$4,'MFP-rsum'!$AO$10,'MFP-rsum'!$AO$11,'MFP-rsum'!$AO$12,'MFP-rsum'!$AO$13)</c:f>
              <c:numCache>
                <c:formatCode>#,##0.00</c:formatCode>
                <c:ptCount val="7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87.9</c:v>
                </c:pt>
                <c:pt idx="4">
                  <c:v>94.9</c:v>
                </c:pt>
                <c:pt idx="5" formatCode="General">
                  <c:v>99.914000000000001</c:v>
                </c:pt>
                <c:pt idx="6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97-4286-B2C0-C95A89C9065A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('MFP-rsum'!$AP$23,'MFP-rsum'!$AP$31,'MFP-rsum'!$AP$32,'MFP-rsum'!$AP$34)</c:f>
              <c:numCache>
                <c:formatCode>General</c:formatCode>
                <c:ptCount val="4"/>
                <c:pt idx="0">
                  <c:v>122.46486458212317</c:v>
                </c:pt>
                <c:pt idx="1">
                  <c:v>149.22157117737191</c:v>
                </c:pt>
                <c:pt idx="2">
                  <c:v>122.288997312265</c:v>
                </c:pt>
                <c:pt idx="3">
                  <c:v>120.0218356093734</c:v>
                </c:pt>
              </c:numCache>
            </c:numRef>
          </c:xVal>
          <c:yVal>
            <c:numRef>
              <c:f>('MFP-rsum'!$AO$23,'MFP-rsum'!$AO$31,'MFP-rsum'!$AO$32,'MFP-rsum'!$AO$34,'MFP-rsum'!$AO$36,'MFP-rsum'!$AO$36)</c:f>
              <c:numCache>
                <c:formatCode>General</c:formatCode>
                <c:ptCount val="6"/>
                <c:pt idx="0">
                  <c:v>79.503360000000001</c:v>
                </c:pt>
                <c:pt idx="1">
                  <c:v>86.14464000000001</c:v>
                </c:pt>
                <c:pt idx="2">
                  <c:v>74.557488799999987</c:v>
                </c:pt>
                <c:pt idx="3">
                  <c:v>68.606440000000006</c:v>
                </c:pt>
                <c:pt idx="4">
                  <c:v>99.360600000000005</c:v>
                </c:pt>
                <c:pt idx="5">
                  <c:v>99.360600000000005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97-4286-B2C0-C95A89C9065A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('MFP-rsum'!$AP$24:$AP$25,'MFP-rsum'!$AP$28,'MFP-rsum'!$AP$33,'MFP-rsum'!$AP$35)</c:f>
              <c:numCache>
                <c:formatCode>General</c:formatCode>
                <c:ptCount val="5"/>
                <c:pt idx="0">
                  <c:v>127.32450850831152</c:v>
                </c:pt>
                <c:pt idx="1">
                  <c:v>128.88422002850203</c:v>
                </c:pt>
                <c:pt idx="2">
                  <c:v>105.18630072553975</c:v>
                </c:pt>
                <c:pt idx="3">
                  <c:v>171.69957494348131</c:v>
                </c:pt>
                <c:pt idx="4">
                  <c:v>101.57470309355466</c:v>
                </c:pt>
              </c:numCache>
            </c:numRef>
          </c:xVal>
          <c:yVal>
            <c:numRef>
              <c:f>('MFP-rsum'!$AO$24:$AO$25,'MFP-rsum'!$AO$28,'MFP-rsum'!$AO$33,'MFP-rsum'!$AO$35)</c:f>
              <c:numCache>
                <c:formatCode>General</c:formatCode>
                <c:ptCount val="5"/>
                <c:pt idx="0">
                  <c:v>72.25800000000001</c:v>
                </c:pt>
                <c:pt idx="1">
                  <c:v>66.024000000000001</c:v>
                </c:pt>
                <c:pt idx="2">
                  <c:v>70.599000000000004</c:v>
                </c:pt>
                <c:pt idx="3">
                  <c:v>69.858500000000006</c:v>
                </c:pt>
                <c:pt idx="4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7-4286-B2C0-C95A89C9065A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'MFP-rsum'!$AP$36:$AP$37</c:f>
              <c:numCache>
                <c:formatCode>General</c:formatCode>
                <c:ptCount val="2"/>
                <c:pt idx="0">
                  <c:v>95.981343172363822</c:v>
                </c:pt>
                <c:pt idx="1">
                  <c:v>106.42171733973825</c:v>
                </c:pt>
              </c:numCache>
            </c:numRef>
          </c:xVal>
          <c:yVal>
            <c:numRef>
              <c:f>'MFP-rsum'!$AO$36:$AO$37</c:f>
              <c:numCache>
                <c:formatCode>General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97-4286-B2C0-C95A89C9065A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('MFP-rsum'!$AP$26:$AP$27,'MFP-rsum'!$AP$29:$AP$30,'MFP-rsum'!$AP$38:$AP$40)</c:f>
              <c:numCache>
                <c:formatCode>General</c:formatCode>
                <c:ptCount val="7"/>
                <c:pt idx="0">
                  <c:v>220.30928962888524</c:v>
                </c:pt>
                <c:pt idx="1">
                  <c:v>156.41820128094841</c:v>
                </c:pt>
                <c:pt idx="2">
                  <c:v>101.11538617334517</c:v>
                </c:pt>
                <c:pt idx="3">
                  <c:v>96.776100919165899</c:v>
                </c:pt>
                <c:pt idx="4">
                  <c:v>195.68295750761632</c:v>
                </c:pt>
                <c:pt idx="5">
                  <c:v>208.88306984335037</c:v>
                </c:pt>
                <c:pt idx="6">
                  <c:v>223.02110637633118</c:v>
                </c:pt>
              </c:numCache>
            </c:numRef>
          </c:xVal>
          <c:yVal>
            <c:numRef>
              <c:f>('MFP-rsum'!$AO$26:$AO$27,'MFP-rsum'!$AO$29:$AO$30,'MFP-rsum'!$AO$38:$AO$40)</c:f>
              <c:numCache>
                <c:formatCode>General</c:formatCode>
                <c:ptCount val="7"/>
                <c:pt idx="0">
                  <c:v>82.635000000000005</c:v>
                </c:pt>
                <c:pt idx="1">
                  <c:v>73.469400000000007</c:v>
                </c:pt>
                <c:pt idx="2">
                  <c:v>71.578500000000005</c:v>
                </c:pt>
                <c:pt idx="3">
                  <c:v>72.558000000000007</c:v>
                </c:pt>
                <c:pt idx="4">
                  <c:v>100.416</c:v>
                </c:pt>
                <c:pt idx="5">
                  <c:v>110.928</c:v>
                </c:pt>
                <c:pt idx="6">
                  <c:v>121.44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97-4286-B2C0-C95A89C9065A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'MFP-rsum'!$AP$17:$AP$18</c:f>
              <c:numCache>
                <c:formatCode>General</c:formatCode>
                <c:ptCount val="2"/>
                <c:pt idx="0">
                  <c:v>132.79339110983673</c:v>
                </c:pt>
                <c:pt idx="1">
                  <c:v>38.778961061467903</c:v>
                </c:pt>
              </c:numCache>
            </c:numRef>
          </c:xVal>
          <c:yVal>
            <c:numRef>
              <c:f>'MFP-rsum'!$AO$17:$AO$18</c:f>
              <c:numCache>
                <c:formatCode>General</c:formatCode>
                <c:ptCount val="2"/>
                <c:pt idx="0">
                  <c:v>155.6</c:v>
                </c:pt>
                <c:pt idx="1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97-4286-B2C0-C95A89C9065A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'MFP-rsum'!$AP$41</c:f>
              <c:numCache>
                <c:formatCode>General</c:formatCode>
                <c:ptCount val="1"/>
                <c:pt idx="0">
                  <c:v>69.72997953693698</c:v>
                </c:pt>
              </c:numCache>
            </c:numRef>
          </c:xVal>
          <c:yVal>
            <c:numRef>
              <c:f>'MFP-rsum'!$AO$41</c:f>
              <c:numCache>
                <c:formatCode>#,##0.00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097-4286-B2C0-C95A89C9065A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097-4286-B2C0-C95A89C90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'MFP-rsum'!$AL$7:$AL$9</c:f>
              <c:numCache>
                <c:formatCode>0.00E+00</c:formatCode>
                <c:ptCount val="3"/>
                <c:pt idx="0">
                  <c:v>3178.1619842234295</c:v>
                </c:pt>
                <c:pt idx="1">
                  <c:v>2954.5816511956787</c:v>
                </c:pt>
                <c:pt idx="2">
                  <c:v>2420.4070756937499</c:v>
                </c:pt>
              </c:numCache>
            </c:numRef>
          </c:xVal>
          <c:yVal>
            <c:numRef>
              <c:f>'MFP-rsum'!$AK$7:$AK$9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2-4299-B89A-4D37E954EEA0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('MFP-rsum'!$AL$10:$AL$13,'MFP-rsum'!$AL$3:$AL$4)</c:f>
              <c:numCache>
                <c:formatCode>0.00E+00</c:formatCode>
                <c:ptCount val="6"/>
                <c:pt idx="0">
                  <c:v>3917.5733473420601</c:v>
                </c:pt>
                <c:pt idx="1">
                  <c:v>2566.1164547331541</c:v>
                </c:pt>
                <c:pt idx="2">
                  <c:v>2256.4072031288506</c:v>
                </c:pt>
                <c:pt idx="3">
                  <c:v>1706.9195730176784</c:v>
                </c:pt>
                <c:pt idx="4">
                  <c:v>3546.1642907162945</c:v>
                </c:pt>
                <c:pt idx="5">
                  <c:v>2858.0990766171808</c:v>
                </c:pt>
              </c:numCache>
            </c:numRef>
          </c:xVal>
          <c:yVal>
            <c:numRef>
              <c:f>('MFP-rsum'!$AK$3:$AK$4,'MFP-rsum'!$AK$10:$AK$13)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2-4299-B89A-4D37E954EEA0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'MFP-rsum'!$AL$31:$AL$32</c:f>
              <c:numCache>
                <c:formatCode>0.00E+00</c:formatCode>
                <c:ptCount val="2"/>
                <c:pt idx="0">
                  <c:v>3532.8676528038841</c:v>
                </c:pt>
                <c:pt idx="1">
                  <c:v>3321.033763100063</c:v>
                </c:pt>
              </c:numCache>
            </c:numRef>
          </c:xVal>
          <c:yVal>
            <c:numRef>
              <c:f>'MFP-rsum'!$AK$31:$AK$32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F2-4299-B89A-4D37E954EEA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'MFP-rsum'!$AL$24:$AL$25</c:f>
              <c:numCache>
                <c:formatCode>0.00E+00</c:formatCode>
                <c:ptCount val="2"/>
                <c:pt idx="0">
                  <c:v>4489.23185837235</c:v>
                </c:pt>
                <c:pt idx="1">
                  <c:v>3928.5026616668206</c:v>
                </c:pt>
              </c:numCache>
            </c:numRef>
          </c:xVal>
          <c:yVal>
            <c:numRef>
              <c:f>'MFP-rsum'!$AK$24:$AK$25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F2-4299-B89A-4D37E954EEA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F2-4299-B89A-4D37E954EE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F2-4299-B89A-4D37E954E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'MFP-rsum'!$AL$36:$AL$37</c:f>
              <c:numCache>
                <c:formatCode>0.00E+00</c:formatCode>
                <c:ptCount val="2"/>
                <c:pt idx="0">
                  <c:v>1402.3754205361033</c:v>
                </c:pt>
                <c:pt idx="1">
                  <c:v>1611.4557750945648</c:v>
                </c:pt>
              </c:numCache>
            </c:numRef>
          </c:xVal>
          <c:yVal>
            <c:numRef>
              <c:f>'MFP-rsum'!$AK$36:$AK$37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F2-4299-B89A-4D37E954EEA0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F2-4299-B89A-4D37E954EE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F2-4299-B89A-4D37E954EE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F2-4299-B89A-4D37E954EE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F2-4299-B89A-4D37E954EEA0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'MFP-rsum'!$A$38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0F2-4299-B89A-4D37E954EEA0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'MFP-rsum'!$A$39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0F2-4299-B89A-4D37E954EEA0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'MFP-rsum'!$A$40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0F2-4299-B89A-4D37E954E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('MFP-rsum'!$AL$26:$AL$27,'MFP-rsum'!$AL$29:$AL$30,'MFP-rsum'!$AL$38:$AL$40)</c:f>
              <c:numCache>
                <c:formatCode>0.00E+00</c:formatCode>
                <c:ptCount val="7"/>
                <c:pt idx="0">
                  <c:v>4749.3953484419217</c:v>
                </c:pt>
                <c:pt idx="1">
                  <c:v>4937.466210619561</c:v>
                </c:pt>
                <c:pt idx="2">
                  <c:v>3449.509084380104</c:v>
                </c:pt>
                <c:pt idx="3">
                  <c:v>3132.7084908009401</c:v>
                </c:pt>
                <c:pt idx="4">
                  <c:v>2628.0818161314883</c:v>
                </c:pt>
                <c:pt idx="5">
                  <c:v>2395.4780479310921</c:v>
                </c:pt>
                <c:pt idx="6">
                  <c:v>2231.6285138229914</c:v>
                </c:pt>
              </c:numCache>
            </c:numRef>
          </c:xVal>
          <c:yVal>
            <c:numRef>
              <c:f>('MFP-rsum'!$AK$26:$AK$27,'MFP-rsum'!$AK$29:$AK$30,'MFP-rsum'!$AK$38:$AK$40)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0F2-4299-B89A-4D37E954EEA0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'MFP-rsum'!$AL$17:$AL$18</c:f>
              <c:numCache>
                <c:formatCode>0.00E+00</c:formatCode>
                <c:ptCount val="2"/>
                <c:pt idx="0">
                  <c:v>1550.6359381556415</c:v>
                </c:pt>
                <c:pt idx="1">
                  <c:v>485.85362732444491</c:v>
                </c:pt>
              </c:numCache>
            </c:numRef>
          </c:xVal>
          <c:yVal>
            <c:numRef>
              <c:f>'MFP-rsum'!$AK$17:$AK$18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0F2-4299-B89A-4D37E954EEA0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'MFP-rsum'!$AL$41</c:f>
              <c:numCache>
                <c:formatCode>0.00E+00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'MFP-rsum'!$AK$41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0F2-4299-B89A-4D37E954EEA0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00F2-4299-B89A-4D37E954E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273844</xdr:colOff>
      <xdr:row>23</xdr:row>
      <xdr:rowOff>142875</xdr:rowOff>
    </xdr:from>
    <xdr:to>
      <xdr:col>56</xdr:col>
      <xdr:colOff>428623</xdr:colOff>
      <xdr:row>34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789FD-966B-46F0-96C1-395FDF842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466660</xdr:colOff>
      <xdr:row>46</xdr:row>
      <xdr:rowOff>137583</xdr:rowOff>
    </xdr:from>
    <xdr:to>
      <xdr:col>61</xdr:col>
      <xdr:colOff>547688</xdr:colOff>
      <xdr:row>62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ED3BE7-58F8-4797-8FE7-69F4E7894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26458</xdr:colOff>
      <xdr:row>47</xdr:row>
      <xdr:rowOff>3969</xdr:rowOff>
    </xdr:from>
    <xdr:to>
      <xdr:col>55</xdr:col>
      <xdr:colOff>203728</xdr:colOff>
      <xdr:row>62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63F9D-2C62-4B7D-8F39-F3C7BF86D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85987</xdr:colOff>
      <xdr:row>34</xdr:row>
      <xdr:rowOff>141553</xdr:rowOff>
    </xdr:from>
    <xdr:to>
      <xdr:col>63</xdr:col>
      <xdr:colOff>392906</xdr:colOff>
      <xdr:row>46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8C9E85-0414-4C59-8074-3F2BE837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250032</xdr:colOff>
      <xdr:row>24</xdr:row>
      <xdr:rowOff>23811</xdr:rowOff>
    </xdr:from>
    <xdr:to>
      <xdr:col>61</xdr:col>
      <xdr:colOff>404812</xdr:colOff>
      <xdr:row>33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796EE9-186B-4330-AB72-DDD9675A1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150664</xdr:colOff>
      <xdr:row>11</xdr:row>
      <xdr:rowOff>199908</xdr:rowOff>
    </xdr:from>
    <xdr:to>
      <xdr:col>57</xdr:col>
      <xdr:colOff>35719</xdr:colOff>
      <xdr:row>22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56A8E1-9A61-42D8-A914-C82BC0E90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285651</xdr:colOff>
      <xdr:row>34</xdr:row>
      <xdr:rowOff>174134</xdr:rowOff>
    </xdr:from>
    <xdr:to>
      <xdr:col>56</xdr:col>
      <xdr:colOff>452437</xdr:colOff>
      <xdr:row>46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C8BBEA-10F8-4A8B-9B2F-21CDC01E3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88525</xdr:colOff>
      <xdr:row>0</xdr:row>
      <xdr:rowOff>235326</xdr:rowOff>
    </xdr:from>
    <xdr:to>
      <xdr:col>64</xdr:col>
      <xdr:colOff>71437</xdr:colOff>
      <xdr:row>11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305293-93FC-4B4D-B61A-C9CC73F01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57</xdr:col>
      <xdr:colOff>93587</xdr:colOff>
      <xdr:row>11</xdr:row>
      <xdr:rowOff>191935</xdr:rowOff>
    </xdr:from>
    <xdr:to>
      <xdr:col>64</xdr:col>
      <xdr:colOff>488156</xdr:colOff>
      <xdr:row>22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EC624D-1358-41CA-9099-C6F60E54C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153457</xdr:colOff>
      <xdr:row>0</xdr:row>
      <xdr:rowOff>243418</xdr:rowOff>
    </xdr:from>
    <xdr:to>
      <xdr:col>57</xdr:col>
      <xdr:colOff>35718</xdr:colOff>
      <xdr:row>11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E85D4AA-8203-4C36-8FDC-CBEF14430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Code/TC_Models_V3.1/TC_Models_SA/PDF_Analysis/ModifiedPDF_plots_CDF/VsMetal_Peaks_Study(Realizati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P-rsum"/>
      <sheetName val="MFP-PDF_Avg_Original"/>
      <sheetName val="MFP-PDF_All (3)"/>
      <sheetName val="MFP-PDF_Avg"/>
      <sheetName val="MFP-PDF_All (2)"/>
      <sheetName val="Sheet4"/>
      <sheetName val="MFP-PDF_Avg (2)"/>
    </sheetNames>
    <sheetDataSet>
      <sheetData sheetId="0">
        <row r="2">
          <cell r="AC2">
            <v>1.4326411999999999</v>
          </cell>
          <cell r="AD2">
            <v>0.79448872327487496</v>
          </cell>
          <cell r="AF2">
            <v>3801381451.0759559</v>
          </cell>
          <cell r="AG2">
            <v>2.0900000000000005E-10</v>
          </cell>
          <cell r="AH2">
            <v>3.7687383348348277E-10</v>
          </cell>
          <cell r="AK2">
            <v>2547.8000000000002</v>
          </cell>
          <cell r="AL2">
            <v>4594.2543203311834</v>
          </cell>
          <cell r="AO2">
            <v>64.2</v>
          </cell>
          <cell r="AP2">
            <v>115.76698617052435</v>
          </cell>
          <cell r="AV2">
            <v>4.5513588360128237E-10</v>
          </cell>
        </row>
        <row r="3">
          <cell r="AC3">
            <v>0.90495999999999999</v>
          </cell>
          <cell r="AD3">
            <v>0.53220717521206062</v>
          </cell>
          <cell r="AF3">
            <v>2264711383.8811092</v>
          </cell>
          <cell r="AG3">
            <v>2.3499999999999996E-10</v>
          </cell>
          <cell r="AH3">
            <v>3.9959175656596945E-10</v>
          </cell>
          <cell r="AK3">
            <v>2085.5</v>
          </cell>
          <cell r="AL3">
            <v>3546.1642907162945</v>
          </cell>
          <cell r="AO3">
            <v>70.2</v>
          </cell>
          <cell r="AP3">
            <v>119.36740983374918</v>
          </cell>
          <cell r="AV3">
            <v>3.6428468840931505E-10</v>
          </cell>
        </row>
        <row r="4">
          <cell r="AC4">
            <v>0.56767520000000005</v>
          </cell>
          <cell r="AD4">
            <v>0.3607730892591835</v>
          </cell>
          <cell r="AF4">
            <v>1331266012.0265069</v>
          </cell>
          <cell r="AG4">
            <v>2.710000000000001E-10</v>
          </cell>
          <cell r="AH4">
            <v>4.2641755657523466E-10</v>
          </cell>
          <cell r="AK4">
            <v>1816.4</v>
          </cell>
          <cell r="AL4">
            <v>2858.0990766171808</v>
          </cell>
          <cell r="AO4">
            <v>66.900000000000006</v>
          </cell>
          <cell r="AP4">
            <v>105.26691710289001</v>
          </cell>
          <cell r="AV4">
            <v>3.8914296812648964E-10</v>
          </cell>
        </row>
        <row r="5">
          <cell r="AK5">
            <v>1760.4</v>
          </cell>
          <cell r="AO5">
            <v>69.5</v>
          </cell>
        </row>
        <row r="6">
          <cell r="AK6">
            <v>1858.9699999999998</v>
          </cell>
          <cell r="AO6">
            <v>74.099999999999994</v>
          </cell>
        </row>
        <row r="7">
          <cell r="AC7">
            <v>0.62592999999999999</v>
          </cell>
          <cell r="AD7">
            <v>0.40224439226966308</v>
          </cell>
          <cell r="AF7">
            <v>1565153277.313864</v>
          </cell>
          <cell r="AG7">
            <v>2.5700000000000004E-10</v>
          </cell>
          <cell r="AH7">
            <v>3.9991610347213343E-10</v>
          </cell>
          <cell r="AK7">
            <v>2042.3974499999999</v>
          </cell>
          <cell r="AL7">
            <v>3178.1619842234295</v>
          </cell>
          <cell r="AO7">
            <v>65.02</v>
          </cell>
          <cell r="AP7">
            <v>101.17721808466192</v>
          </cell>
          <cell r="AV7">
            <v>5.0986492855295244E-10</v>
          </cell>
        </row>
        <row r="8">
          <cell r="AC8">
            <v>0.51871599999999995</v>
          </cell>
          <cell r="AD8">
            <v>0.30612615309310248</v>
          </cell>
          <cell r="AF8">
            <v>1081717855.4526589</v>
          </cell>
          <cell r="AG8">
            <v>2.8300000000000001E-10</v>
          </cell>
          <cell r="AH8">
            <v>4.7952984910555673E-10</v>
          </cell>
          <cell r="AK8">
            <v>1743.6799999999998</v>
          </cell>
          <cell r="AL8">
            <v>2954.5816511956787</v>
          </cell>
          <cell r="AO8">
            <v>69.62</v>
          </cell>
          <cell r="AP8">
            <v>117.9677317834942</v>
          </cell>
          <cell r="AV8">
            <v>3.7944326183477726E-10</v>
          </cell>
        </row>
        <row r="9">
          <cell r="AC9">
            <v>0.38874099999999989</v>
          </cell>
          <cell r="AD9">
            <v>0.25652333922633108</v>
          </cell>
          <cell r="AF9">
            <v>804148398.82862413</v>
          </cell>
          <cell r="AG9">
            <v>3.1899999999999998E-10</v>
          </cell>
          <cell r="AH9">
            <v>4.8341947899948041E-10</v>
          </cell>
          <cell r="AK9">
            <v>1597.1839999999997</v>
          </cell>
          <cell r="AL9">
            <v>2420.4070756937499</v>
          </cell>
          <cell r="AO9">
            <v>73.599999999999994</v>
          </cell>
          <cell r="AP9">
            <v>111.53502712966069</v>
          </cell>
          <cell r="AV9">
            <v>4.5335791979318428E-10</v>
          </cell>
        </row>
        <row r="10">
          <cell r="AC10">
            <v>0.79925905600000002</v>
          </cell>
          <cell r="AD10">
            <v>0.51979938659180325</v>
          </cell>
          <cell r="AF10">
            <v>3112571177.1964269</v>
          </cell>
          <cell r="AG10">
            <v>1.6699999999999999E-10</v>
          </cell>
          <cell r="AH10">
            <v>2.5678418596676501E-10</v>
          </cell>
          <cell r="AK10">
            <v>2547.8000000000002</v>
          </cell>
          <cell r="AL10">
            <v>3917.5733473420601</v>
          </cell>
          <cell r="AO10">
            <v>87.9</v>
          </cell>
          <cell r="AP10">
            <v>135.15766435017156</v>
          </cell>
        </row>
        <row r="11">
          <cell r="AC11">
            <v>0.65067779999999997</v>
          </cell>
          <cell r="AD11">
            <v>0.55165642193242048</v>
          </cell>
          <cell r="AF11">
            <v>2691006936.2557101</v>
          </cell>
          <cell r="AG11">
            <v>2.0499999999999996E-10</v>
          </cell>
          <cell r="AH11">
            <v>2.4179714709519052E-10</v>
          </cell>
          <cell r="AK11">
            <v>2175.6</v>
          </cell>
          <cell r="AL11">
            <v>2566.1164547331541</v>
          </cell>
          <cell r="AO11">
            <v>94.9</v>
          </cell>
          <cell r="AP11">
            <v>111.93438663089556</v>
          </cell>
          <cell r="AV11">
            <v>4.369716780765129E-10</v>
          </cell>
        </row>
        <row r="12">
          <cell r="AC12">
            <v>0.56480320000000006</v>
          </cell>
          <cell r="AD12">
            <v>0.42810664299445522</v>
          </cell>
          <cell r="AF12">
            <v>1837367566.4998081</v>
          </cell>
          <cell r="AG12">
            <v>2.3299999999999997E-10</v>
          </cell>
          <cell r="AH12">
            <v>3.0739804614922655E-10</v>
          </cell>
          <cell r="AK12">
            <v>1710.3</v>
          </cell>
          <cell r="AL12">
            <v>2256.4072031288506</v>
          </cell>
          <cell r="AO12">
            <v>99.914000000000001</v>
          </cell>
          <cell r="AP12">
            <v>131.8170316864971</v>
          </cell>
          <cell r="AV12">
            <v>6.843135125098611E-10</v>
          </cell>
        </row>
        <row r="13">
          <cell r="AC13">
            <v>0.39041500000000001</v>
          </cell>
          <cell r="AD13">
            <v>0.31989463805530149</v>
          </cell>
          <cell r="AF13">
            <v>1274480629.7023959</v>
          </cell>
          <cell r="AG13">
            <v>2.5100000000000012E-10</v>
          </cell>
          <cell r="AH13">
            <v>3.0633262750424528E-10</v>
          </cell>
          <cell r="AK13">
            <v>1398.6</v>
          </cell>
          <cell r="AL13">
            <v>1706.9195730176784</v>
          </cell>
          <cell r="AO13">
            <v>99</v>
          </cell>
          <cell r="AP13">
            <v>120.82442280047917</v>
          </cell>
          <cell r="AV13">
            <v>6.1875642429403127E-10</v>
          </cell>
        </row>
        <row r="14">
          <cell r="AC14">
            <v>0.20426</v>
          </cell>
          <cell r="AD14">
            <v>0.28861057804145579</v>
          </cell>
          <cell r="AF14">
            <v>1140753272.891129</v>
          </cell>
          <cell r="AH14">
            <v>1.7905712379182813E-10</v>
          </cell>
          <cell r="AK14">
            <v>2101</v>
          </cell>
          <cell r="AL14">
            <v>1486.9526367060503</v>
          </cell>
          <cell r="AO14">
            <v>92.048000000000002</v>
          </cell>
          <cell r="AP14">
            <v>65.145652690870307</v>
          </cell>
          <cell r="AV14">
            <v>6.1827251968353004E-10</v>
          </cell>
        </row>
        <row r="15">
          <cell r="AK15">
            <v>2065.0300000000002</v>
          </cell>
          <cell r="AO15">
            <v>102.533</v>
          </cell>
          <cell r="AV15">
            <v>7.7916751857846874E-10</v>
          </cell>
        </row>
        <row r="16">
          <cell r="AC16">
            <v>0.380772</v>
          </cell>
          <cell r="AD16">
            <v>0.33599408249358731</v>
          </cell>
          <cell r="AF16">
            <v>1123726028.406646</v>
          </cell>
          <cell r="AH16">
            <v>3.3884771765935189E-10</v>
          </cell>
          <cell r="AK16">
            <v>1873.13</v>
          </cell>
          <cell r="AL16">
            <v>2122.7619577901723</v>
          </cell>
          <cell r="AO16">
            <v>104.6</v>
          </cell>
          <cell r="AV16">
            <v>7.4001853993764589E-10</v>
          </cell>
        </row>
        <row r="17">
          <cell r="AC17">
            <v>0.59593560000000001</v>
          </cell>
          <cell r="AD17">
            <v>0.69828459522735364</v>
          </cell>
          <cell r="AF17">
            <v>2096950736.418479</v>
          </cell>
          <cell r="AG17">
            <v>3.3300000000000009E-10</v>
          </cell>
          <cell r="AH17">
            <v>2.8419151182246556E-10</v>
          </cell>
          <cell r="AK17">
            <v>1816.9499999999998</v>
          </cell>
          <cell r="AL17">
            <v>1550.6359381556415</v>
          </cell>
          <cell r="AO17">
            <v>155.6</v>
          </cell>
          <cell r="AP17">
            <v>132.79339110983673</v>
          </cell>
        </row>
        <row r="18">
          <cell r="AC18">
            <v>0.14599400000000001</v>
          </cell>
          <cell r="AD18">
            <v>0.53083304545912946</v>
          </cell>
          <cell r="AF18">
            <v>1438571938.91363</v>
          </cell>
          <cell r="AG18">
            <v>3.6899999999999997E-10</v>
          </cell>
          <cell r="AH18">
            <v>1.014853661821394E-10</v>
          </cell>
          <cell r="AK18">
            <v>1766.56</v>
          </cell>
          <cell r="AL18">
            <v>485.85362732444491</v>
          </cell>
          <cell r="AO18">
            <v>141</v>
          </cell>
          <cell r="AP18">
            <v>38.778961061467903</v>
          </cell>
        </row>
        <row r="19">
          <cell r="AK19">
            <v>1700</v>
          </cell>
          <cell r="AO19">
            <v>123</v>
          </cell>
        </row>
        <row r="20">
          <cell r="AK20">
            <v>1362</v>
          </cell>
          <cell r="AO20">
            <v>168</v>
          </cell>
        </row>
        <row r="21">
          <cell r="AK21">
            <v>1062</v>
          </cell>
          <cell r="AO21">
            <v>174</v>
          </cell>
        </row>
        <row r="22">
          <cell r="AK22">
            <v>1248</v>
          </cell>
          <cell r="AO22">
            <v>150</v>
          </cell>
        </row>
        <row r="23">
          <cell r="AC23">
            <v>0.43524000000000002</v>
          </cell>
          <cell r="AD23">
            <v>0.28255485787268969</v>
          </cell>
          <cell r="AF23">
            <v>1120431343.2759011</v>
          </cell>
          <cell r="AH23">
            <v>3.8845753701199716E-10</v>
          </cell>
          <cell r="AK23">
            <v>1968.0306331357569</v>
          </cell>
          <cell r="AL23">
            <v>3031.5021274627966</v>
          </cell>
          <cell r="AO23">
            <v>79.503360000000001</v>
          </cell>
          <cell r="AP23">
            <v>122.46486458212317</v>
          </cell>
          <cell r="AV23">
            <v>1.0517297026523455E-9</v>
          </cell>
        </row>
        <row r="24">
          <cell r="AC24">
            <v>1.1000000000000001</v>
          </cell>
          <cell r="AD24">
            <v>0.62426158899966577</v>
          </cell>
          <cell r="AF24">
            <v>3671349531.8618751</v>
          </cell>
          <cell r="AG24">
            <v>1.7003600000000001E-10</v>
          </cell>
          <cell r="AH24">
            <v>2.9961734518972644E-10</v>
          </cell>
          <cell r="AK24">
            <v>2547.6863757231322</v>
          </cell>
          <cell r="AL24">
            <v>4489.23185837235</v>
          </cell>
          <cell r="AO24">
            <v>72.25800000000001</v>
          </cell>
          <cell r="AP24">
            <v>127.32450850831152</v>
          </cell>
          <cell r="AV24">
            <v>3.8338347353322035E-9</v>
          </cell>
        </row>
        <row r="25">
          <cell r="AC25">
            <v>0.78024246508674777</v>
          </cell>
          <cell r="AD25">
            <v>0.39969771709442198</v>
          </cell>
          <cell r="AF25">
            <v>2282353441.8618789</v>
          </cell>
          <cell r="AG25">
            <v>1.7512524999999998E-10</v>
          </cell>
          <cell r="AH25">
            <v>3.4185873702814765E-10</v>
          </cell>
          <cell r="AK25">
            <v>2012.468707779205</v>
          </cell>
          <cell r="AL25">
            <v>3928.5026616668206</v>
          </cell>
          <cell r="AO25">
            <v>66.024000000000001</v>
          </cell>
          <cell r="AP25">
            <v>128.88422002850203</v>
          </cell>
          <cell r="AV25">
            <v>2.8369914793196441E-9</v>
          </cell>
        </row>
        <row r="26">
          <cell r="AC26">
            <v>1.1599999999999999</v>
          </cell>
          <cell r="AD26">
            <v>0.43510012746839721</v>
          </cell>
          <cell r="AF26">
            <v>2555332250.1711068</v>
          </cell>
          <cell r="AG26">
            <v>1.7027145000000005E-10</v>
          </cell>
          <cell r="AH26">
            <v>4.5395271003303991E-10</v>
          </cell>
          <cell r="AK26">
            <v>1781.433208193873</v>
          </cell>
          <cell r="AL26">
            <v>4749.3953484419217</v>
          </cell>
          <cell r="AO26">
            <v>82.635000000000005</v>
          </cell>
          <cell r="AP26">
            <v>220.30928962888524</v>
          </cell>
          <cell r="AV26">
            <v>6.5543423785317211E-9</v>
          </cell>
        </row>
        <row r="27">
          <cell r="AC27">
            <v>1.24</v>
          </cell>
          <cell r="AD27">
            <v>0.58242618348722919</v>
          </cell>
          <cell r="AF27">
            <v>3356690310.8696609</v>
          </cell>
          <cell r="AG27">
            <v>1.7351204000000004E-10</v>
          </cell>
          <cell r="AH27">
            <v>3.6941149917364205E-10</v>
          </cell>
          <cell r="AK27">
            <v>2319.1206460873409</v>
          </cell>
          <cell r="AL27">
            <v>4937.466210619561</v>
          </cell>
          <cell r="AO27">
            <v>73.469400000000007</v>
          </cell>
          <cell r="AP27">
            <v>156.41820128094841</v>
          </cell>
        </row>
        <row r="28">
          <cell r="AC28">
            <v>0.98602842355479869</v>
          </cell>
          <cell r="AD28">
            <v>0.66180310738547476</v>
          </cell>
          <cell r="AF28">
            <v>3760693647.4549508</v>
          </cell>
          <cell r="AG28">
            <v>1.7597899999999999E-10</v>
          </cell>
          <cell r="AH28">
            <v>2.6219323241660306E-10</v>
          </cell>
          <cell r="AK28">
            <v>2547.687552638462</v>
          </cell>
          <cell r="AL28">
            <v>3795.8303809762697</v>
          </cell>
          <cell r="AO28">
            <v>70.599000000000004</v>
          </cell>
          <cell r="AP28">
            <v>105.18630072553975</v>
          </cell>
          <cell r="AV28">
            <v>3.2730306153599925E-9</v>
          </cell>
        </row>
        <row r="29">
          <cell r="AC29">
            <v>0.89056771657477962</v>
          </cell>
          <cell r="AD29">
            <v>0.63042335803936922</v>
          </cell>
          <cell r="AF29">
            <v>3595350729.2626648</v>
          </cell>
          <cell r="AG29">
            <v>1.7534405000000001E-10</v>
          </cell>
          <cell r="AH29">
            <v>2.4769981669004444E-10</v>
          </cell>
          <cell r="AK29">
            <v>2441.8705732183512</v>
          </cell>
          <cell r="AL29">
            <v>3449.509084380104</v>
          </cell>
          <cell r="AO29">
            <v>71.578500000000005</v>
          </cell>
          <cell r="AP29">
            <v>101.11538617334517</v>
          </cell>
          <cell r="AV29">
            <v>3.304548673097048E-9</v>
          </cell>
        </row>
        <row r="30">
          <cell r="AC30">
            <v>0.80397278022492213</v>
          </cell>
          <cell r="AD30">
            <v>0.60277957505526136</v>
          </cell>
          <cell r="AF30">
            <v>3449729844.352057</v>
          </cell>
          <cell r="AG30">
            <v>1.7473239999999999E-10</v>
          </cell>
          <cell r="AH30">
            <v>2.3305383798131233E-10</v>
          </cell>
          <cell r="AK30">
            <v>2348.7520215904742</v>
          </cell>
          <cell r="AL30">
            <v>3132.7084908009401</v>
          </cell>
          <cell r="AO30">
            <v>72.558000000000007</v>
          </cell>
          <cell r="AP30">
            <v>96.776100919165899</v>
          </cell>
          <cell r="AV30">
            <v>3.352633671505172E-9</v>
          </cell>
        </row>
        <row r="31">
          <cell r="AC31">
            <v>0.45966666666666672</v>
          </cell>
          <cell r="AD31">
            <v>0.26536256928250768</v>
          </cell>
          <cell r="AF31">
            <v>1161710543.9117939</v>
          </cell>
          <cell r="AG31">
            <v>2.2842400000000006E-10</v>
          </cell>
          <cell r="AH31">
            <v>3.9568089407094871E-10</v>
          </cell>
          <cell r="AK31">
            <v>2039.5014589190009</v>
          </cell>
          <cell r="AL31">
            <v>3532.8676528038841</v>
          </cell>
          <cell r="AO31">
            <v>86.14464000000001</v>
          </cell>
          <cell r="AP31">
            <v>149.22157117737191</v>
          </cell>
        </row>
        <row r="32">
          <cell r="AC32">
            <v>0.46554761904761921</v>
          </cell>
          <cell r="AD32">
            <v>0.28383633978433381</v>
          </cell>
          <cell r="AF32">
            <v>1260927039.745832</v>
          </cell>
          <cell r="AG32">
            <v>2.2510131898000011E-10</v>
          </cell>
          <cell r="AH32">
            <v>3.6921059218577845E-10</v>
          </cell>
          <cell r="AK32">
            <v>2024.776905844504</v>
          </cell>
          <cell r="AL32">
            <v>3321.033763100063</v>
          </cell>
          <cell r="AO32">
            <v>74.557488799999987</v>
          </cell>
          <cell r="AP32">
            <v>122.288997312265</v>
          </cell>
        </row>
        <row r="33">
          <cell r="AC33">
            <v>0.82855603900974906</v>
          </cell>
          <cell r="AD33">
            <v>0.33711022330844781</v>
          </cell>
          <cell r="AF33">
            <v>1742328821.428329</v>
          </cell>
          <cell r="AG33">
            <v>1.9348255000000005E-10</v>
          </cell>
          <cell r="AH33">
            <v>4.7554516048842846E-10</v>
          </cell>
          <cell r="AK33">
            <v>1885.1934295243609</v>
          </cell>
          <cell r="AL33">
            <v>4633.4649403519479</v>
          </cell>
          <cell r="AO33">
            <v>69.858500000000006</v>
          </cell>
          <cell r="AP33">
            <v>171.69957494348131</v>
          </cell>
        </row>
        <row r="34">
          <cell r="AC34">
            <v>0.58438111223711209</v>
          </cell>
          <cell r="AD34">
            <v>0.33404178089988812</v>
          </cell>
          <cell r="AF34">
            <v>1446976992.079078</v>
          </cell>
          <cell r="AH34">
            <v>4.0386344457174019E-10</v>
          </cell>
          <cell r="AK34">
            <v>2084.8843456983841</v>
          </cell>
          <cell r="AL34">
            <v>3647.3492314127866</v>
          </cell>
          <cell r="AO34">
            <v>68.606440000000006</v>
          </cell>
          <cell r="AP34">
            <v>120.0218356093734</v>
          </cell>
        </row>
        <row r="35">
          <cell r="AC35">
            <v>0.86544945017475028</v>
          </cell>
          <cell r="AD35">
            <v>0.56745362404407373</v>
          </cell>
          <cell r="AF35">
            <v>3211759248.6080689</v>
          </cell>
          <cell r="AG35">
            <v>1.7668000000000003E-10</v>
          </cell>
          <cell r="AH35">
            <v>2.6946274087941797E-10</v>
          </cell>
          <cell r="AK35">
            <v>2298.228366828082</v>
          </cell>
          <cell r="AL35">
            <v>3505.1330931193306</v>
          </cell>
          <cell r="AO35">
            <v>66.600000000000009</v>
          </cell>
          <cell r="AP35">
            <v>101.57470309355466</v>
          </cell>
          <cell r="AV35">
            <v>8.4406168446792717E-10</v>
          </cell>
        </row>
        <row r="36">
          <cell r="A36" t="str">
            <v>0.63NaCl-0.37UCl3 (ORNL)</v>
          </cell>
          <cell r="AC36">
            <v>0.23926257714495269</v>
          </cell>
          <cell r="AD36">
            <v>0.24768639859495001</v>
          </cell>
          <cell r="AF36">
            <v>1043486754.089075</v>
          </cell>
          <cell r="AG36">
            <v>2.3736419999999999E-10</v>
          </cell>
          <cell r="AH36">
            <v>2.292914368173461E-10</v>
          </cell>
          <cell r="AK36">
            <v>1451.7494609289899</v>
          </cell>
          <cell r="AL36">
            <v>1402.3754205361033</v>
          </cell>
          <cell r="AO36">
            <v>99.360600000000005</v>
          </cell>
          <cell r="AP36">
            <v>95.981343172363822</v>
          </cell>
          <cell r="AV36">
            <v>1.8511567318115176E-9</v>
          </cell>
        </row>
        <row r="37">
          <cell r="A37" t="str">
            <v>0.658NaCl-0.342UCl3 (ANL)</v>
          </cell>
          <cell r="AC37">
            <v>0.27567442291687039</v>
          </cell>
          <cell r="AD37">
            <v>0.25155328115048259</v>
          </cell>
          <cell r="AF37">
            <v>1053713906.865366</v>
          </cell>
          <cell r="AG37">
            <v>2.3873015199999994E-10</v>
          </cell>
          <cell r="AH37">
            <v>2.6162169932534978E-10</v>
          </cell>
          <cell r="AK37">
            <v>1470.4555590061771</v>
          </cell>
          <cell r="AL37">
            <v>1611.4557750945648</v>
          </cell>
          <cell r="AO37">
            <v>97.109960000000001</v>
          </cell>
          <cell r="AP37">
            <v>106.42171733973825</v>
          </cell>
          <cell r="AV37">
            <v>1.3749528367298905E-9</v>
          </cell>
        </row>
        <row r="38">
          <cell r="A38" t="str">
            <v>(NaF-KF)-.3UF4</v>
          </cell>
          <cell r="AC38">
            <v>0.49395061728395051</v>
          </cell>
          <cell r="AD38">
            <v>0.25347401642401401</v>
          </cell>
          <cell r="AF38">
            <v>1492586451.837889</v>
          </cell>
          <cell r="AG38">
            <v>1.6982200000000003E-10</v>
          </cell>
          <cell r="AH38">
            <v>3.3093601826261176E-10</v>
          </cell>
          <cell r="AK38">
            <v>1348.6175138087231</v>
          </cell>
          <cell r="AL38">
            <v>2628.0818161314883</v>
          </cell>
          <cell r="AO38">
            <v>100.416</v>
          </cell>
          <cell r="AP38">
            <v>195.68295750761632</v>
          </cell>
        </row>
        <row r="39">
          <cell r="A39" t="str">
            <v>(NaF-KF)-.4UF4</v>
          </cell>
          <cell r="AC39">
            <v>0.45693693693693682</v>
          </cell>
          <cell r="AD39">
            <v>0.24265777297582219</v>
          </cell>
          <cell r="AF39">
            <v>1440892196.1891489</v>
          </cell>
          <cell r="AG39">
            <v>1.68408E-10</v>
          </cell>
          <cell r="AH39">
            <v>3.171208353723041E-10</v>
          </cell>
          <cell r="AK39">
            <v>1272.126022947567</v>
          </cell>
          <cell r="AL39">
            <v>2395.4780479310921</v>
          </cell>
          <cell r="AO39">
            <v>110.928</v>
          </cell>
          <cell r="AP39">
            <v>208.88306984335037</v>
          </cell>
        </row>
        <row r="40">
          <cell r="A40" t="str">
            <v>(NaF-KF)-.5UF4</v>
          </cell>
          <cell r="AC40">
            <v>0.43928571428571439</v>
          </cell>
          <cell r="AD40">
            <v>0.23920093487850599</v>
          </cell>
          <cell r="AF40">
            <v>1407478287.0168049</v>
          </cell>
          <cell r="AG40">
            <v>1.6994999999999999E-10</v>
          </cell>
          <cell r="AH40">
            <v>3.1210834180383304E-10</v>
          </cell>
          <cell r="AK40">
            <v>1215.1718333840431</v>
          </cell>
          <cell r="AL40">
            <v>2231.6285138229914</v>
          </cell>
          <cell r="AO40">
            <v>121.44</v>
          </cell>
          <cell r="AP40">
            <v>223.02110637633118</v>
          </cell>
        </row>
        <row r="41">
          <cell r="AC41">
            <v>0.56100000000000005</v>
          </cell>
          <cell r="AD41">
            <v>0.60645622271550126</v>
          </cell>
          <cell r="AF41">
            <v>1956310395.8564556</v>
          </cell>
          <cell r="AG41">
            <v>3.1000000000000002E-10</v>
          </cell>
          <cell r="AH41">
            <v>2.8676430958411341E-10</v>
          </cell>
          <cell r="AK41">
            <v>1403</v>
          </cell>
          <cell r="AL41">
            <v>1297.8397624081001</v>
          </cell>
          <cell r="AO41">
            <v>75.38</v>
          </cell>
          <cell r="AP41">
            <v>69.72997953693698</v>
          </cell>
          <cell r="AV41">
            <v>1.2781802750592626E-9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F299-D617-4856-935F-E2D199CEF5D5}">
  <sheetPr>
    <outlinePr summaryBelow="0"/>
  </sheetPr>
  <dimension ref="A1:AW55"/>
  <sheetViews>
    <sheetView tabSelected="1" zoomScale="60" zoomScaleNormal="60" workbookViewId="0">
      <pane xSplit="3" topLeftCell="D1" activePane="topRight" state="frozen"/>
      <selection pane="topRight" activeCell="L51" sqref="L51"/>
    </sheetView>
  </sheetViews>
  <sheetFormatPr defaultRowHeight="15" x14ac:dyDescent="0.25"/>
  <cols>
    <col min="1" max="1" width="35.42578125" style="74" customWidth="1"/>
    <col min="2" max="2" width="7.85546875" style="74" hidden="1" customWidth="1"/>
    <col min="3" max="3" width="6.42578125" style="74" hidden="1" customWidth="1"/>
    <col min="4" max="4" width="8.42578125" style="74" customWidth="1"/>
    <col min="5" max="5" width="9" style="74" customWidth="1"/>
    <col min="6" max="6" width="10.42578125" style="74" customWidth="1"/>
    <col min="7" max="7" width="11.140625" style="74" customWidth="1"/>
    <col min="8" max="8" width="12.7109375" style="74" customWidth="1"/>
    <col min="9" max="9" width="13" style="74" customWidth="1"/>
    <col min="10" max="10" width="10.5703125" style="74" customWidth="1"/>
    <col min="11" max="11" width="12.140625" style="54" customWidth="1"/>
    <col min="12" max="12" width="16" style="54" customWidth="1"/>
    <col min="13" max="13" width="22" style="68" customWidth="1"/>
    <col min="14" max="14" width="14.5703125" style="68" customWidth="1"/>
    <col min="15" max="15" width="13.140625" style="68" customWidth="1"/>
    <col min="16" max="16" width="12" style="68" customWidth="1"/>
    <col min="17" max="17" width="9.140625" style="28"/>
    <col min="18" max="18" width="11.5703125" style="68" customWidth="1"/>
    <col min="19" max="19" width="12.5703125" style="68" customWidth="1"/>
    <col min="20" max="20" width="12" style="68" customWidth="1"/>
    <col min="21" max="21" width="12.140625" style="21" customWidth="1"/>
    <col min="22" max="22" width="10.140625" style="25" customWidth="1"/>
    <col min="23" max="23" width="7.5703125" style="25" customWidth="1"/>
    <col min="24" max="24" width="6.28515625" style="25" customWidth="1"/>
    <col min="25" max="25" width="8.42578125" style="25" customWidth="1"/>
    <col min="26" max="26" width="7.85546875" style="25" customWidth="1"/>
    <col min="27" max="27" width="6.140625" style="25" customWidth="1"/>
    <col min="28" max="28" width="8.85546875" style="25" customWidth="1"/>
    <col min="29" max="29" width="14.85546875" style="79" customWidth="1"/>
    <col min="30" max="30" width="19" style="79" customWidth="1"/>
    <col min="31" max="31" width="8.7109375" style="79" customWidth="1"/>
    <col min="32" max="32" width="15.5703125" style="79" customWidth="1"/>
    <col min="33" max="33" width="10.140625" style="79" customWidth="1"/>
    <col min="34" max="34" width="13.7109375" style="79" customWidth="1"/>
    <col min="35" max="35" width="14.42578125" style="79" bestFit="1" customWidth="1"/>
    <col min="36" max="36" width="15.42578125" style="79" customWidth="1"/>
    <col min="37" max="37" width="11.140625" style="80" customWidth="1"/>
    <col min="38" max="39" width="10.5703125" style="79" customWidth="1"/>
    <col min="40" max="40" width="18" style="79" customWidth="1"/>
    <col min="41" max="41" width="11" style="81" customWidth="1"/>
    <col min="42" max="42" width="14.28515625" style="79" customWidth="1"/>
    <col min="43" max="43" width="11.5703125" style="82" customWidth="1"/>
    <col min="44" max="47" width="9.140625" style="28"/>
    <col min="48" max="48" width="11.85546875" style="25" customWidth="1"/>
    <col min="49" max="16384" width="9.140625" style="25"/>
  </cols>
  <sheetData>
    <row r="1" spans="1:49" s="8" customFormat="1" ht="20.25" customHeight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2"/>
      <c r="R1" s="5" t="s">
        <v>16</v>
      </c>
      <c r="S1" s="5" t="s">
        <v>17</v>
      </c>
      <c r="T1" s="5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9" t="s">
        <v>27</v>
      </c>
      <c r="AD1" s="9" t="s">
        <v>28</v>
      </c>
      <c r="AE1" s="9" t="s">
        <v>29</v>
      </c>
      <c r="AF1" s="10" t="s">
        <v>30</v>
      </c>
      <c r="AG1" s="11" t="s">
        <v>31</v>
      </c>
      <c r="AH1" s="11" t="s">
        <v>32</v>
      </c>
      <c r="AI1" s="11" t="s">
        <v>33</v>
      </c>
      <c r="AJ1" s="12" t="s">
        <v>34</v>
      </c>
      <c r="AK1" s="13" t="s">
        <v>35</v>
      </c>
      <c r="AL1" s="14" t="s">
        <v>36</v>
      </c>
      <c r="AM1" s="14" t="s">
        <v>37</v>
      </c>
      <c r="AN1" s="15" t="s">
        <v>38</v>
      </c>
      <c r="AO1" s="16" t="s">
        <v>39</v>
      </c>
      <c r="AP1" s="17" t="s">
        <v>40</v>
      </c>
      <c r="AQ1" s="18" t="s">
        <v>41</v>
      </c>
      <c r="AR1" s="2"/>
      <c r="AS1" s="2"/>
      <c r="AT1" s="2"/>
      <c r="AU1" s="2"/>
      <c r="AV1" s="8" t="s">
        <v>42</v>
      </c>
    </row>
    <row r="2" spans="1:49" ht="20.25" customHeight="1" x14ac:dyDescent="0.25">
      <c r="A2" s="19" t="s">
        <v>43</v>
      </c>
      <c r="B2" s="20">
        <v>9.9499999999999993</v>
      </c>
      <c r="C2" s="19">
        <v>1</v>
      </c>
      <c r="D2" s="19">
        <v>12</v>
      </c>
      <c r="E2" s="19">
        <v>12</v>
      </c>
      <c r="F2" s="21">
        <f t="shared" ref="F2:F37" si="0">D2*1.6726219E-27</f>
        <v>2.0071462799999999E-26</v>
      </c>
      <c r="G2" s="21">
        <f t="shared" ref="G2:G41" si="1">E2*9.1093856E-31</f>
        <v>1.0931262719999999E-29</v>
      </c>
      <c r="H2" s="22">
        <f>((F2*D2)/(G2*E2))</f>
        <v>1836.1522647586683</v>
      </c>
      <c r="I2" s="22">
        <f>D2/E2</f>
        <v>1</v>
      </c>
      <c r="J2" s="23">
        <f>(F2)-(G2)</f>
        <v>2.0060531537279999E-26</v>
      </c>
      <c r="K2" s="24">
        <v>25.939</v>
      </c>
      <c r="L2" s="25">
        <f>0.115*EXP(27000/(8.3144598*N2))/1000</f>
        <v>2.0988673196732184E-3</v>
      </c>
      <c r="M2" s="26">
        <f>N2^-1</f>
        <v>8.9433439162902998E-4</v>
      </c>
      <c r="N2" s="24">
        <v>1118.1500000000001</v>
      </c>
      <c r="O2" s="27">
        <v>1.42E-5</v>
      </c>
      <c r="P2" s="27">
        <v>2.6800000000000001E-4</v>
      </c>
      <c r="R2" s="29">
        <v>7.5999999999999996E-11</v>
      </c>
      <c r="S2" s="29">
        <v>1.3300000000000001E-10</v>
      </c>
      <c r="T2" s="29">
        <f>S2+R2</f>
        <v>2.09E-10</v>
      </c>
      <c r="U2" s="29">
        <v>1810000</v>
      </c>
      <c r="V2" s="30">
        <v>2547.8000000000002</v>
      </c>
      <c r="W2" s="25">
        <v>0</v>
      </c>
      <c r="X2" s="21">
        <v>2.3580999999999999</v>
      </c>
      <c r="Y2" s="21">
        <v>-4.9019999999999999E-4</v>
      </c>
      <c r="Z2" s="25">
        <v>1</v>
      </c>
      <c r="AA2" s="25">
        <v>1</v>
      </c>
      <c r="AB2" s="25">
        <f>Z2+AA2</f>
        <v>2</v>
      </c>
      <c r="AC2" s="31">
        <v>1.4326411999999999</v>
      </c>
      <c r="AD2" s="31">
        <v>0.79448872327487496</v>
      </c>
      <c r="AE2" s="32">
        <f>(AC2-AD2)/AC2</f>
        <v>0.44543775281984421</v>
      </c>
      <c r="AF2" s="33">
        <v>3801381451.0759559</v>
      </c>
      <c r="AG2" s="34">
        <f>AD2/AF2</f>
        <v>2.0900000000000005E-10</v>
      </c>
      <c r="AH2" s="34">
        <f>AC2/AF2</f>
        <v>3.7687383348348277E-10</v>
      </c>
      <c r="AI2" s="34">
        <f>(AH2-AG2)/AG2</f>
        <v>0.80322408365302711</v>
      </c>
      <c r="AJ2" s="35">
        <f>AD2/AK2</f>
        <v>3.1183323780315365E-4</v>
      </c>
      <c r="AK2" s="36">
        <f t="shared" ref="AK2:AK37" si="2">V2+W2*N2</f>
        <v>2547.8000000000002</v>
      </c>
      <c r="AL2" s="37">
        <f>AC2/AJ2</f>
        <v>4594.2543203311834</v>
      </c>
      <c r="AM2" s="37">
        <f>(AL2-AK2)/AK2</f>
        <v>0.80322408365302733</v>
      </c>
      <c r="AN2" s="38">
        <f t="shared" ref="AN2:AN41" si="3">AD2/AO2</f>
        <v>1.2375213758175622E-2</v>
      </c>
      <c r="AO2" s="39">
        <v>64.2</v>
      </c>
      <c r="AP2" s="40">
        <f>AC2/(AN2)</f>
        <v>115.76698617052435</v>
      </c>
      <c r="AQ2" s="41">
        <f>(AP2-AO2)/AO2</f>
        <v>0.80322408365302711</v>
      </c>
      <c r="AV2" s="21">
        <f t="shared" ref="AV2:AV9" si="4">L2/(U2/1000*(V2+W2*N2))</f>
        <v>4.5513588360128237E-10</v>
      </c>
      <c r="AW2" s="21"/>
    </row>
    <row r="3" spans="1:49" ht="20.25" customHeight="1" x14ac:dyDescent="0.25">
      <c r="A3" s="19" t="s">
        <v>44</v>
      </c>
      <c r="B3" s="20">
        <v>6.9</v>
      </c>
      <c r="C3" s="19">
        <v>1</v>
      </c>
      <c r="D3" s="19">
        <v>20</v>
      </c>
      <c r="E3" s="19">
        <v>20</v>
      </c>
      <c r="F3" s="21">
        <f t="shared" si="0"/>
        <v>3.3452438000000001E-26</v>
      </c>
      <c r="G3" s="21">
        <f t="shared" si="1"/>
        <v>1.82187712E-29</v>
      </c>
      <c r="H3" s="22">
        <f t="shared" ref="H3:H41" si="5">((F3*D3)/(G3*E3))</f>
        <v>1836.1522647586683</v>
      </c>
      <c r="I3" s="22">
        <f t="shared" ref="I3:I41" si="6">D3/E3</f>
        <v>1</v>
      </c>
      <c r="J3" s="23">
        <f t="shared" ref="J3:J41" si="7">(F3)-(G3)</f>
        <v>3.3434219228800004E-26</v>
      </c>
      <c r="K3" s="24">
        <v>41.988</v>
      </c>
      <c r="L3" s="25">
        <f>0.12*EXP(26500/(8.3144598*N3))/1000</f>
        <v>1.4814456494713717E-3</v>
      </c>
      <c r="M3" s="26">
        <f t="shared" ref="M3:M41" si="8">N3^-1</f>
        <v>7.885502503647044E-4</v>
      </c>
      <c r="N3" s="24">
        <v>1268.1500000000001</v>
      </c>
      <c r="O3" s="27">
        <v>2.16E-5</v>
      </c>
      <c r="P3" s="27">
        <v>2.8800000000000001E-4</v>
      </c>
      <c r="R3" s="29">
        <v>1.02E-10</v>
      </c>
      <c r="S3" s="29">
        <v>1.3300000000000001E-10</v>
      </c>
      <c r="T3" s="29">
        <f t="shared" ref="T3:T22" si="9">S3+R3</f>
        <v>2.3500000000000002E-10</v>
      </c>
      <c r="U3" s="29">
        <v>1950000</v>
      </c>
      <c r="V3" s="30">
        <v>2085.5</v>
      </c>
      <c r="W3" s="25">
        <v>0</v>
      </c>
      <c r="X3" s="21">
        <v>2.7549999999999999</v>
      </c>
      <c r="Y3" s="25">
        <v>-6.3599999999999996E-4</v>
      </c>
      <c r="Z3" s="25">
        <v>1</v>
      </c>
      <c r="AA3" s="25">
        <v>1</v>
      </c>
      <c r="AB3" s="25">
        <f t="shared" ref="AB3:AB40" si="10">Z3+AA3</f>
        <v>2</v>
      </c>
      <c r="AC3" s="42">
        <v>0.90495999999999999</v>
      </c>
      <c r="AD3" s="42">
        <v>0.53220717521206062</v>
      </c>
      <c r="AE3" s="43">
        <f>(AC3-AD3)/AC3</f>
        <v>0.41189977986644644</v>
      </c>
      <c r="AF3" s="44">
        <v>2264711383.8811092</v>
      </c>
      <c r="AG3" s="45">
        <f>AD3/AF3</f>
        <v>2.3499999999999996E-10</v>
      </c>
      <c r="AH3" s="45">
        <f>AC3/AF3</f>
        <v>3.9959175656596945E-10</v>
      </c>
      <c r="AI3" s="45">
        <f>(AH3-AG3)/AG3</f>
        <v>0.70039045347221074</v>
      </c>
      <c r="AJ3" s="46">
        <f>AD3/AK3</f>
        <v>2.5519404229779941E-4</v>
      </c>
      <c r="AK3" s="47">
        <f t="shared" si="2"/>
        <v>2085.5</v>
      </c>
      <c r="AL3" s="48">
        <f>AC3/AJ3</f>
        <v>3546.1642907162945</v>
      </c>
      <c r="AM3" s="48">
        <f t="shared" ref="AM3:AM41" si="11">(AL3-AK3)/AK3</f>
        <v>0.70039045347221029</v>
      </c>
      <c r="AN3" s="49">
        <f t="shared" si="3"/>
        <v>7.5812987921945957E-3</v>
      </c>
      <c r="AO3" s="50">
        <v>70.2</v>
      </c>
      <c r="AP3" s="51">
        <f>AC3/(AN3)</f>
        <v>119.36740983374918</v>
      </c>
      <c r="AQ3" s="52">
        <f t="shared" ref="AQ3:AQ41" si="12">(AP3-AO3)/AO3</f>
        <v>0.70039045347221041</v>
      </c>
      <c r="AV3" s="21">
        <f t="shared" si="4"/>
        <v>3.6428468840931505E-10</v>
      </c>
      <c r="AW3" s="21"/>
    </row>
    <row r="4" spans="1:49" ht="20.25" customHeight="1" x14ac:dyDescent="0.25">
      <c r="A4" s="19" t="s">
        <v>45</v>
      </c>
      <c r="B4" s="53">
        <v>5.0999999999999996</v>
      </c>
      <c r="C4" s="19">
        <v>1</v>
      </c>
      <c r="D4" s="19">
        <v>28</v>
      </c>
      <c r="E4" s="19">
        <v>28</v>
      </c>
      <c r="F4" s="21">
        <f t="shared" si="0"/>
        <v>4.6833413199999998E-26</v>
      </c>
      <c r="G4" s="21">
        <f t="shared" si="1"/>
        <v>2.5506279679999997E-29</v>
      </c>
      <c r="H4" s="22">
        <f t="shared" si="5"/>
        <v>1836.1522647586683</v>
      </c>
      <c r="I4" s="22">
        <f t="shared" si="6"/>
        <v>1</v>
      </c>
      <c r="J4" s="23">
        <f t="shared" si="7"/>
        <v>4.680790692032E-26</v>
      </c>
      <c r="K4" s="24">
        <v>58.097000000000001</v>
      </c>
      <c r="L4" s="25">
        <f>0.107*EXP(23800/(8.3144598*N4))/1000</f>
        <v>1.3500630387524655E-3</v>
      </c>
      <c r="M4" s="26">
        <f t="shared" si="8"/>
        <v>8.856219279989372E-4</v>
      </c>
      <c r="N4" s="24">
        <v>1129.1500000000001</v>
      </c>
      <c r="O4" s="27">
        <v>3.04E-5</v>
      </c>
      <c r="P4" s="27">
        <v>3.4099999999999999E-4</v>
      </c>
      <c r="R4" s="29">
        <v>1.3799999999999999E-10</v>
      </c>
      <c r="S4" s="29">
        <v>1.3300000000000001E-10</v>
      </c>
      <c r="T4" s="29">
        <f t="shared" si="9"/>
        <v>2.7099999999999999E-10</v>
      </c>
      <c r="U4" s="29">
        <v>1910000</v>
      </c>
      <c r="V4" s="30">
        <v>1816.4</v>
      </c>
      <c r="W4" s="25">
        <v>0</v>
      </c>
      <c r="X4" s="25">
        <v>2.6463999999999999</v>
      </c>
      <c r="Y4" s="25">
        <v>-6.5149999999999995E-4</v>
      </c>
      <c r="Z4" s="25">
        <v>1</v>
      </c>
      <c r="AA4" s="25">
        <v>1</v>
      </c>
      <c r="AB4" s="25">
        <f t="shared" si="10"/>
        <v>2</v>
      </c>
      <c r="AC4" s="42">
        <v>0.56767520000000005</v>
      </c>
      <c r="AD4" s="42">
        <v>0.3607730892591835</v>
      </c>
      <c r="AE4" s="43">
        <f>(AC4-AD4)/AC4</f>
        <v>0.36447269625450701</v>
      </c>
      <c r="AF4" s="44">
        <v>1331266012.0265069</v>
      </c>
      <c r="AG4" s="45">
        <f>AD4/AF4</f>
        <v>2.710000000000001E-10</v>
      </c>
      <c r="AH4" s="45">
        <f>AC4/AF4</f>
        <v>4.2641755657523466E-10</v>
      </c>
      <c r="AI4" s="45">
        <f>(AH4-AG4)/AG4</f>
        <v>0.57349651872780261</v>
      </c>
      <c r="AJ4" s="46">
        <f>AD4/AK4</f>
        <v>1.9861984654216225E-4</v>
      </c>
      <c r="AK4" s="47">
        <f t="shared" si="2"/>
        <v>1816.4</v>
      </c>
      <c r="AL4" s="48">
        <f>AC4/AJ4</f>
        <v>2858.0990766171808</v>
      </c>
      <c r="AM4" s="48">
        <f t="shared" si="11"/>
        <v>0.57349651872780261</v>
      </c>
      <c r="AN4" s="49">
        <f t="shared" si="3"/>
        <v>5.3927218125438487E-3</v>
      </c>
      <c r="AO4" s="50">
        <v>66.900000000000006</v>
      </c>
      <c r="AP4" s="51">
        <f>AC4/(AN4)</f>
        <v>105.26691710289001</v>
      </c>
      <c r="AQ4" s="52">
        <f t="shared" si="12"/>
        <v>0.57349651872780261</v>
      </c>
      <c r="AV4" s="21">
        <f t="shared" si="4"/>
        <v>3.8914296812648964E-10</v>
      </c>
      <c r="AW4" s="21"/>
    </row>
    <row r="5" spans="1:49" ht="20.25" customHeight="1" x14ac:dyDescent="0.25">
      <c r="A5" s="19" t="s">
        <v>46</v>
      </c>
      <c r="B5" s="53"/>
      <c r="C5" s="19">
        <v>1</v>
      </c>
      <c r="D5" s="19">
        <v>46</v>
      </c>
      <c r="E5" s="19">
        <v>46</v>
      </c>
      <c r="F5" s="21">
        <f t="shared" si="0"/>
        <v>7.6940607399999996E-26</v>
      </c>
      <c r="G5" s="21">
        <f t="shared" si="1"/>
        <v>4.1903173759999999E-29</v>
      </c>
      <c r="H5" s="22">
        <f t="shared" si="5"/>
        <v>1836.1522647586683</v>
      </c>
      <c r="I5" s="22">
        <f t="shared" si="6"/>
        <v>1</v>
      </c>
      <c r="J5" s="23">
        <f t="shared" si="7"/>
        <v>7.689870422624E-26</v>
      </c>
      <c r="K5" s="54">
        <v>104.4662</v>
      </c>
      <c r="L5" s="25">
        <f>0.115*EXP(27000/(8.3144598*N5))/1000</f>
        <v>2.5481160758264749E-3</v>
      </c>
      <c r="M5" s="26">
        <f t="shared" si="8"/>
        <v>9.5406191861851825E-4</v>
      </c>
      <c r="N5" s="25">
        <v>1048.1500000000001</v>
      </c>
      <c r="O5" s="27">
        <v>3.57E-5</v>
      </c>
      <c r="P5" s="27">
        <v>3.4900000000000003E-4</v>
      </c>
      <c r="R5" s="29">
        <v>1.5199999999999999E-10</v>
      </c>
      <c r="S5" s="29">
        <v>1.3300000000000001E-10</v>
      </c>
      <c r="T5" s="29">
        <f t="shared" si="9"/>
        <v>2.85E-10</v>
      </c>
      <c r="U5" s="29">
        <f>K5/O5</f>
        <v>2926224.0896358541</v>
      </c>
      <c r="V5" s="30">
        <v>1760.4</v>
      </c>
      <c r="W5" s="25">
        <v>0</v>
      </c>
      <c r="X5" s="29">
        <f>U5*100^3/1000</f>
        <v>2926224089.6358538</v>
      </c>
      <c r="Y5" s="25">
        <v>0</v>
      </c>
      <c r="AC5" s="42"/>
      <c r="AD5" s="42"/>
      <c r="AE5" s="43"/>
      <c r="AF5" s="44"/>
      <c r="AG5" s="45"/>
      <c r="AH5" s="45"/>
      <c r="AI5" s="45"/>
      <c r="AJ5" s="46"/>
      <c r="AK5" s="47">
        <f t="shared" si="2"/>
        <v>1760.4</v>
      </c>
      <c r="AL5" s="48"/>
      <c r="AM5" s="48"/>
      <c r="AN5" s="49">
        <f t="shared" si="3"/>
        <v>0</v>
      </c>
      <c r="AO5" s="50">
        <v>69.5</v>
      </c>
      <c r="AP5" s="51"/>
      <c r="AQ5" s="52"/>
      <c r="AV5" s="21">
        <f t="shared" si="4"/>
        <v>4.94652566383765E-10</v>
      </c>
      <c r="AW5" s="21"/>
    </row>
    <row r="6" spans="1:49" ht="20.25" customHeight="1" x14ac:dyDescent="0.25">
      <c r="A6" s="19" t="s">
        <v>47</v>
      </c>
      <c r="B6" s="53"/>
      <c r="C6" s="19">
        <v>1</v>
      </c>
      <c r="D6" s="19">
        <v>64</v>
      </c>
      <c r="E6" s="19">
        <v>64</v>
      </c>
      <c r="F6" s="21">
        <f t="shared" si="0"/>
        <v>1.070478016E-25</v>
      </c>
      <c r="G6" s="21">
        <f t="shared" si="1"/>
        <v>5.8300067839999996E-29</v>
      </c>
      <c r="H6" s="22">
        <f t="shared" si="5"/>
        <v>1836.1522647586685</v>
      </c>
      <c r="I6" s="22">
        <f t="shared" si="6"/>
        <v>1</v>
      </c>
      <c r="J6" s="23">
        <f t="shared" si="7"/>
        <v>1.0698950153215999E-25</v>
      </c>
      <c r="K6" s="24">
        <v>58.44</v>
      </c>
      <c r="L6" s="25">
        <f>0.115*EXP(27000/(8.3144598*N6))/1000</f>
        <v>3.4453112314492135E-3</v>
      </c>
      <c r="M6" s="26">
        <f t="shared" si="8"/>
        <v>1.0469559755012302E-3</v>
      </c>
      <c r="N6" s="24">
        <v>955.15</v>
      </c>
      <c r="O6" s="27">
        <v>4.57E-5</v>
      </c>
      <c r="P6" s="27">
        <v>3.8499999999999998E-4</v>
      </c>
      <c r="R6" s="29">
        <v>1.6699999999999999E-10</v>
      </c>
      <c r="S6" s="29">
        <v>1.3300000000000001E-10</v>
      </c>
      <c r="T6" s="29">
        <f t="shared" si="9"/>
        <v>3E-10</v>
      </c>
      <c r="U6" s="29">
        <v>2196977.25</v>
      </c>
      <c r="V6" s="25">
        <v>2732.9322499999998</v>
      </c>
      <c r="W6" s="25">
        <v>-0.91500000000000004</v>
      </c>
      <c r="X6" s="25">
        <v>4.8985000000000003</v>
      </c>
      <c r="Y6" s="25">
        <v>-5.4299999999999997E-4</v>
      </c>
      <c r="AC6" s="42"/>
      <c r="AD6" s="42"/>
      <c r="AE6" s="43"/>
      <c r="AF6" s="44"/>
      <c r="AG6" s="45"/>
      <c r="AH6" s="45"/>
      <c r="AI6" s="45"/>
      <c r="AJ6" s="46"/>
      <c r="AK6" s="47">
        <f t="shared" si="2"/>
        <v>1858.9699999999998</v>
      </c>
      <c r="AL6" s="48"/>
      <c r="AM6" s="48"/>
      <c r="AN6" s="49">
        <f t="shared" si="3"/>
        <v>0</v>
      </c>
      <c r="AO6" s="50">
        <v>74.099999999999994</v>
      </c>
      <c r="AP6" s="51"/>
      <c r="AQ6" s="52"/>
      <c r="AV6" s="21">
        <f t="shared" si="4"/>
        <v>8.4358824408450485E-10</v>
      </c>
      <c r="AW6" s="21"/>
    </row>
    <row r="7" spans="1:49" ht="20.25" customHeight="1" x14ac:dyDescent="0.25">
      <c r="A7" s="19" t="s">
        <v>48</v>
      </c>
      <c r="B7" s="53">
        <v>3.67</v>
      </c>
      <c r="C7" s="19">
        <v>1</v>
      </c>
      <c r="D7" s="19">
        <v>20</v>
      </c>
      <c r="E7" s="19">
        <v>20</v>
      </c>
      <c r="F7" s="21">
        <f t="shared" si="0"/>
        <v>3.3452438000000001E-26</v>
      </c>
      <c r="G7" s="21">
        <f t="shared" si="1"/>
        <v>1.82187712E-29</v>
      </c>
      <c r="H7" s="22">
        <f t="shared" si="5"/>
        <v>1836.1522647586683</v>
      </c>
      <c r="I7" s="22">
        <f t="shared" si="6"/>
        <v>1</v>
      </c>
      <c r="J7" s="23">
        <f t="shared" si="7"/>
        <v>3.3434219228800004E-26</v>
      </c>
      <c r="K7" s="24">
        <v>42.393999999999998</v>
      </c>
      <c r="L7" s="25">
        <f>0.0726*EXP(22400/(8.3144598*N7))/1000</f>
        <v>1.5609788980515524E-3</v>
      </c>
      <c r="M7" s="26">
        <f t="shared" si="8"/>
        <v>1.1388224575788635E-3</v>
      </c>
      <c r="N7" s="24">
        <v>878.1</v>
      </c>
      <c r="O7" s="27">
        <f>K7/U7</f>
        <v>2.828152101400934E-5</v>
      </c>
      <c r="P7" s="27">
        <v>2.8800000000000001E-4</v>
      </c>
      <c r="R7" s="29">
        <v>7.5999999999999996E-11</v>
      </c>
      <c r="S7" s="29">
        <v>1.81E-10</v>
      </c>
      <c r="T7" s="29">
        <f t="shared" si="9"/>
        <v>2.5699999999999999E-10</v>
      </c>
      <c r="U7" s="29">
        <v>1499000</v>
      </c>
      <c r="V7" s="25">
        <v>2787.9043499999998</v>
      </c>
      <c r="W7" s="25">
        <v>-0.84899999999999998</v>
      </c>
      <c r="X7" s="25">
        <v>1.8842000000000001</v>
      </c>
      <c r="Y7" s="25">
        <v>-4.328E-4</v>
      </c>
      <c r="Z7" s="25">
        <v>1</v>
      </c>
      <c r="AA7" s="25">
        <v>1</v>
      </c>
      <c r="AB7" s="25">
        <f t="shared" si="10"/>
        <v>2</v>
      </c>
      <c r="AC7" s="42">
        <v>0.62592999999999999</v>
      </c>
      <c r="AD7" s="42">
        <v>0.40224439226966308</v>
      </c>
      <c r="AE7" s="43">
        <f t="shared" ref="AE7:AE14" si="13">(AC7-AD7)/AC7</f>
        <v>0.35736521293169671</v>
      </c>
      <c r="AF7" s="44">
        <v>1565153277.313864</v>
      </c>
      <c r="AG7" s="45">
        <f t="shared" ref="AG7:AG14" si="14">AD7/AF7</f>
        <v>2.5700000000000004E-10</v>
      </c>
      <c r="AH7" s="45">
        <f t="shared" ref="AH7:AH14" si="15">AC7/AF7</f>
        <v>3.9991610347213343E-10</v>
      </c>
      <c r="AI7" s="45">
        <f t="shared" ref="AI7:AI14" si="16">(AH7-AG7)/AG7</f>
        <v>0.55609378782931262</v>
      </c>
      <c r="AJ7" s="46">
        <f t="shared" ref="AJ7:AJ14" si="17">AD7/AK7</f>
        <v>1.969471672957989E-4</v>
      </c>
      <c r="AK7" s="47">
        <f t="shared" si="2"/>
        <v>2042.3974499999999</v>
      </c>
      <c r="AL7" s="48">
        <f t="shared" ref="AL7:AL14" si="18">AC7/AJ7</f>
        <v>3178.1619842234295</v>
      </c>
      <c r="AM7" s="48">
        <f t="shared" si="11"/>
        <v>0.55609378782931285</v>
      </c>
      <c r="AN7" s="49">
        <f t="shared" si="3"/>
        <v>6.1864717359222257E-3</v>
      </c>
      <c r="AO7" s="50">
        <v>65.02</v>
      </c>
      <c r="AP7" s="51">
        <f t="shared" ref="AP7:AP14" si="19">AC7/(AN7)</f>
        <v>101.17721808466192</v>
      </c>
      <c r="AQ7" s="52">
        <f t="shared" si="12"/>
        <v>0.55609378782931285</v>
      </c>
      <c r="AV7" s="21">
        <f t="shared" si="4"/>
        <v>5.0986492855295244E-10</v>
      </c>
      <c r="AW7" s="21"/>
    </row>
    <row r="8" spans="1:49" ht="20.25" customHeight="1" x14ac:dyDescent="0.25">
      <c r="A8" s="19" t="s">
        <v>49</v>
      </c>
      <c r="B8" s="53">
        <v>3.94</v>
      </c>
      <c r="C8" s="19">
        <v>1</v>
      </c>
      <c r="D8" s="19">
        <v>28</v>
      </c>
      <c r="E8" s="19">
        <v>28</v>
      </c>
      <c r="F8" s="21">
        <f t="shared" si="0"/>
        <v>4.6833413199999998E-26</v>
      </c>
      <c r="G8" s="21">
        <f t="shared" si="1"/>
        <v>2.5506279679999997E-29</v>
      </c>
      <c r="H8" s="22">
        <f t="shared" si="5"/>
        <v>1836.1522647586683</v>
      </c>
      <c r="I8" s="22">
        <f t="shared" si="6"/>
        <v>1</v>
      </c>
      <c r="J8" s="23">
        <f t="shared" si="7"/>
        <v>4.680790692032E-26</v>
      </c>
      <c r="K8" s="24">
        <v>58.44</v>
      </c>
      <c r="L8" s="25">
        <f>0.0893*EXP(22000/(8.3144598*N8))/1000</f>
        <v>1.0321390978018604E-3</v>
      </c>
      <c r="M8" s="26">
        <f t="shared" si="8"/>
        <v>9.2494103500901812E-4</v>
      </c>
      <c r="N8" s="24">
        <v>1081.1500000000001</v>
      </c>
      <c r="O8" s="27">
        <v>3.765E-5</v>
      </c>
      <c r="P8" s="27">
        <v>3.5E-4</v>
      </c>
      <c r="R8" s="29">
        <v>1.02E-10</v>
      </c>
      <c r="S8" s="29">
        <v>1.81E-10</v>
      </c>
      <c r="T8" s="29">
        <f t="shared" si="9"/>
        <v>2.8300000000000001E-10</v>
      </c>
      <c r="U8" s="29">
        <v>1560000</v>
      </c>
      <c r="V8" s="25">
        <v>2732.9322499999998</v>
      </c>
      <c r="W8" s="25">
        <v>-0.91500000000000004</v>
      </c>
      <c r="X8" s="25">
        <v>2.1393</v>
      </c>
      <c r="Y8" s="25">
        <v>-5.4299999999999997E-4</v>
      </c>
      <c r="Z8" s="25">
        <v>1</v>
      </c>
      <c r="AA8" s="25">
        <v>1</v>
      </c>
      <c r="AB8" s="25">
        <f t="shared" si="10"/>
        <v>2</v>
      </c>
      <c r="AC8" s="42">
        <v>0.51871599999999995</v>
      </c>
      <c r="AD8" s="42">
        <v>0.30612615309310248</v>
      </c>
      <c r="AE8" s="43">
        <f t="shared" si="13"/>
        <v>0.40983861478515698</v>
      </c>
      <c r="AF8" s="44">
        <v>1081717855.4526589</v>
      </c>
      <c r="AG8" s="45">
        <f t="shared" si="14"/>
        <v>2.8300000000000001E-10</v>
      </c>
      <c r="AH8" s="45">
        <f t="shared" si="15"/>
        <v>4.7952984910555673E-10</v>
      </c>
      <c r="AI8" s="45">
        <f t="shared" si="16"/>
        <v>0.6944517636238754</v>
      </c>
      <c r="AJ8" s="46">
        <f t="shared" si="17"/>
        <v>1.7556326452852731E-4</v>
      </c>
      <c r="AK8" s="47">
        <f t="shared" si="2"/>
        <v>1743.6799999999998</v>
      </c>
      <c r="AL8" s="48">
        <f t="shared" si="18"/>
        <v>2954.5816511956787</v>
      </c>
      <c r="AM8" s="48">
        <f t="shared" si="11"/>
        <v>0.69445176362387528</v>
      </c>
      <c r="AN8" s="49">
        <f t="shared" si="3"/>
        <v>4.3971007338854135E-3</v>
      </c>
      <c r="AO8" s="50">
        <v>69.62</v>
      </c>
      <c r="AP8" s="51">
        <f t="shared" si="19"/>
        <v>117.9677317834942</v>
      </c>
      <c r="AQ8" s="52">
        <f t="shared" si="12"/>
        <v>0.69445176362387528</v>
      </c>
      <c r="AV8" s="21">
        <f t="shared" si="4"/>
        <v>3.7944326183477726E-10</v>
      </c>
      <c r="AW8" s="21"/>
    </row>
    <row r="9" spans="1:49" ht="20.25" customHeight="1" x14ac:dyDescent="0.25">
      <c r="A9" s="19" t="s">
        <v>50</v>
      </c>
      <c r="B9" s="53">
        <v>3.34</v>
      </c>
      <c r="C9" s="19">
        <v>1</v>
      </c>
      <c r="D9" s="19">
        <v>36</v>
      </c>
      <c r="E9" s="19">
        <v>36</v>
      </c>
      <c r="F9" s="21">
        <f t="shared" si="0"/>
        <v>6.0214388399999996E-26</v>
      </c>
      <c r="G9" s="21">
        <f t="shared" si="1"/>
        <v>3.2793788159999999E-29</v>
      </c>
      <c r="H9" s="22">
        <f t="shared" si="5"/>
        <v>1836.1522647586683</v>
      </c>
      <c r="I9" s="22">
        <f t="shared" si="6"/>
        <v>1</v>
      </c>
      <c r="J9" s="23">
        <f t="shared" si="7"/>
        <v>6.0181594611840001E-26</v>
      </c>
      <c r="K9" s="24">
        <v>74.551299999999998</v>
      </c>
      <c r="L9" s="25">
        <f>0.0708*EXP(23900/(8.3144598*N9))/1000</f>
        <v>1.1078669041234444E-3</v>
      </c>
      <c r="M9" s="26">
        <f t="shared" si="8"/>
        <v>9.5680045926422035E-4</v>
      </c>
      <c r="N9" s="24">
        <v>1045.1500000000001</v>
      </c>
      <c r="O9" s="27">
        <v>4.884E-5</v>
      </c>
      <c r="P9" s="27">
        <v>3.8200000000000002E-4</v>
      </c>
      <c r="R9" s="29">
        <v>1.3799999999999999E-10</v>
      </c>
      <c r="S9" s="29">
        <v>1.81E-10</v>
      </c>
      <c r="T9" s="29">
        <f t="shared" si="9"/>
        <v>3.1899999999999998E-10</v>
      </c>
      <c r="U9" s="29">
        <v>1530000</v>
      </c>
      <c r="V9" s="25">
        <v>2514.8256999999999</v>
      </c>
      <c r="W9" s="25">
        <v>-0.878</v>
      </c>
      <c r="X9" s="25">
        <v>2.1358999999999999</v>
      </c>
      <c r="Y9" s="25">
        <v>-5.8310000000000002E-4</v>
      </c>
      <c r="Z9" s="25">
        <v>1</v>
      </c>
      <c r="AA9" s="25">
        <v>1</v>
      </c>
      <c r="AB9" s="25">
        <f t="shared" si="10"/>
        <v>2</v>
      </c>
      <c r="AC9" s="42">
        <v>0.38874099999999989</v>
      </c>
      <c r="AD9" s="42">
        <v>0.25652333922633108</v>
      </c>
      <c r="AE9" s="43">
        <f t="shared" si="13"/>
        <v>0.34011761243004685</v>
      </c>
      <c r="AF9" s="44">
        <v>804148398.82862413</v>
      </c>
      <c r="AG9" s="45">
        <f t="shared" si="14"/>
        <v>3.1899999999999998E-10</v>
      </c>
      <c r="AH9" s="45">
        <f t="shared" si="15"/>
        <v>4.8341947899948041E-10</v>
      </c>
      <c r="AI9" s="45">
        <f t="shared" si="16"/>
        <v>0.51542156426169417</v>
      </c>
      <c r="AJ9" s="46">
        <f t="shared" si="17"/>
        <v>1.6060976019439908E-4</v>
      </c>
      <c r="AK9" s="47">
        <f t="shared" si="2"/>
        <v>1597.1839999999997</v>
      </c>
      <c r="AL9" s="48">
        <f t="shared" si="18"/>
        <v>2420.4070756937499</v>
      </c>
      <c r="AM9" s="48">
        <f t="shared" si="11"/>
        <v>0.5154215642616945</v>
      </c>
      <c r="AN9" s="49">
        <f t="shared" si="3"/>
        <v>3.4853714568794988E-3</v>
      </c>
      <c r="AO9" s="50">
        <v>73.599999999999994</v>
      </c>
      <c r="AP9" s="51">
        <f t="shared" si="19"/>
        <v>111.53502712966069</v>
      </c>
      <c r="AQ9" s="52">
        <f t="shared" si="12"/>
        <v>0.51542156426169428</v>
      </c>
      <c r="AV9" s="21">
        <f t="shared" si="4"/>
        <v>4.5335791979318428E-10</v>
      </c>
      <c r="AW9" s="21"/>
    </row>
    <row r="10" spans="1:49" ht="20.25" customHeight="1" x14ac:dyDescent="0.25">
      <c r="A10" s="19" t="s">
        <v>51</v>
      </c>
      <c r="B10" s="53">
        <v>0.52</v>
      </c>
      <c r="C10" s="19">
        <v>1</v>
      </c>
      <c r="D10" s="19">
        <v>13</v>
      </c>
      <c r="E10" s="19">
        <v>12</v>
      </c>
      <c r="F10" s="21">
        <f t="shared" si="0"/>
        <v>2.17440847E-26</v>
      </c>
      <c r="G10" s="21">
        <f t="shared" si="1"/>
        <v>1.0931262719999999E-29</v>
      </c>
      <c r="H10" s="22">
        <f t="shared" si="5"/>
        <v>2154.9286996126039</v>
      </c>
      <c r="I10" s="22">
        <f t="shared" si="6"/>
        <v>1.0833333333333333</v>
      </c>
      <c r="J10" s="23">
        <f t="shared" si="7"/>
        <v>2.1733153437280001E-26</v>
      </c>
      <c r="K10" s="24">
        <v>47.01</v>
      </c>
      <c r="L10" s="54">
        <f>10^(-8.12+11500/N10+639000/N10^2)/1000</f>
        <v>1.5280162636820758</v>
      </c>
      <c r="M10" s="26">
        <f t="shared" si="8"/>
        <v>9.3444844180722323E-4</v>
      </c>
      <c r="N10" s="24">
        <v>1070.1500000000001</v>
      </c>
      <c r="O10" s="27">
        <v>2.4000000000000001E-5</v>
      </c>
      <c r="P10" s="27">
        <v>7.4200000000000001E-6</v>
      </c>
      <c r="R10" s="55">
        <v>3.3999999999999999E-11</v>
      </c>
      <c r="S10" s="29">
        <v>1.3300000000000001E-10</v>
      </c>
      <c r="T10" s="29">
        <f t="shared" si="9"/>
        <v>1.6699999999999999E-10</v>
      </c>
      <c r="U10" s="29">
        <v>1960000</v>
      </c>
      <c r="V10" s="30">
        <v>2547.8000000000002</v>
      </c>
      <c r="W10" s="25">
        <v>0</v>
      </c>
      <c r="X10" s="25">
        <v>1.972</v>
      </c>
      <c r="Y10" s="21">
        <v>-1.45E-5</v>
      </c>
      <c r="Z10" s="25">
        <v>1</v>
      </c>
      <c r="AA10" s="25">
        <v>2</v>
      </c>
      <c r="AB10" s="25">
        <f t="shared" si="10"/>
        <v>3</v>
      </c>
      <c r="AC10" s="42">
        <v>0.79925905600000002</v>
      </c>
      <c r="AD10" s="42">
        <v>0.51979938659180325</v>
      </c>
      <c r="AE10" s="43">
        <f t="shared" si="13"/>
        <v>0.34964842413771385</v>
      </c>
      <c r="AF10" s="44">
        <v>3112571177.1964269</v>
      </c>
      <c r="AG10" s="45">
        <f t="shared" si="14"/>
        <v>1.6699999999999999E-10</v>
      </c>
      <c r="AH10" s="45">
        <f t="shared" si="15"/>
        <v>2.5678418596676501E-10</v>
      </c>
      <c r="AI10" s="45">
        <f t="shared" si="16"/>
        <v>0.53762985608841329</v>
      </c>
      <c r="AJ10" s="46">
        <f t="shared" si="17"/>
        <v>2.0401891301978303E-4</v>
      </c>
      <c r="AK10" s="47">
        <f t="shared" si="2"/>
        <v>2547.8000000000002</v>
      </c>
      <c r="AL10" s="48">
        <f t="shared" si="18"/>
        <v>3917.5733473420601</v>
      </c>
      <c r="AM10" s="48">
        <f t="shared" si="11"/>
        <v>0.5376298560884134</v>
      </c>
      <c r="AN10" s="49">
        <f t="shared" si="3"/>
        <v>5.9135311330125511E-3</v>
      </c>
      <c r="AO10" s="50">
        <v>87.9</v>
      </c>
      <c r="AP10" s="51">
        <f t="shared" si="19"/>
        <v>135.15766435017156</v>
      </c>
      <c r="AQ10" s="52">
        <f t="shared" si="12"/>
        <v>0.53762985608841352</v>
      </c>
      <c r="AV10" s="21"/>
      <c r="AW10" s="21"/>
    </row>
    <row r="11" spans="1:49" ht="20.25" customHeight="1" x14ac:dyDescent="0.25">
      <c r="A11" s="19" t="s">
        <v>52</v>
      </c>
      <c r="B11" s="53">
        <v>0.02</v>
      </c>
      <c r="C11" s="19">
        <v>1</v>
      </c>
      <c r="D11" s="19">
        <v>21</v>
      </c>
      <c r="E11" s="19">
        <v>20</v>
      </c>
      <c r="F11" s="21">
        <f t="shared" si="0"/>
        <v>3.51250599E-26</v>
      </c>
      <c r="G11" s="21">
        <f t="shared" si="1"/>
        <v>1.82187712E-29</v>
      </c>
      <c r="H11" s="22">
        <f t="shared" si="5"/>
        <v>2024.3578718964318</v>
      </c>
      <c r="I11" s="22">
        <f t="shared" si="6"/>
        <v>1.05</v>
      </c>
      <c r="J11" s="23">
        <f t="shared" si="7"/>
        <v>3.5106841128800003E-26</v>
      </c>
      <c r="K11" s="56">
        <v>62.3018</v>
      </c>
      <c r="L11" s="25">
        <f>0.187*EXP(32100/(8.3144598*N11))/1000</f>
        <v>2.3159210132636244E-3</v>
      </c>
      <c r="M11" s="26">
        <f t="shared" si="8"/>
        <v>6.5180550123843041E-4</v>
      </c>
      <c r="N11" s="56">
        <v>1534.2</v>
      </c>
      <c r="O11" s="27">
        <f t="shared" ref="O11:O16" si="20">K11/U11</f>
        <v>2.5574620069823672E-5</v>
      </c>
      <c r="P11" s="27">
        <v>2.1599999999999999E-4</v>
      </c>
      <c r="R11" s="29">
        <v>7.1999999999999997E-11</v>
      </c>
      <c r="S11" s="29">
        <v>1.3300000000000001E-10</v>
      </c>
      <c r="T11" s="29">
        <f t="shared" si="9"/>
        <v>2.0500000000000002E-10</v>
      </c>
      <c r="U11" s="29">
        <f t="shared" ref="U11:U18" si="21">(X11+N11*Y11)*1000000</f>
        <v>2436079.2000000002</v>
      </c>
      <c r="V11" s="30">
        <v>2175.6</v>
      </c>
      <c r="W11" s="25">
        <v>0</v>
      </c>
      <c r="X11" s="21">
        <v>3.24</v>
      </c>
      <c r="Y11" s="21">
        <v>-5.2400000000000005E-4</v>
      </c>
      <c r="Z11" s="25">
        <v>1</v>
      </c>
      <c r="AA11" s="25">
        <v>2</v>
      </c>
      <c r="AB11" s="25">
        <f t="shared" si="10"/>
        <v>3</v>
      </c>
      <c r="AC11" s="42">
        <v>0.65067779999999997</v>
      </c>
      <c r="AD11" s="42">
        <v>0.55165642193242048</v>
      </c>
      <c r="AE11" s="43">
        <f t="shared" si="13"/>
        <v>0.15218189104896385</v>
      </c>
      <c r="AF11" s="44">
        <v>2691006936.2557101</v>
      </c>
      <c r="AG11" s="45">
        <f t="shared" si="14"/>
        <v>2.0499999999999996E-10</v>
      </c>
      <c r="AH11" s="45">
        <f t="shared" si="15"/>
        <v>2.4179714709519052E-10</v>
      </c>
      <c r="AI11" s="45">
        <f t="shared" si="16"/>
        <v>0.17949827851312469</v>
      </c>
      <c r="AJ11" s="46">
        <f t="shared" si="17"/>
        <v>2.5356518750341078E-4</v>
      </c>
      <c r="AK11" s="47">
        <f t="shared" si="2"/>
        <v>2175.6</v>
      </c>
      <c r="AL11" s="48">
        <f t="shared" si="18"/>
        <v>2566.1164547331541</v>
      </c>
      <c r="AM11" s="48">
        <f t="shared" si="11"/>
        <v>0.17949827851312475</v>
      </c>
      <c r="AN11" s="49">
        <f t="shared" si="3"/>
        <v>5.8130286821119117E-3</v>
      </c>
      <c r="AO11" s="50">
        <v>94.9</v>
      </c>
      <c r="AP11" s="51">
        <f t="shared" si="19"/>
        <v>111.93438663089556</v>
      </c>
      <c r="AQ11" s="52">
        <f t="shared" si="12"/>
        <v>0.17949827851312489</v>
      </c>
      <c r="AV11" s="21">
        <f t="shared" ref="AV11:AV16" si="22">L11/(U11/1000*(V11+W11*N11))</f>
        <v>4.369716780765129E-10</v>
      </c>
      <c r="AW11" s="21"/>
    </row>
    <row r="12" spans="1:49" ht="20.25" customHeight="1" x14ac:dyDescent="0.25">
      <c r="A12" s="19" t="s">
        <v>53</v>
      </c>
      <c r="B12" s="53">
        <v>0.12</v>
      </c>
      <c r="C12" s="19">
        <v>1</v>
      </c>
      <c r="D12" s="19">
        <v>29</v>
      </c>
      <c r="E12" s="19">
        <v>28</v>
      </c>
      <c r="F12" s="21">
        <f t="shared" si="0"/>
        <v>4.8506035099999997E-26</v>
      </c>
      <c r="G12" s="21">
        <f t="shared" si="1"/>
        <v>2.5506279679999997E-29</v>
      </c>
      <c r="H12" s="22">
        <f t="shared" si="5"/>
        <v>1969.6480289056633</v>
      </c>
      <c r="I12" s="22">
        <f t="shared" si="6"/>
        <v>1.0357142857142858</v>
      </c>
      <c r="J12" s="23">
        <f t="shared" si="7"/>
        <v>4.8480528820319999E-26</v>
      </c>
      <c r="K12" s="56">
        <v>78.074799999999996</v>
      </c>
      <c r="L12" s="25">
        <f>0.1*EXP(47600/(8.3144598*N12))/1000</f>
        <v>2.9475212895614506E-3</v>
      </c>
      <c r="M12" s="26">
        <f t="shared" si="8"/>
        <v>5.9101654846335696E-4</v>
      </c>
      <c r="N12" s="56">
        <v>1692</v>
      </c>
      <c r="O12" s="27">
        <f t="shared" si="20"/>
        <v>3.1001402462170846E-5</v>
      </c>
      <c r="P12" s="27">
        <v>1.55E-4</v>
      </c>
      <c r="R12" s="29">
        <v>1E-10</v>
      </c>
      <c r="S12" s="29">
        <v>1.3300000000000001E-10</v>
      </c>
      <c r="T12" s="29">
        <f t="shared" si="9"/>
        <v>2.3300000000000002E-10</v>
      </c>
      <c r="U12" s="29">
        <f t="shared" si="21"/>
        <v>2518428</v>
      </c>
      <c r="V12" s="30">
        <v>1710.3</v>
      </c>
      <c r="W12" s="25">
        <v>0</v>
      </c>
      <c r="X12" s="21">
        <v>3.18</v>
      </c>
      <c r="Y12" s="21">
        <v>-3.9100000000000002E-4</v>
      </c>
      <c r="Z12" s="25">
        <v>1</v>
      </c>
      <c r="AA12" s="25">
        <v>2</v>
      </c>
      <c r="AB12" s="25">
        <f t="shared" si="10"/>
        <v>3</v>
      </c>
      <c r="AC12" s="42">
        <v>0.56480320000000006</v>
      </c>
      <c r="AD12" s="42">
        <v>0.42810664299445522</v>
      </c>
      <c r="AE12" s="43">
        <f t="shared" si="13"/>
        <v>0.24202511070324109</v>
      </c>
      <c r="AF12" s="44">
        <v>1837367566.4998081</v>
      </c>
      <c r="AG12" s="45">
        <f t="shared" si="14"/>
        <v>2.3299999999999997E-10</v>
      </c>
      <c r="AH12" s="45">
        <f t="shared" si="15"/>
        <v>3.0739804614922655E-10</v>
      </c>
      <c r="AI12" s="45">
        <f t="shared" si="16"/>
        <v>0.3193049190953931</v>
      </c>
      <c r="AJ12" s="46">
        <f t="shared" si="17"/>
        <v>2.5031084780123677E-4</v>
      </c>
      <c r="AK12" s="47">
        <f t="shared" si="2"/>
        <v>1710.3</v>
      </c>
      <c r="AL12" s="48">
        <f t="shared" si="18"/>
        <v>2256.4072031288506</v>
      </c>
      <c r="AM12" s="48">
        <f t="shared" si="11"/>
        <v>0.31930491909539299</v>
      </c>
      <c r="AN12" s="49">
        <f t="shared" si="3"/>
        <v>4.2847513160763776E-3</v>
      </c>
      <c r="AO12" s="51">
        <v>99.914000000000001</v>
      </c>
      <c r="AP12" s="51">
        <f t="shared" si="19"/>
        <v>131.8170316864971</v>
      </c>
      <c r="AQ12" s="52">
        <f t="shared" si="12"/>
        <v>0.31930491909539305</v>
      </c>
      <c r="AV12" s="21">
        <f t="shared" si="22"/>
        <v>6.843135125098611E-10</v>
      </c>
      <c r="AW12" s="21"/>
    </row>
    <row r="13" spans="1:49" ht="20.25" customHeight="1" x14ac:dyDescent="0.25">
      <c r="A13" s="19" t="s">
        <v>54</v>
      </c>
      <c r="B13" s="53"/>
      <c r="C13" s="19">
        <v>1</v>
      </c>
      <c r="D13" s="19">
        <v>47</v>
      </c>
      <c r="E13" s="19">
        <v>46</v>
      </c>
      <c r="F13" s="21">
        <f t="shared" si="0"/>
        <v>7.8613229299999995E-26</v>
      </c>
      <c r="G13" s="21">
        <f t="shared" si="1"/>
        <v>4.1903173759999999E-29</v>
      </c>
      <c r="H13" s="22">
        <f t="shared" si="5"/>
        <v>1916.8527187390821</v>
      </c>
      <c r="I13" s="22">
        <f t="shared" si="6"/>
        <v>1.0217391304347827</v>
      </c>
      <c r="J13" s="23">
        <f t="shared" si="7"/>
        <v>7.8571326126239999E-26</v>
      </c>
      <c r="K13" s="56">
        <v>125.6168</v>
      </c>
      <c r="L13" s="25">
        <f>0.0703*EXP(54500/(8.3144598*N13))/1000</f>
        <v>3.0018345111633513E-3</v>
      </c>
      <c r="M13" s="26">
        <f t="shared" si="8"/>
        <v>5.7273768613974802E-4</v>
      </c>
      <c r="N13" s="56">
        <v>1746</v>
      </c>
      <c r="O13" s="27">
        <f t="shared" si="20"/>
        <v>3.6213810492182497E-5</v>
      </c>
      <c r="P13" s="27">
        <v>2.13E-4</v>
      </c>
      <c r="R13" s="29">
        <v>1.1800000000000001E-10</v>
      </c>
      <c r="S13" s="29">
        <v>1.3300000000000001E-10</v>
      </c>
      <c r="T13" s="29">
        <f t="shared" si="9"/>
        <v>2.5100000000000001E-10</v>
      </c>
      <c r="U13" s="29">
        <f t="shared" si="21"/>
        <v>3468754</v>
      </c>
      <c r="V13" s="30">
        <v>1398.6</v>
      </c>
      <c r="W13" s="25">
        <v>0</v>
      </c>
      <c r="X13" s="21">
        <v>4.78</v>
      </c>
      <c r="Y13" s="21">
        <v>-7.5100000000000004E-4</v>
      </c>
      <c r="Z13" s="25">
        <v>1</v>
      </c>
      <c r="AA13" s="25">
        <v>2</v>
      </c>
      <c r="AB13" s="25">
        <f t="shared" si="10"/>
        <v>3</v>
      </c>
      <c r="AC13" s="42">
        <v>0.39041500000000001</v>
      </c>
      <c r="AD13" s="42">
        <v>0.31989463805530149</v>
      </c>
      <c r="AE13" s="43">
        <f t="shared" si="13"/>
        <v>0.1806292328540105</v>
      </c>
      <c r="AF13" s="44">
        <v>1274480629.7023959</v>
      </c>
      <c r="AG13" s="45">
        <f t="shared" si="14"/>
        <v>2.5100000000000012E-10</v>
      </c>
      <c r="AH13" s="45">
        <f t="shared" si="15"/>
        <v>3.0633262750424528E-10</v>
      </c>
      <c r="AI13" s="45">
        <f t="shared" si="16"/>
        <v>0.22044871515635514</v>
      </c>
      <c r="AJ13" s="46">
        <f t="shared" si="17"/>
        <v>2.2872489493443551E-4</v>
      </c>
      <c r="AK13" s="47">
        <f t="shared" si="2"/>
        <v>1398.6</v>
      </c>
      <c r="AL13" s="48">
        <f t="shared" si="18"/>
        <v>1706.9195730176784</v>
      </c>
      <c r="AM13" s="48">
        <f t="shared" si="11"/>
        <v>0.22044871515635531</v>
      </c>
      <c r="AN13" s="49">
        <f t="shared" si="3"/>
        <v>3.2312589702555706E-3</v>
      </c>
      <c r="AO13" s="50">
        <v>99</v>
      </c>
      <c r="AP13" s="51">
        <f t="shared" si="19"/>
        <v>120.82442280047917</v>
      </c>
      <c r="AQ13" s="52">
        <f t="shared" si="12"/>
        <v>0.22044871515635525</v>
      </c>
      <c r="AV13" s="21">
        <f t="shared" si="22"/>
        <v>6.1875642429403127E-10</v>
      </c>
      <c r="AW13" s="21"/>
    </row>
    <row r="14" spans="1:49" ht="20.25" customHeight="1" x14ac:dyDescent="0.25">
      <c r="A14" s="19" t="s">
        <v>55</v>
      </c>
      <c r="B14" s="53">
        <v>0.8</v>
      </c>
      <c r="C14" s="19">
        <v>1</v>
      </c>
      <c r="D14" s="19">
        <v>29</v>
      </c>
      <c r="E14" s="19">
        <v>28</v>
      </c>
      <c r="F14" s="21">
        <f t="shared" si="0"/>
        <v>4.8506035099999997E-26</v>
      </c>
      <c r="G14" s="21">
        <f t="shared" si="1"/>
        <v>2.5506279679999997E-29</v>
      </c>
      <c r="H14" s="22">
        <f t="shared" si="5"/>
        <v>1969.6480289056633</v>
      </c>
      <c r="I14" s="22">
        <f t="shared" si="6"/>
        <v>1.0357142857142858</v>
      </c>
      <c r="J14" s="23">
        <f t="shared" si="7"/>
        <v>4.8480528820319999E-26</v>
      </c>
      <c r="K14" s="56">
        <v>95.210999999999999</v>
      </c>
      <c r="L14" s="25">
        <f>0.18*EXP(20500/(8.3144598*N14))/1000</f>
        <v>2.1885964575678765E-3</v>
      </c>
      <c r="M14" s="26">
        <f t="shared" si="8"/>
        <v>1.0131712259371835E-3</v>
      </c>
      <c r="N14" s="56">
        <v>987</v>
      </c>
      <c r="O14" s="27">
        <f t="shared" si="20"/>
        <v>5.651027632231827E-5</v>
      </c>
      <c r="P14" s="27">
        <v>1.8000000000000001E-4</v>
      </c>
      <c r="R14" s="29">
        <v>7.1999999999999997E-11</v>
      </c>
      <c r="S14" s="29">
        <v>1.81E-10</v>
      </c>
      <c r="T14" s="29">
        <f t="shared" si="9"/>
        <v>2.5300000000000001E-10</v>
      </c>
      <c r="U14" s="29">
        <f t="shared" si="21"/>
        <v>1684844</v>
      </c>
      <c r="V14" s="30">
        <v>2101</v>
      </c>
      <c r="W14" s="25">
        <v>0</v>
      </c>
      <c r="X14" s="21">
        <v>1.9691000000000001</v>
      </c>
      <c r="Y14" s="21">
        <v>-2.8800000000000001E-4</v>
      </c>
      <c r="Z14" s="25">
        <v>1</v>
      </c>
      <c r="AA14" s="25">
        <v>2</v>
      </c>
      <c r="AB14" s="25">
        <f t="shared" si="10"/>
        <v>3</v>
      </c>
      <c r="AC14" s="42">
        <v>0.20426</v>
      </c>
      <c r="AD14" s="42">
        <v>0.28861057804145579</v>
      </c>
      <c r="AE14" s="43">
        <f t="shared" si="13"/>
        <v>-0.41295690806548413</v>
      </c>
      <c r="AF14" s="44">
        <v>1140753272.891129</v>
      </c>
      <c r="AG14" s="45">
        <f t="shared" si="14"/>
        <v>2.5300000000000011E-10</v>
      </c>
      <c r="AH14" s="45">
        <f t="shared" si="15"/>
        <v>1.7905712379182813E-10</v>
      </c>
      <c r="AI14" s="45">
        <f t="shared" si="16"/>
        <v>-0.2922643328386243</v>
      </c>
      <c r="AJ14" s="46">
        <f t="shared" si="17"/>
        <v>1.3736819516490043E-4</v>
      </c>
      <c r="AK14" s="47">
        <f t="shared" si="2"/>
        <v>2101</v>
      </c>
      <c r="AL14" s="48">
        <f t="shared" si="18"/>
        <v>1486.9526367060503</v>
      </c>
      <c r="AM14" s="48">
        <f t="shared" si="11"/>
        <v>-0.29226433283862435</v>
      </c>
      <c r="AN14" s="49">
        <f t="shared" si="3"/>
        <v>3.1354356209961735E-3</v>
      </c>
      <c r="AO14" s="51">
        <v>92.048000000000002</v>
      </c>
      <c r="AP14" s="51">
        <f t="shared" si="19"/>
        <v>65.145652690870307</v>
      </c>
      <c r="AQ14" s="52">
        <f t="shared" si="12"/>
        <v>-0.29226433283862435</v>
      </c>
      <c r="AV14" s="21">
        <f t="shared" si="22"/>
        <v>6.1827251968353004E-10</v>
      </c>
      <c r="AW14" s="21"/>
    </row>
    <row r="15" spans="1:49" ht="20.25" customHeight="1" x14ac:dyDescent="0.25">
      <c r="A15" s="19" t="s">
        <v>56</v>
      </c>
      <c r="B15" s="53">
        <v>2.5</v>
      </c>
      <c r="C15" s="19">
        <v>1</v>
      </c>
      <c r="D15" s="19">
        <v>37</v>
      </c>
      <c r="E15" s="19">
        <v>36</v>
      </c>
      <c r="F15" s="21">
        <f t="shared" si="0"/>
        <v>6.1887010299999994E-26</v>
      </c>
      <c r="G15" s="21">
        <f t="shared" si="1"/>
        <v>3.2793788159999999E-29</v>
      </c>
      <c r="H15" s="22">
        <f t="shared" si="5"/>
        <v>1939.5775080668341</v>
      </c>
      <c r="I15" s="22">
        <f t="shared" si="6"/>
        <v>1.0277777777777777</v>
      </c>
      <c r="J15" s="23">
        <f t="shared" si="7"/>
        <v>6.185421651184E-26</v>
      </c>
      <c r="K15" s="25">
        <v>110.98399999999999</v>
      </c>
      <c r="L15" s="25">
        <f>10^(-0.545+597/N15+546000/N15^2)/1000</f>
        <v>3.3595446651079881E-3</v>
      </c>
      <c r="M15" s="26">
        <f t="shared" si="8"/>
        <v>9.5693779904306223E-4</v>
      </c>
      <c r="N15" s="25">
        <v>1045</v>
      </c>
      <c r="O15" s="27">
        <f t="shared" si="20"/>
        <v>5.3154147698835956E-5</v>
      </c>
      <c r="P15" s="27">
        <v>2.03E-4</v>
      </c>
      <c r="R15" s="29">
        <v>1E-10</v>
      </c>
      <c r="S15" s="29">
        <v>1.81E-10</v>
      </c>
      <c r="T15" s="29">
        <f t="shared" si="9"/>
        <v>2.8100000000000001E-10</v>
      </c>
      <c r="U15" s="29">
        <f t="shared" si="21"/>
        <v>2087964.9999999995</v>
      </c>
      <c r="V15" s="30">
        <v>2065.0300000000002</v>
      </c>
      <c r="W15" s="25">
        <v>0</v>
      </c>
      <c r="X15" s="21">
        <v>2.5299999999999998</v>
      </c>
      <c r="Y15" s="21">
        <v>-4.2299999999999998E-4</v>
      </c>
      <c r="AC15" s="42"/>
      <c r="AD15" s="42"/>
      <c r="AE15" s="43"/>
      <c r="AF15" s="44"/>
      <c r="AG15" s="45"/>
      <c r="AH15" s="45"/>
      <c r="AI15" s="45"/>
      <c r="AJ15" s="46"/>
      <c r="AK15" s="47">
        <f t="shared" si="2"/>
        <v>2065.0300000000002</v>
      </c>
      <c r="AL15" s="48"/>
      <c r="AM15" s="48"/>
      <c r="AN15" s="49">
        <f t="shared" si="3"/>
        <v>0</v>
      </c>
      <c r="AO15" s="51">
        <v>102.533</v>
      </c>
      <c r="AP15" s="51"/>
      <c r="AQ15" s="52"/>
      <c r="AV15" s="21">
        <f t="shared" si="22"/>
        <v>7.7916751857846874E-10</v>
      </c>
      <c r="AW15" s="21"/>
    </row>
    <row r="16" spans="1:49" ht="20.25" customHeight="1" x14ac:dyDescent="0.25">
      <c r="A16" s="19" t="s">
        <v>57</v>
      </c>
      <c r="B16" s="53"/>
      <c r="C16" s="19">
        <v>1</v>
      </c>
      <c r="D16" s="19">
        <v>55</v>
      </c>
      <c r="E16" s="19">
        <v>54</v>
      </c>
      <c r="F16" s="21">
        <f t="shared" si="0"/>
        <v>9.1994204499999998E-26</v>
      </c>
      <c r="G16" s="21">
        <f t="shared" si="1"/>
        <v>4.9190682239999996E-29</v>
      </c>
      <c r="H16" s="22">
        <f t="shared" si="5"/>
        <v>1904.7875860407996</v>
      </c>
      <c r="I16" s="22">
        <f t="shared" si="6"/>
        <v>1.0185185185185186</v>
      </c>
      <c r="J16" s="23">
        <f t="shared" si="7"/>
        <v>9.1945013817760001E-26</v>
      </c>
      <c r="K16" s="25">
        <v>158.52600000000001</v>
      </c>
      <c r="L16" s="25">
        <f>10^(-0.439+398/N16+879000/N16^2)/1000</f>
        <v>3.78088190424221E-3</v>
      </c>
      <c r="M16" s="26">
        <f t="shared" si="8"/>
        <v>8.7260034904013963E-4</v>
      </c>
      <c r="N16" s="25">
        <v>1146</v>
      </c>
      <c r="O16" s="27">
        <f t="shared" si="20"/>
        <v>5.811897000013199E-5</v>
      </c>
      <c r="P16" s="27">
        <v>2.12E-4</v>
      </c>
      <c r="R16" s="29">
        <v>1.1800000000000001E-10</v>
      </c>
      <c r="S16" s="29">
        <v>1.81E-10</v>
      </c>
      <c r="T16" s="29">
        <f t="shared" si="9"/>
        <v>2.99E-10</v>
      </c>
      <c r="U16" s="29">
        <f t="shared" si="21"/>
        <v>2727612</v>
      </c>
      <c r="V16" s="30">
        <v>1873.13</v>
      </c>
      <c r="W16" s="25">
        <v>0</v>
      </c>
      <c r="X16" s="21">
        <v>3.39</v>
      </c>
      <c r="Y16" s="21">
        <v>-5.7799999999999995E-4</v>
      </c>
      <c r="Z16" s="25">
        <v>1</v>
      </c>
      <c r="AA16" s="25">
        <v>2</v>
      </c>
      <c r="AB16" s="25">
        <f t="shared" si="10"/>
        <v>3</v>
      </c>
      <c r="AC16" s="42">
        <v>0.380772</v>
      </c>
      <c r="AD16" s="42">
        <v>0.33599408249358731</v>
      </c>
      <c r="AE16" s="43">
        <f>(AC16-AD16)/AC16</f>
        <v>0.11759771597284645</v>
      </c>
      <c r="AF16" s="44">
        <v>1123726028.406646</v>
      </c>
      <c r="AG16" s="45">
        <f>AD16/AF16</f>
        <v>2.9900000000000016E-10</v>
      </c>
      <c r="AH16" s="45">
        <f>AC16/AF16</f>
        <v>3.3884771765935189E-10</v>
      </c>
      <c r="AI16" s="45">
        <f>(AH16-AG16)/AG16</f>
        <v>0.13326995872692879</v>
      </c>
      <c r="AJ16" s="46">
        <f>AD16/AK16</f>
        <v>1.7937574140267215E-4</v>
      </c>
      <c r="AK16" s="47">
        <f t="shared" si="2"/>
        <v>1873.13</v>
      </c>
      <c r="AL16" s="48">
        <f>AC16/AJ16</f>
        <v>2122.7619577901723</v>
      </c>
      <c r="AM16" s="48">
        <f t="shared" si="11"/>
        <v>0.13326995872692884</v>
      </c>
      <c r="AN16" s="49">
        <f t="shared" si="3"/>
        <v>3.2121805209711983E-3</v>
      </c>
      <c r="AO16" s="50">
        <v>104.6</v>
      </c>
      <c r="AP16" s="51">
        <f>AC16/(AN16)</f>
        <v>118.54003768283674</v>
      </c>
      <c r="AQ16" s="52">
        <f t="shared" si="12"/>
        <v>0.13326995872692873</v>
      </c>
      <c r="AV16" s="21">
        <f t="shared" si="22"/>
        <v>7.4001853993764589E-10</v>
      </c>
      <c r="AW16" s="21"/>
    </row>
    <row r="17" spans="1:49" ht="20.25" customHeight="1" x14ac:dyDescent="0.25">
      <c r="A17" s="19" t="s">
        <v>58</v>
      </c>
      <c r="B17" s="53">
        <v>0.3</v>
      </c>
      <c r="C17" s="19">
        <v>1</v>
      </c>
      <c r="D17" s="19">
        <v>26</v>
      </c>
      <c r="E17" s="19">
        <v>25</v>
      </c>
      <c r="F17" s="21">
        <f t="shared" si="0"/>
        <v>4.3488169400000001E-26</v>
      </c>
      <c r="G17" s="21">
        <f t="shared" si="1"/>
        <v>2.2773463999999997E-29</v>
      </c>
      <c r="H17" s="22">
        <f t="shared" si="5"/>
        <v>1985.9822895629759</v>
      </c>
      <c r="I17" s="22">
        <f t="shared" si="6"/>
        <v>1.04</v>
      </c>
      <c r="J17" s="23">
        <f t="shared" si="7"/>
        <v>4.3465395936000002E-26</v>
      </c>
      <c r="K17" s="25">
        <v>84.99</v>
      </c>
      <c r="L17" s="25"/>
      <c r="M17" s="26">
        <f t="shared" si="8"/>
        <v>1.7148246591785991E-3</v>
      </c>
      <c r="N17" s="57">
        <v>583.15</v>
      </c>
      <c r="O17" s="56">
        <v>4.4669999999999998E-5</v>
      </c>
      <c r="P17" s="58">
        <v>3.7599999999999998E-4</v>
      </c>
      <c r="R17" s="29">
        <v>1.02E-10</v>
      </c>
      <c r="S17" s="29">
        <v>2.31E-10</v>
      </c>
      <c r="T17" s="29">
        <f t="shared" si="9"/>
        <v>3.3299999999999999E-10</v>
      </c>
      <c r="U17" s="29">
        <f t="shared" si="21"/>
        <v>1886915.5249999999</v>
      </c>
      <c r="V17" s="25">
        <v>2490.4882499999999</v>
      </c>
      <c r="W17" s="25">
        <v>-1.155</v>
      </c>
      <c r="X17" s="59">
        <v>2.3338999999999999</v>
      </c>
      <c r="Y17" s="21">
        <v>-7.6650000000000004E-4</v>
      </c>
      <c r="Z17" s="25">
        <v>2</v>
      </c>
      <c r="AA17" s="25">
        <v>3</v>
      </c>
      <c r="AB17" s="25">
        <f t="shared" si="10"/>
        <v>5</v>
      </c>
      <c r="AC17" s="42">
        <v>0.59593560000000001</v>
      </c>
      <c r="AD17" s="42">
        <v>0.69828459522735364</v>
      </c>
      <c r="AE17" s="43">
        <f>(AC17-AD17)/AC17</f>
        <v>-0.17174505974698212</v>
      </c>
      <c r="AF17" s="44">
        <v>2096950736.418479</v>
      </c>
      <c r="AG17" s="45">
        <f>AD17/AF17</f>
        <v>3.3300000000000009E-10</v>
      </c>
      <c r="AH17" s="45">
        <f>AC17/AF17</f>
        <v>2.8419151182246556E-10</v>
      </c>
      <c r="AI17" s="45">
        <f>(AH17-AG17)/AG17</f>
        <v>-0.14657203656917273</v>
      </c>
      <c r="AJ17" s="46">
        <f>AD17/AK17</f>
        <v>3.8431690207620117E-4</v>
      </c>
      <c r="AK17" s="47">
        <f t="shared" si="2"/>
        <v>1816.9499999999998</v>
      </c>
      <c r="AL17" s="48">
        <f>AC17/AJ17</f>
        <v>1550.6359381556415</v>
      </c>
      <c r="AM17" s="48">
        <f t="shared" si="11"/>
        <v>-0.1465720365691727</v>
      </c>
      <c r="AN17" s="49">
        <f t="shared" si="3"/>
        <v>4.4876902006899333E-3</v>
      </c>
      <c r="AO17" s="51">
        <v>155.6</v>
      </c>
      <c r="AP17" s="51">
        <f>AC17/(AN17)</f>
        <v>132.79339110983673</v>
      </c>
      <c r="AQ17" s="52">
        <f t="shared" si="12"/>
        <v>-0.14657203656917264</v>
      </c>
      <c r="AV17" s="21"/>
      <c r="AW17" s="21"/>
    </row>
    <row r="18" spans="1:49" ht="20.25" customHeight="1" x14ac:dyDescent="0.25">
      <c r="A18" s="19" t="s">
        <v>59</v>
      </c>
      <c r="B18" s="53">
        <v>0.2</v>
      </c>
      <c r="C18" s="19">
        <v>1</v>
      </c>
      <c r="D18" s="19">
        <v>34</v>
      </c>
      <c r="E18" s="19">
        <v>33</v>
      </c>
      <c r="F18" s="21">
        <f t="shared" si="0"/>
        <v>5.6869144599999998E-26</v>
      </c>
      <c r="G18" s="21">
        <f t="shared" si="1"/>
        <v>3.0060972479999997E-29</v>
      </c>
      <c r="H18" s="22">
        <f t="shared" si="5"/>
        <v>1949.1203104325261</v>
      </c>
      <c r="I18" s="22">
        <f t="shared" si="6"/>
        <v>1.0303030303030303</v>
      </c>
      <c r="J18" s="23">
        <f t="shared" si="7"/>
        <v>5.6839083627519992E-26</v>
      </c>
      <c r="K18" s="25">
        <v>101.1</v>
      </c>
      <c r="L18" s="25"/>
      <c r="M18" s="26">
        <f t="shared" si="8"/>
        <v>1.6389412439564042E-3</v>
      </c>
      <c r="N18" s="25">
        <v>610.15</v>
      </c>
      <c r="O18" s="56">
        <v>5.4060000000000001E-5</v>
      </c>
      <c r="P18" s="58">
        <v>3.8999999999999999E-4</v>
      </c>
      <c r="R18" s="29">
        <v>1.3799999999999999E-10</v>
      </c>
      <c r="S18" s="29">
        <v>2.31E-10</v>
      </c>
      <c r="T18" s="29">
        <f t="shared" si="9"/>
        <v>3.6899999999999997E-10</v>
      </c>
      <c r="U18" s="29">
        <f t="shared" si="21"/>
        <v>1870200.65</v>
      </c>
      <c r="V18" s="25">
        <v>2449.9279999999999</v>
      </c>
      <c r="W18" s="25">
        <v>-1.1200000000000001</v>
      </c>
      <c r="X18" s="59">
        <v>2.3149999999999999</v>
      </c>
      <c r="Y18" s="21">
        <v>-7.2900000000000005E-4</v>
      </c>
      <c r="Z18" s="25">
        <v>2</v>
      </c>
      <c r="AA18" s="25">
        <v>3</v>
      </c>
      <c r="AB18" s="25">
        <f t="shared" si="10"/>
        <v>5</v>
      </c>
      <c r="AC18" s="42">
        <v>0.14599400000000001</v>
      </c>
      <c r="AD18" s="42">
        <v>0.53083304545912946</v>
      </c>
      <c r="AE18" s="43">
        <f>(AC18-AD18)/AC18</f>
        <v>-2.6359922014543709</v>
      </c>
      <c r="AF18" s="44">
        <v>1438571938.91363</v>
      </c>
      <c r="AG18" s="45">
        <f>AD18/AF18</f>
        <v>3.6899999999999997E-10</v>
      </c>
      <c r="AH18" s="45">
        <f>AC18/AF18</f>
        <v>1.014853661821394E-10</v>
      </c>
      <c r="AI18" s="45">
        <f>(AH18-AG18)/AG18</f>
        <v>-0.7249719073654759</v>
      </c>
      <c r="AJ18" s="46">
        <f>AD18/AK18</f>
        <v>3.004896779385526E-4</v>
      </c>
      <c r="AK18" s="47">
        <f t="shared" si="2"/>
        <v>1766.56</v>
      </c>
      <c r="AL18" s="48">
        <f>AC18/AJ18</f>
        <v>485.85362732444491</v>
      </c>
      <c r="AM18" s="48">
        <f t="shared" si="11"/>
        <v>-0.7249719073654759</v>
      </c>
      <c r="AN18" s="49">
        <f t="shared" si="3"/>
        <v>3.7647733720505634E-3</v>
      </c>
      <c r="AO18" s="51">
        <v>141</v>
      </c>
      <c r="AP18" s="51">
        <f>AC18/(AN18)</f>
        <v>38.778961061467903</v>
      </c>
      <c r="AQ18" s="52">
        <f t="shared" si="12"/>
        <v>-0.7249719073654759</v>
      </c>
      <c r="AV18" s="21"/>
      <c r="AW18" s="21"/>
    </row>
    <row r="19" spans="1:49" ht="20.25" customHeight="1" x14ac:dyDescent="0.25">
      <c r="A19" s="19" t="s">
        <v>60</v>
      </c>
      <c r="B19" s="53">
        <v>0.05</v>
      </c>
      <c r="C19" s="19">
        <v>1</v>
      </c>
      <c r="D19" s="19">
        <v>49</v>
      </c>
      <c r="E19" s="19">
        <v>46</v>
      </c>
      <c r="F19" s="21">
        <f t="shared" si="0"/>
        <v>8.1958473100000004E-26</v>
      </c>
      <c r="G19" s="21">
        <f t="shared" si="1"/>
        <v>4.1903173759999999E-29</v>
      </c>
      <c r="H19" s="22">
        <f t="shared" si="5"/>
        <v>2083.4601076018726</v>
      </c>
      <c r="I19" s="22">
        <f t="shared" si="6"/>
        <v>1.0652173913043479</v>
      </c>
      <c r="J19" s="23">
        <f t="shared" si="7"/>
        <v>8.1916569926240009E-26</v>
      </c>
      <c r="K19" s="60">
        <v>167.21</v>
      </c>
      <c r="L19" s="25"/>
      <c r="M19" s="26">
        <f t="shared" si="8"/>
        <v>8.3963056255247689E-4</v>
      </c>
      <c r="N19" s="61">
        <v>1191</v>
      </c>
      <c r="O19" s="27">
        <f>K19/U19</f>
        <v>4.292862515949649E-5</v>
      </c>
      <c r="P19" s="27">
        <v>3.0899999999999998E-4</v>
      </c>
      <c r="R19" s="29">
        <v>7.1999999999999997E-11</v>
      </c>
      <c r="S19" s="29">
        <v>1.3300000000000001E-10</v>
      </c>
      <c r="T19" s="29">
        <f t="shared" si="9"/>
        <v>2.0500000000000002E-10</v>
      </c>
      <c r="U19" s="29">
        <f>(5.36-0.00123*N19)*1000000</f>
        <v>3895070.0000000005</v>
      </c>
      <c r="V19" s="30">
        <v>1700</v>
      </c>
      <c r="W19" s="25">
        <v>0</v>
      </c>
      <c r="X19" s="25">
        <v>5.36</v>
      </c>
      <c r="Y19" s="25">
        <v>-1.23E-3</v>
      </c>
      <c r="AC19" s="42"/>
      <c r="AD19" s="42"/>
      <c r="AE19" s="43"/>
      <c r="AF19" s="44"/>
      <c r="AG19" s="45"/>
      <c r="AH19" s="45"/>
      <c r="AI19" s="45"/>
      <c r="AJ19" s="46"/>
      <c r="AK19" s="47">
        <f t="shared" si="2"/>
        <v>1700</v>
      </c>
      <c r="AL19" s="48"/>
      <c r="AM19" s="48"/>
      <c r="AN19" s="49">
        <f t="shared" si="3"/>
        <v>0</v>
      </c>
      <c r="AO19" s="62">
        <v>123</v>
      </c>
      <c r="AP19" s="51"/>
      <c r="AQ19" s="52"/>
      <c r="AV19" s="21"/>
      <c r="AW19" s="21"/>
    </row>
    <row r="20" spans="1:49" ht="20.25" customHeight="1" x14ac:dyDescent="0.25">
      <c r="A20" s="19" t="s">
        <v>61</v>
      </c>
      <c r="B20" s="53">
        <v>0.08</v>
      </c>
      <c r="C20" s="19">
        <v>1</v>
      </c>
      <c r="D20" s="19">
        <v>99</v>
      </c>
      <c r="E20" s="19">
        <v>96</v>
      </c>
      <c r="F20" s="21">
        <f t="shared" si="0"/>
        <v>1.6558956810000001E-25</v>
      </c>
      <c r="G20" s="21">
        <f t="shared" si="1"/>
        <v>8.7450101759999993E-29</v>
      </c>
      <c r="H20" s="22">
        <f t="shared" si="5"/>
        <v>1952.7048987521384</v>
      </c>
      <c r="I20" s="22">
        <f t="shared" si="6"/>
        <v>1.03125</v>
      </c>
      <c r="J20" s="23">
        <f t="shared" si="7"/>
        <v>1.6550211799824002E-25</v>
      </c>
      <c r="K20" s="60">
        <v>308.0317</v>
      </c>
      <c r="L20" s="25"/>
      <c r="M20" s="26">
        <f t="shared" si="8"/>
        <v>7.2254335260115603E-4</v>
      </c>
      <c r="N20" s="61">
        <v>1384</v>
      </c>
      <c r="O20" s="27">
        <f>K20/U20</f>
        <v>5.0331977124183008E-5</v>
      </c>
      <c r="P20" s="27">
        <v>1.21E-4</v>
      </c>
      <c r="R20" s="29">
        <v>9.3999999999999999E-11</v>
      </c>
      <c r="S20" s="29">
        <v>1.3300000000000001E-10</v>
      </c>
      <c r="T20" s="29">
        <f t="shared" si="9"/>
        <v>2.2699999999999999E-10</v>
      </c>
      <c r="U20" s="29">
        <v>6120000</v>
      </c>
      <c r="V20" s="30">
        <v>1362</v>
      </c>
      <c r="W20" s="25">
        <v>0</v>
      </c>
      <c r="X20" s="25">
        <v>7.34</v>
      </c>
      <c r="Y20" s="25">
        <v>-8.0800000000000002E-4</v>
      </c>
      <c r="AC20" s="42"/>
      <c r="AD20" s="42"/>
      <c r="AE20" s="43"/>
      <c r="AF20" s="44"/>
      <c r="AG20" s="45"/>
      <c r="AH20" s="45"/>
      <c r="AI20" s="45"/>
      <c r="AJ20" s="46"/>
      <c r="AK20" s="47">
        <f t="shared" si="2"/>
        <v>1362</v>
      </c>
      <c r="AL20" s="48"/>
      <c r="AM20" s="48"/>
      <c r="AN20" s="49">
        <f t="shared" si="3"/>
        <v>0</v>
      </c>
      <c r="AO20" s="63">
        <v>168</v>
      </c>
      <c r="AP20" s="51"/>
      <c r="AQ20" s="52"/>
      <c r="AV20" s="21"/>
      <c r="AW20" s="21"/>
    </row>
    <row r="21" spans="1:49" x14ac:dyDescent="0.25">
      <c r="A21" s="19" t="s">
        <v>62</v>
      </c>
      <c r="B21" s="53">
        <v>0.09</v>
      </c>
      <c r="C21" s="19">
        <v>1</v>
      </c>
      <c r="D21" s="19">
        <v>101</v>
      </c>
      <c r="E21" s="19">
        <v>98</v>
      </c>
      <c r="F21" s="21">
        <f t="shared" si="0"/>
        <v>1.6893481190000001E-25</v>
      </c>
      <c r="G21" s="21">
        <f t="shared" si="1"/>
        <v>8.9271978879999991E-29</v>
      </c>
      <c r="H21" s="22">
        <f t="shared" si="5"/>
        <v>1950.2904261560993</v>
      </c>
      <c r="I21" s="22">
        <f t="shared" si="6"/>
        <v>1.0306122448979591</v>
      </c>
      <c r="J21" s="23">
        <f t="shared" si="7"/>
        <v>1.6884553992112001E-25</v>
      </c>
      <c r="K21" s="60">
        <v>314.02249999999998</v>
      </c>
      <c r="L21" s="25">
        <f>10^(11.4-35400/N21+27700000/N21^2)/1000</f>
        <v>3.3294860215237095E-3</v>
      </c>
      <c r="M21" s="26">
        <f t="shared" si="8"/>
        <v>7.6394194041252863E-4</v>
      </c>
      <c r="N21" s="61">
        <v>1309</v>
      </c>
      <c r="O21" s="27">
        <f>K21/U21</f>
        <v>4.8535162287480677E-5</v>
      </c>
      <c r="P21" s="64">
        <v>1.4899999999999999E-4</v>
      </c>
      <c r="R21" s="29">
        <v>8.9000000000000003E-11</v>
      </c>
      <c r="S21" s="29">
        <v>1.3300000000000001E-10</v>
      </c>
      <c r="T21" s="29">
        <f t="shared" si="9"/>
        <v>2.2200000000000001E-10</v>
      </c>
      <c r="U21" s="29">
        <v>6470000</v>
      </c>
      <c r="V21" s="30">
        <v>1062</v>
      </c>
      <c r="W21" s="25">
        <v>0</v>
      </c>
      <c r="X21" s="56">
        <v>7.6040000000000001</v>
      </c>
      <c r="Y21" s="25">
        <v>-7.9100000000000004E-4</v>
      </c>
      <c r="AC21" s="42"/>
      <c r="AD21" s="42"/>
      <c r="AE21" s="43"/>
      <c r="AF21" s="44"/>
      <c r="AG21" s="45"/>
      <c r="AH21" s="45"/>
      <c r="AI21" s="45"/>
      <c r="AJ21" s="46"/>
      <c r="AK21" s="47">
        <f t="shared" si="2"/>
        <v>1062</v>
      </c>
      <c r="AL21" s="48"/>
      <c r="AM21" s="48"/>
      <c r="AN21" s="49">
        <f t="shared" si="3"/>
        <v>0</v>
      </c>
      <c r="AO21" s="63">
        <v>174</v>
      </c>
      <c r="AP21" s="51"/>
      <c r="AQ21" s="52"/>
      <c r="AV21" s="21">
        <f t="shared" ref="AV21:AV26" si="23">L21/(U21/1000*(V21+W21*N21))</f>
        <v>4.8456093479738579E-10</v>
      </c>
      <c r="AW21" s="21"/>
    </row>
    <row r="22" spans="1:49" x14ac:dyDescent="0.25">
      <c r="A22" s="19" t="s">
        <v>63</v>
      </c>
      <c r="B22" s="53"/>
      <c r="C22" s="19">
        <v>1</v>
      </c>
      <c r="D22" s="19">
        <v>109</v>
      </c>
      <c r="E22" s="19">
        <v>107</v>
      </c>
      <c r="F22" s="21">
        <f t="shared" si="0"/>
        <v>1.823157871E-25</v>
      </c>
      <c r="G22" s="21">
        <f t="shared" si="1"/>
        <v>9.7470425919999998E-29</v>
      </c>
      <c r="H22" s="22">
        <f t="shared" si="5"/>
        <v>1905.4349775174894</v>
      </c>
      <c r="I22" s="22">
        <f t="shared" si="6"/>
        <v>1.0186915887850467</v>
      </c>
      <c r="J22" s="23">
        <f t="shared" si="7"/>
        <v>1.8221831667407999E-25</v>
      </c>
      <c r="K22" s="60">
        <v>344.3879</v>
      </c>
      <c r="L22" s="25">
        <f>0.478*EXP(10900/(8.3144598*N22))/1000</f>
        <v>1.5506403023444345E-3</v>
      </c>
      <c r="M22" s="26">
        <f t="shared" si="8"/>
        <v>8.9766606822262122E-4</v>
      </c>
      <c r="N22" s="65">
        <v>1114</v>
      </c>
      <c r="O22" s="27">
        <f>K22/U22</f>
        <v>7.5193864628820956E-5</v>
      </c>
      <c r="P22" s="64">
        <v>3.3300000000000002E-4</v>
      </c>
      <c r="R22" s="29">
        <v>1.16E-10</v>
      </c>
      <c r="S22" s="29">
        <v>1.81E-10</v>
      </c>
      <c r="T22" s="29">
        <f t="shared" si="9"/>
        <v>2.9700000000000001E-10</v>
      </c>
      <c r="U22" s="29">
        <v>4580000</v>
      </c>
      <c r="V22" s="30">
        <v>1248</v>
      </c>
      <c r="W22" s="25">
        <v>0</v>
      </c>
      <c r="X22" s="56">
        <v>6.3746999999999998</v>
      </c>
      <c r="Y22" s="25">
        <v>-1.5222E-3</v>
      </c>
      <c r="AC22" s="42"/>
      <c r="AD22" s="42"/>
      <c r="AE22" s="43"/>
      <c r="AF22" s="44"/>
      <c r="AG22" s="45"/>
      <c r="AH22" s="45"/>
      <c r="AI22" s="45"/>
      <c r="AJ22" s="46"/>
      <c r="AK22" s="47">
        <f t="shared" si="2"/>
        <v>1248</v>
      </c>
      <c r="AL22" s="48"/>
      <c r="AM22" s="48"/>
      <c r="AN22" s="49">
        <f t="shared" si="3"/>
        <v>0</v>
      </c>
      <c r="AO22" s="63">
        <v>150</v>
      </c>
      <c r="AP22" s="51"/>
      <c r="AQ22" s="52"/>
      <c r="AV22" s="21">
        <f t="shared" si="23"/>
        <v>2.7128826250287524E-10</v>
      </c>
      <c r="AW22" s="21"/>
    </row>
    <row r="23" spans="1:49" x14ac:dyDescent="0.25">
      <c r="A23" s="25" t="s">
        <v>64</v>
      </c>
      <c r="B23" s="66"/>
      <c r="C23" s="25">
        <v>2</v>
      </c>
      <c r="D23" s="67">
        <v>33.76</v>
      </c>
      <c r="E23" s="67">
        <v>33.44</v>
      </c>
      <c r="F23" s="21">
        <f t="shared" si="0"/>
        <v>5.6467715343999995E-26</v>
      </c>
      <c r="G23" s="21">
        <f t="shared" si="1"/>
        <v>3.0461785446399997E-29</v>
      </c>
      <c r="H23" s="22">
        <f t="shared" si="5"/>
        <v>1871.4620768599771</v>
      </c>
      <c r="I23" s="22">
        <f t="shared" si="6"/>
        <v>1.0095693779904307</v>
      </c>
      <c r="J23" s="23">
        <f t="shared" si="7"/>
        <v>5.6437253558553592E-26</v>
      </c>
      <c r="K23" s="25">
        <v>81.162404000000009</v>
      </c>
      <c r="L23" s="25">
        <f>0.141*EXP(18800/(8.3144598*N23))/1000</f>
        <v>3.6048872982003179E-3</v>
      </c>
      <c r="M23" s="26">
        <f t="shared" si="8"/>
        <v>1.43348623853211E-3</v>
      </c>
      <c r="N23" s="25">
        <v>697.6</v>
      </c>
      <c r="O23" s="25">
        <v>4.6549051207293618E-5</v>
      </c>
      <c r="P23" s="25">
        <v>3.0722637834585992E-4</v>
      </c>
      <c r="U23" s="21">
        <v>1741629.2032000001</v>
      </c>
      <c r="V23" s="25">
        <v>1968.0306331357569</v>
      </c>
      <c r="Z23" s="25">
        <v>2</v>
      </c>
      <c r="AA23" s="25">
        <v>3</v>
      </c>
      <c r="AB23" s="25">
        <f t="shared" si="10"/>
        <v>5</v>
      </c>
      <c r="AC23" s="42">
        <v>0.43524000000000002</v>
      </c>
      <c r="AD23" s="42">
        <v>0.28255485787268969</v>
      </c>
      <c r="AE23" s="43">
        <f t="shared" ref="AE23:AE41" si="24">(AC23-AD23)/AC23</f>
        <v>0.35080677816218714</v>
      </c>
      <c r="AF23" s="44">
        <v>1120431343.2759011</v>
      </c>
      <c r="AG23" s="45">
        <f t="shared" ref="AG23:AG40" si="25">AD23/AF23</f>
        <v>2.5218399999999988E-10</v>
      </c>
      <c r="AH23" s="45">
        <f t="shared" ref="AH23:AH40" si="26">AC23/AF23</f>
        <v>3.8845753701199716E-10</v>
      </c>
      <c r="AI23" s="45">
        <f t="shared" ref="AI23:AI41" si="27">(AH23-AG23)/AG23</f>
        <v>0.54037344562699197</v>
      </c>
      <c r="AJ23" s="46">
        <f t="shared" ref="AJ23:AJ41" si="28">AD23/AK23</f>
        <v>1.4357238810987487E-4</v>
      </c>
      <c r="AK23" s="47">
        <f t="shared" si="2"/>
        <v>1968.0306331357569</v>
      </c>
      <c r="AL23" s="48">
        <f t="shared" ref="AL23:AL41" si="29">AC23/AJ23</f>
        <v>3031.5021274627966</v>
      </c>
      <c r="AM23" s="48">
        <f t="shared" si="11"/>
        <v>0.54037344562699197</v>
      </c>
      <c r="AN23" s="49">
        <f t="shared" si="3"/>
        <v>3.5539989488832884E-3</v>
      </c>
      <c r="AO23" s="51">
        <v>79.503360000000001</v>
      </c>
      <c r="AP23" s="51">
        <f t="shared" ref="AP23:AP41" si="30">AC23/(AN23)</f>
        <v>122.46486458212317</v>
      </c>
      <c r="AQ23" s="52">
        <f t="shared" si="12"/>
        <v>0.54037344562699197</v>
      </c>
      <c r="AV23" s="21">
        <f t="shared" si="23"/>
        <v>1.0517297026523455E-9</v>
      </c>
      <c r="AW23" s="21"/>
    </row>
    <row r="24" spans="1:49" x14ac:dyDescent="0.25">
      <c r="A24" s="25" t="s">
        <v>65</v>
      </c>
      <c r="B24" s="66"/>
      <c r="C24" s="25">
        <v>2</v>
      </c>
      <c r="D24" s="67">
        <v>12.34</v>
      </c>
      <c r="E24" s="67">
        <v>11.34</v>
      </c>
      <c r="F24" s="21">
        <f t="shared" si="0"/>
        <v>2.0640154245999999E-26</v>
      </c>
      <c r="G24" s="21">
        <f t="shared" si="1"/>
        <v>1.0330043270399999E-29</v>
      </c>
      <c r="H24" s="22">
        <f t="shared" si="5"/>
        <v>2174.2671429464549</v>
      </c>
      <c r="I24" s="22">
        <f t="shared" si="6"/>
        <v>1.088183421516755</v>
      </c>
      <c r="J24" s="23">
        <f t="shared" si="7"/>
        <v>2.06298242027296E-26</v>
      </c>
      <c r="K24" s="25">
        <v>33.103140000000003</v>
      </c>
      <c r="L24" s="25">
        <f>0.116*EXP(31200/(8.3144598*N24))/1000</f>
        <v>1.9398692129051695E-2</v>
      </c>
      <c r="M24" s="26">
        <f t="shared" si="8"/>
        <v>1.364256480218281E-3</v>
      </c>
      <c r="N24" s="25">
        <v>733</v>
      </c>
      <c r="O24" s="25">
        <v>1.6714173769923689E-5</v>
      </c>
      <c r="P24" s="25">
        <v>1.409526898683356E-4</v>
      </c>
      <c r="U24" s="21">
        <v>1986063.3540000001</v>
      </c>
      <c r="V24" s="25">
        <v>2547.6863757231322</v>
      </c>
      <c r="Z24" s="25">
        <v>2</v>
      </c>
      <c r="AA24" s="25">
        <v>3</v>
      </c>
      <c r="AB24" s="25">
        <f t="shared" si="10"/>
        <v>5</v>
      </c>
      <c r="AC24" s="42">
        <v>1.1000000000000001</v>
      </c>
      <c r="AD24" s="42">
        <v>0.62426158899966577</v>
      </c>
      <c r="AE24" s="43">
        <f t="shared" si="24"/>
        <v>0.43248946454575843</v>
      </c>
      <c r="AF24" s="44">
        <v>3671349531.8618751</v>
      </c>
      <c r="AG24" s="45">
        <f t="shared" si="25"/>
        <v>1.7003600000000001E-10</v>
      </c>
      <c r="AH24" s="45">
        <f t="shared" si="26"/>
        <v>2.9961734518972644E-10</v>
      </c>
      <c r="AI24" s="45">
        <f t="shared" si="27"/>
        <v>0.76208182496486876</v>
      </c>
      <c r="AJ24" s="46">
        <f t="shared" si="28"/>
        <v>2.4503078359575407E-4</v>
      </c>
      <c r="AK24" s="47">
        <f t="shared" si="2"/>
        <v>2547.6863757231322</v>
      </c>
      <c r="AL24" s="48">
        <f t="shared" si="29"/>
        <v>4489.23185837235</v>
      </c>
      <c r="AM24" s="48">
        <f t="shared" si="11"/>
        <v>0.76208182496486909</v>
      </c>
      <c r="AN24" s="49">
        <f t="shared" si="3"/>
        <v>8.6393422043187697E-3</v>
      </c>
      <c r="AO24" s="51">
        <v>72.25800000000001</v>
      </c>
      <c r="AP24" s="51">
        <f t="shared" si="30"/>
        <v>127.32450850831152</v>
      </c>
      <c r="AQ24" s="52">
        <f t="shared" si="12"/>
        <v>0.76208182496486909</v>
      </c>
      <c r="AV24" s="21">
        <f t="shared" si="23"/>
        <v>3.8338347353322035E-9</v>
      </c>
      <c r="AW24" s="21"/>
    </row>
    <row r="25" spans="1:49" x14ac:dyDescent="0.25">
      <c r="A25" s="25" t="s">
        <v>66</v>
      </c>
      <c r="B25" s="66"/>
      <c r="C25" s="25">
        <v>3</v>
      </c>
      <c r="D25" s="67">
        <v>19.64</v>
      </c>
      <c r="E25" s="67">
        <v>19.64</v>
      </c>
      <c r="F25" s="21">
        <f t="shared" si="0"/>
        <v>3.2850294116000003E-26</v>
      </c>
      <c r="G25" s="21">
        <f t="shared" si="1"/>
        <v>1.78908333184E-29</v>
      </c>
      <c r="H25" s="22">
        <f t="shared" si="5"/>
        <v>1836.1522647586683</v>
      </c>
      <c r="I25" s="22">
        <f t="shared" si="6"/>
        <v>1</v>
      </c>
      <c r="J25" s="23">
        <f t="shared" si="7"/>
        <v>3.2832403282681602E-26</v>
      </c>
      <c r="K25" s="25">
        <v>41.290994999999988</v>
      </c>
      <c r="L25" s="25">
        <f>10^(0.213+-1200/N25+1350000/N25^2)/1000</f>
        <v>1.2003439447166342E-2</v>
      </c>
      <c r="M25" s="26">
        <f t="shared" si="8"/>
        <v>1.3605442176870747E-3</v>
      </c>
      <c r="N25" s="25">
        <v>735</v>
      </c>
      <c r="O25" s="25">
        <v>1.9405588331960499E-5</v>
      </c>
      <c r="P25" s="25">
        <v>3.1252324985815613E-4</v>
      </c>
      <c r="U25" s="21">
        <v>2102415.4449999998</v>
      </c>
      <c r="V25" s="25">
        <v>2012.468707779205</v>
      </c>
      <c r="Z25" s="25">
        <v>3</v>
      </c>
      <c r="AA25" s="25">
        <v>3</v>
      </c>
      <c r="AB25" s="25">
        <f t="shared" si="10"/>
        <v>6</v>
      </c>
      <c r="AC25" s="42">
        <v>0.78024246508674777</v>
      </c>
      <c r="AD25" s="42">
        <v>0.39969771709442198</v>
      </c>
      <c r="AE25" s="43">
        <f t="shared" si="24"/>
        <v>0.48772627102527244</v>
      </c>
      <c r="AF25" s="44">
        <v>2282353441.8618789</v>
      </c>
      <c r="AG25" s="45">
        <f t="shared" si="25"/>
        <v>1.7512524999999998E-10</v>
      </c>
      <c r="AH25" s="45">
        <f t="shared" si="26"/>
        <v>3.4185873702814765E-10</v>
      </c>
      <c r="AI25" s="45">
        <f t="shared" si="27"/>
        <v>0.95208136478404848</v>
      </c>
      <c r="AJ25" s="46">
        <f t="shared" si="28"/>
        <v>1.9861064947215777E-4</v>
      </c>
      <c r="AK25" s="47">
        <f t="shared" si="2"/>
        <v>2012.468707779205</v>
      </c>
      <c r="AL25" s="48">
        <f t="shared" si="29"/>
        <v>3928.5026616668206</v>
      </c>
      <c r="AM25" s="48">
        <f t="shared" si="11"/>
        <v>0.95208136478404826</v>
      </c>
      <c r="AN25" s="49">
        <f t="shared" si="3"/>
        <v>6.0538246258091295E-3</v>
      </c>
      <c r="AO25" s="51">
        <v>66.024000000000001</v>
      </c>
      <c r="AP25" s="51">
        <f t="shared" si="30"/>
        <v>128.88422002850203</v>
      </c>
      <c r="AQ25" s="52">
        <f t="shared" si="12"/>
        <v>0.95208136478404859</v>
      </c>
      <c r="AV25" s="21">
        <f t="shared" si="23"/>
        <v>2.8369914793196441E-9</v>
      </c>
      <c r="AW25" s="21"/>
    </row>
    <row r="26" spans="1:49" x14ac:dyDescent="0.25">
      <c r="A26" s="25" t="s">
        <v>67</v>
      </c>
      <c r="B26" s="66"/>
      <c r="C26" s="25">
        <v>4</v>
      </c>
      <c r="D26" s="67">
        <v>23.315000000000001</v>
      </c>
      <c r="E26" s="67">
        <v>22.74</v>
      </c>
      <c r="F26" s="21">
        <f t="shared" si="0"/>
        <v>3.8997179598500003E-26</v>
      </c>
      <c r="G26" s="21">
        <f t="shared" si="1"/>
        <v>2.0714742854399996E-29</v>
      </c>
      <c r="H26" s="22">
        <f t="shared" si="5"/>
        <v>1930.1835567339556</v>
      </c>
      <c r="I26" s="22">
        <f t="shared" si="6"/>
        <v>1.0252858399296396</v>
      </c>
      <c r="J26" s="23">
        <f t="shared" si="7"/>
        <v>3.8976464855645601E-26</v>
      </c>
      <c r="K26" s="25">
        <v>66.133683500000004</v>
      </c>
      <c r="L26" s="25">
        <f>0.062*EXP(38800/(8.3144598*N26))/1000</f>
        <v>3.0468148860508516E-2</v>
      </c>
      <c r="M26" s="26">
        <f t="shared" si="8"/>
        <v>1.3280212483399733E-3</v>
      </c>
      <c r="N26" s="25">
        <v>753</v>
      </c>
      <c r="O26" s="25">
        <v>1.9202817056926548E-5</v>
      </c>
      <c r="P26" s="25">
        <v>1.6787041064891779E-4</v>
      </c>
      <c r="U26" s="21">
        <v>2609440.5150000001</v>
      </c>
      <c r="V26" s="25">
        <v>1781.433208193873</v>
      </c>
      <c r="Z26" s="25">
        <v>4</v>
      </c>
      <c r="AA26" s="25">
        <v>11</v>
      </c>
      <c r="AB26" s="25">
        <f t="shared" si="10"/>
        <v>15</v>
      </c>
      <c r="AC26" s="42">
        <v>1.1599999999999999</v>
      </c>
      <c r="AD26" s="42">
        <v>0.43510012746839721</v>
      </c>
      <c r="AE26" s="43">
        <f t="shared" si="24"/>
        <v>0.62491368321689889</v>
      </c>
      <c r="AF26" s="44">
        <v>2555332250.1711068</v>
      </c>
      <c r="AG26" s="45">
        <f t="shared" si="25"/>
        <v>1.7027145000000005E-10</v>
      </c>
      <c r="AH26" s="45">
        <f t="shared" si="26"/>
        <v>4.5395271003303991E-10</v>
      </c>
      <c r="AI26" s="45">
        <f t="shared" si="27"/>
        <v>1.6660529996839741</v>
      </c>
      <c r="AJ26" s="46">
        <f t="shared" si="28"/>
        <v>2.4424161706827535E-4</v>
      </c>
      <c r="AK26" s="47">
        <f t="shared" si="2"/>
        <v>1781.433208193873</v>
      </c>
      <c r="AL26" s="48">
        <f t="shared" si="29"/>
        <v>4749.3953484419217</v>
      </c>
      <c r="AM26" s="48">
        <f t="shared" si="11"/>
        <v>1.6660529996839748</v>
      </c>
      <c r="AN26" s="49">
        <f t="shared" si="3"/>
        <v>5.265324952724598E-3</v>
      </c>
      <c r="AO26" s="51">
        <v>82.635000000000005</v>
      </c>
      <c r="AP26" s="51">
        <f t="shared" si="30"/>
        <v>220.30928962888524</v>
      </c>
      <c r="AQ26" s="52">
        <f t="shared" si="12"/>
        <v>1.6660529996839741</v>
      </c>
      <c r="AV26" s="21">
        <f t="shared" si="23"/>
        <v>6.5543423785317211E-9</v>
      </c>
      <c r="AW26" s="21"/>
    </row>
    <row r="27" spans="1:49" x14ac:dyDescent="0.25">
      <c r="A27" s="25" t="s">
        <v>68</v>
      </c>
      <c r="B27" s="66"/>
      <c r="C27" s="25">
        <v>4</v>
      </c>
      <c r="D27" s="67">
        <v>14.792</v>
      </c>
      <c r="E27" s="67">
        <v>14.388</v>
      </c>
      <c r="F27" s="21">
        <f t="shared" si="0"/>
        <v>2.4741423144799998E-26</v>
      </c>
      <c r="G27" s="21">
        <f t="shared" si="1"/>
        <v>1.3106584001279998E-29</v>
      </c>
      <c r="H27" s="22">
        <f t="shared" si="5"/>
        <v>1940.7144105304449</v>
      </c>
      <c r="I27" s="22">
        <f t="shared" si="6"/>
        <v>1.0280789546844593</v>
      </c>
      <c r="J27" s="23">
        <f t="shared" si="7"/>
        <v>2.4728316560798717E-26</v>
      </c>
      <c r="K27" s="25">
        <v>40.153548000000008</v>
      </c>
      <c r="L27" s="25"/>
      <c r="M27" s="26">
        <f t="shared" si="8"/>
        <v>1.4084507042253522E-3</v>
      </c>
      <c r="N27" s="25">
        <v>710</v>
      </c>
      <c r="O27" s="25">
        <v>1.69198810550489E-5</v>
      </c>
      <c r="P27" s="25">
        <v>1.8512201652073131E-4</v>
      </c>
      <c r="U27" s="21">
        <v>2163027.5660000001</v>
      </c>
      <c r="V27" s="25">
        <v>2319.1206460873409</v>
      </c>
      <c r="Z27" s="25">
        <v>4</v>
      </c>
      <c r="AA27" s="25">
        <v>11</v>
      </c>
      <c r="AB27" s="25">
        <f t="shared" si="10"/>
        <v>15</v>
      </c>
      <c r="AC27" s="42">
        <v>1.24</v>
      </c>
      <c r="AD27" s="42">
        <v>0.58242618348722919</v>
      </c>
      <c r="AE27" s="43">
        <f t="shared" si="24"/>
        <v>0.53030146492965391</v>
      </c>
      <c r="AF27" s="44">
        <v>3356690310.8696609</v>
      </c>
      <c r="AG27" s="45">
        <f t="shared" si="25"/>
        <v>1.7351204000000004E-10</v>
      </c>
      <c r="AH27" s="45">
        <f t="shared" si="26"/>
        <v>3.6941149917364205E-10</v>
      </c>
      <c r="AI27" s="45">
        <f t="shared" si="27"/>
        <v>1.129025162597604</v>
      </c>
      <c r="AJ27" s="46">
        <f t="shared" si="28"/>
        <v>2.5114095916909632E-4</v>
      </c>
      <c r="AK27" s="47">
        <f t="shared" si="2"/>
        <v>2319.1206460873409</v>
      </c>
      <c r="AL27" s="48">
        <f t="shared" si="29"/>
        <v>4937.466210619561</v>
      </c>
      <c r="AM27" s="48">
        <f t="shared" si="11"/>
        <v>1.1290251625976038</v>
      </c>
      <c r="AN27" s="49">
        <f t="shared" si="3"/>
        <v>7.9274661762207006E-3</v>
      </c>
      <c r="AO27" s="51">
        <v>73.469400000000007</v>
      </c>
      <c r="AP27" s="51">
        <f t="shared" si="30"/>
        <v>156.41820128094841</v>
      </c>
      <c r="AQ27" s="52">
        <f t="shared" si="12"/>
        <v>1.1290251625976038</v>
      </c>
      <c r="AV27" s="21"/>
      <c r="AW27" s="21"/>
    </row>
    <row r="28" spans="1:49" x14ac:dyDescent="0.25">
      <c r="A28" s="25" t="s">
        <v>69</v>
      </c>
      <c r="B28" s="66"/>
      <c r="C28" s="25">
        <v>2</v>
      </c>
      <c r="D28" s="67">
        <v>12.27</v>
      </c>
      <c r="E28" s="67">
        <v>11.73</v>
      </c>
      <c r="F28" s="21">
        <f t="shared" si="0"/>
        <v>2.0523070712999998E-26</v>
      </c>
      <c r="G28" s="21">
        <f t="shared" si="1"/>
        <v>1.0685309308799999E-29</v>
      </c>
      <c r="H28" s="22">
        <f t="shared" si="5"/>
        <v>2009.1011113290388</v>
      </c>
      <c r="I28" s="22">
        <f t="shared" si="6"/>
        <v>1.0460358056265984</v>
      </c>
      <c r="J28" s="23">
        <f t="shared" si="7"/>
        <v>2.0512385403691198E-26</v>
      </c>
      <c r="K28" s="25">
        <v>31.62816999999999</v>
      </c>
      <c r="L28" s="25">
        <f>0.118*EXP(30100/(8.3144598*N28))/1000</f>
        <v>1.6585959930776259E-2</v>
      </c>
      <c r="M28" s="26">
        <f t="shared" si="8"/>
        <v>1.366120218579235E-3</v>
      </c>
      <c r="N28" s="25">
        <v>732</v>
      </c>
      <c r="O28" s="25">
        <v>1.59424661503112E-5</v>
      </c>
      <c r="P28" s="25">
        <v>1.6222658639521151E-4</v>
      </c>
      <c r="U28" s="21">
        <v>1989043.9480000001</v>
      </c>
      <c r="V28" s="25">
        <v>2547.687552638462</v>
      </c>
      <c r="Z28" s="25">
        <v>2</v>
      </c>
      <c r="AA28" s="25">
        <v>3</v>
      </c>
      <c r="AB28" s="25">
        <f t="shared" si="10"/>
        <v>5</v>
      </c>
      <c r="AC28" s="42">
        <v>0.98602842355479869</v>
      </c>
      <c r="AD28" s="42">
        <v>0.66180310738547476</v>
      </c>
      <c r="AE28" s="43">
        <f t="shared" si="24"/>
        <v>0.32881944214187764</v>
      </c>
      <c r="AF28" s="44">
        <v>3760693647.4549508</v>
      </c>
      <c r="AG28" s="45">
        <f t="shared" si="25"/>
        <v>1.7597899999999999E-10</v>
      </c>
      <c r="AH28" s="45">
        <f t="shared" si="26"/>
        <v>2.6219323241660306E-10</v>
      </c>
      <c r="AI28" s="45">
        <f t="shared" si="27"/>
        <v>0.48991204869105448</v>
      </c>
      <c r="AJ28" s="46">
        <f t="shared" si="28"/>
        <v>2.5976619727175398E-4</v>
      </c>
      <c r="AK28" s="47">
        <f t="shared" si="2"/>
        <v>2547.687552638462</v>
      </c>
      <c r="AL28" s="48">
        <f t="shared" si="29"/>
        <v>3795.8303809762697</v>
      </c>
      <c r="AM28" s="48">
        <f t="shared" si="11"/>
        <v>0.48991204869105454</v>
      </c>
      <c r="AN28" s="49">
        <f t="shared" si="3"/>
        <v>9.3741144688377284E-3</v>
      </c>
      <c r="AO28" s="51">
        <v>70.599000000000004</v>
      </c>
      <c r="AP28" s="51">
        <f t="shared" si="30"/>
        <v>105.18630072553975</v>
      </c>
      <c r="AQ28" s="52">
        <f t="shared" si="12"/>
        <v>0.48991204869105437</v>
      </c>
      <c r="AV28" s="21">
        <f>L28/(U28/1000*(V28+W28*N28))</f>
        <v>3.2730306153599925E-9</v>
      </c>
      <c r="AW28" s="21"/>
    </row>
    <row r="29" spans="1:49" x14ac:dyDescent="0.25">
      <c r="A29" s="25" t="s">
        <v>70</v>
      </c>
      <c r="B29" s="66"/>
      <c r="C29" s="25">
        <v>3</v>
      </c>
      <c r="D29" s="67">
        <v>13.154999999999999</v>
      </c>
      <c r="E29" s="67">
        <v>12.86</v>
      </c>
      <c r="F29" s="21">
        <f t="shared" si="0"/>
        <v>2.2003341094499998E-26</v>
      </c>
      <c r="G29" s="21">
        <f t="shared" si="1"/>
        <v>1.1714669881599998E-29</v>
      </c>
      <c r="H29" s="22">
        <f t="shared" si="5"/>
        <v>1921.3587403123072</v>
      </c>
      <c r="I29" s="22">
        <f t="shared" si="6"/>
        <v>1.0229393468118195</v>
      </c>
      <c r="J29" s="23">
        <f t="shared" si="7"/>
        <v>2.1991626424618399E-26</v>
      </c>
      <c r="K29" s="25">
        <v>34.403649999999985</v>
      </c>
      <c r="L29" s="25">
        <f>0.123*EXP(29800/(8.3144598*N29))/1000</f>
        <v>1.6457220475546555E-2</v>
      </c>
      <c r="M29" s="26">
        <f t="shared" si="8"/>
        <v>1.366120218579235E-3</v>
      </c>
      <c r="N29" s="25">
        <v>732</v>
      </c>
      <c r="O29" s="25">
        <v>1.6204764243863241E-5</v>
      </c>
      <c r="P29" s="25">
        <v>1.625831359942148E-4</v>
      </c>
      <c r="U29" s="21">
        <v>2039490.53</v>
      </c>
      <c r="V29" s="25">
        <v>2441.8705732183512</v>
      </c>
      <c r="Z29" s="25">
        <v>3</v>
      </c>
      <c r="AA29" s="25">
        <v>7</v>
      </c>
      <c r="AB29" s="25">
        <f t="shared" si="10"/>
        <v>10</v>
      </c>
      <c r="AC29" s="42">
        <v>0.89056771657477962</v>
      </c>
      <c r="AD29" s="42">
        <v>0.63042335803936922</v>
      </c>
      <c r="AE29" s="43">
        <f t="shared" si="24"/>
        <v>0.29211069938168649</v>
      </c>
      <c r="AF29" s="44">
        <v>3595350729.2626648</v>
      </c>
      <c r="AG29" s="45">
        <f t="shared" si="25"/>
        <v>1.7534405000000001E-10</v>
      </c>
      <c r="AH29" s="45">
        <f t="shared" si="26"/>
        <v>2.4769981669004444E-10</v>
      </c>
      <c r="AI29" s="45">
        <f t="shared" si="27"/>
        <v>0.41265025354464224</v>
      </c>
      <c r="AJ29" s="46">
        <f t="shared" si="28"/>
        <v>2.5817230649062621E-4</v>
      </c>
      <c r="AK29" s="47">
        <f t="shared" si="2"/>
        <v>2441.8705732183512</v>
      </c>
      <c r="AL29" s="48">
        <f t="shared" si="29"/>
        <v>3449.509084380104</v>
      </c>
      <c r="AM29" s="48">
        <f t="shared" si="11"/>
        <v>0.41265025354464197</v>
      </c>
      <c r="AN29" s="49">
        <f t="shared" si="3"/>
        <v>8.8074401955806451E-3</v>
      </c>
      <c r="AO29" s="51">
        <v>71.578500000000005</v>
      </c>
      <c r="AP29" s="51">
        <f t="shared" si="30"/>
        <v>101.11538617334517</v>
      </c>
      <c r="AQ29" s="52">
        <f t="shared" si="12"/>
        <v>0.41265025354464208</v>
      </c>
      <c r="AV29" s="21">
        <f>L29/(U29/1000*(V29+W29*N29))</f>
        <v>3.304548673097048E-9</v>
      </c>
      <c r="AW29" s="21"/>
    </row>
    <row r="30" spans="1:49" x14ac:dyDescent="0.25">
      <c r="A30" s="25" t="s">
        <v>71</v>
      </c>
      <c r="B30" s="66"/>
      <c r="C30" s="25">
        <v>3</v>
      </c>
      <c r="D30" s="67">
        <v>14.04</v>
      </c>
      <c r="E30" s="67">
        <v>13.72</v>
      </c>
      <c r="F30" s="21">
        <f t="shared" si="0"/>
        <v>2.3483611476E-26</v>
      </c>
      <c r="G30" s="21">
        <f t="shared" si="1"/>
        <v>1.2498077043199999E-29</v>
      </c>
      <c r="H30" s="22">
        <f t="shared" si="5"/>
        <v>1922.802532707738</v>
      </c>
      <c r="I30" s="22">
        <f t="shared" si="6"/>
        <v>1.0233236151603498</v>
      </c>
      <c r="J30" s="23">
        <f t="shared" si="7"/>
        <v>2.3471113398956799E-26</v>
      </c>
      <c r="K30" s="25">
        <v>37.179130000000008</v>
      </c>
      <c r="L30" s="25">
        <f>0.123*EXP(29800/(8.3144598*N30))/1000</f>
        <v>1.6457220475546555E-2</v>
      </c>
      <c r="M30" s="26">
        <f t="shared" si="8"/>
        <v>1.366120218579235E-3</v>
      </c>
      <c r="N30" s="25">
        <v>732</v>
      </c>
      <c r="O30" s="25">
        <v>1.6467062337415279E-5</v>
      </c>
      <c r="P30" s="25">
        <v>1.629283268847662E-4</v>
      </c>
      <c r="U30" s="21">
        <v>2089937.112</v>
      </c>
      <c r="V30" s="25">
        <v>2348.7520215904742</v>
      </c>
      <c r="Z30" s="25">
        <v>3</v>
      </c>
      <c r="AA30" s="25">
        <v>7</v>
      </c>
      <c r="AB30" s="25">
        <f t="shared" si="10"/>
        <v>10</v>
      </c>
      <c r="AC30" s="42">
        <v>0.80397278022492213</v>
      </c>
      <c r="AD30" s="42">
        <v>0.60277957505526136</v>
      </c>
      <c r="AE30" s="43">
        <f t="shared" si="24"/>
        <v>0.25024877722026145</v>
      </c>
      <c r="AF30" s="44">
        <v>3449729844.352057</v>
      </c>
      <c r="AG30" s="45">
        <f t="shared" si="25"/>
        <v>1.7473239999999999E-10</v>
      </c>
      <c r="AH30" s="45">
        <f t="shared" si="26"/>
        <v>2.3305383798131233E-10</v>
      </c>
      <c r="AI30" s="45">
        <f t="shared" si="27"/>
        <v>0.33377575069828114</v>
      </c>
      <c r="AJ30" s="46">
        <f t="shared" si="28"/>
        <v>2.5663823575853054E-4</v>
      </c>
      <c r="AK30" s="47">
        <f t="shared" si="2"/>
        <v>2348.7520215904742</v>
      </c>
      <c r="AL30" s="48">
        <f t="shared" si="29"/>
        <v>3132.7084908009401</v>
      </c>
      <c r="AM30" s="48">
        <f t="shared" si="11"/>
        <v>0.33377575069828114</v>
      </c>
      <c r="AN30" s="49">
        <f t="shared" si="3"/>
        <v>8.3075549912519815E-3</v>
      </c>
      <c r="AO30" s="51">
        <v>72.558000000000007</v>
      </c>
      <c r="AP30" s="51">
        <f t="shared" si="30"/>
        <v>96.776100919165899</v>
      </c>
      <c r="AQ30" s="52">
        <f t="shared" si="12"/>
        <v>0.33377575069828125</v>
      </c>
      <c r="AV30" s="21">
        <f>L30/(U30/1000*(V30+W30*N30))</f>
        <v>3.352633671505172E-9</v>
      </c>
      <c r="AW30" s="21"/>
    </row>
    <row r="31" spans="1:49" x14ac:dyDescent="0.25">
      <c r="A31" s="25" t="s">
        <v>72</v>
      </c>
      <c r="B31" s="66"/>
      <c r="C31" s="25">
        <v>2</v>
      </c>
      <c r="D31" s="67">
        <v>31.24</v>
      </c>
      <c r="E31" s="67">
        <v>30.56</v>
      </c>
      <c r="F31" s="21">
        <f t="shared" si="0"/>
        <v>5.2252708155999992E-26</v>
      </c>
      <c r="G31" s="21">
        <f t="shared" si="1"/>
        <v>2.7838282393599999E-29</v>
      </c>
      <c r="H31" s="22">
        <f t="shared" si="5"/>
        <v>1918.7749643041277</v>
      </c>
      <c r="I31" s="22">
        <f t="shared" si="6"/>
        <v>1.0222513089005236</v>
      </c>
      <c r="J31" s="23">
        <f t="shared" si="7"/>
        <v>5.2224869873606396E-26</v>
      </c>
      <c r="K31" s="25">
        <v>88.599896000000015</v>
      </c>
      <c r="L31" s="25"/>
      <c r="M31" s="26">
        <f t="shared" si="8"/>
        <v>1.4335889900365566E-3</v>
      </c>
      <c r="N31" s="25">
        <v>697.55</v>
      </c>
      <c r="O31" s="25">
        <v>5.0411903343394867E-5</v>
      </c>
      <c r="P31" s="25">
        <v>2.3528262366250769E-4</v>
      </c>
      <c r="U31" s="21">
        <v>1755710.5584</v>
      </c>
      <c r="V31" s="25">
        <v>2039.5014589190009</v>
      </c>
      <c r="Z31" s="25">
        <v>2</v>
      </c>
      <c r="AA31" s="25">
        <v>3</v>
      </c>
      <c r="AB31" s="25">
        <f t="shared" si="10"/>
        <v>5</v>
      </c>
      <c r="AC31" s="42">
        <v>0.45966666666666672</v>
      </c>
      <c r="AD31" s="42">
        <v>0.26536256928250768</v>
      </c>
      <c r="AE31" s="43">
        <f t="shared" si="24"/>
        <v>0.42270652077772086</v>
      </c>
      <c r="AF31" s="44">
        <v>1161710543.9117939</v>
      </c>
      <c r="AG31" s="45">
        <f t="shared" si="25"/>
        <v>2.2842400000000006E-10</v>
      </c>
      <c r="AH31" s="45">
        <f t="shared" si="26"/>
        <v>3.9568089407094871E-10</v>
      </c>
      <c r="AI31" s="45">
        <f t="shared" si="27"/>
        <v>0.732221194230679</v>
      </c>
      <c r="AJ31" s="46">
        <f t="shared" si="28"/>
        <v>1.3011148784524923E-4</v>
      </c>
      <c r="AK31" s="47">
        <f t="shared" si="2"/>
        <v>2039.5014589190009</v>
      </c>
      <c r="AL31" s="48">
        <f t="shared" si="29"/>
        <v>3532.8676528038841</v>
      </c>
      <c r="AM31" s="48">
        <f t="shared" si="11"/>
        <v>0.73222119423067911</v>
      </c>
      <c r="AN31" s="49">
        <f t="shared" si="3"/>
        <v>3.0804304165936228E-3</v>
      </c>
      <c r="AO31" s="51">
        <v>86.14464000000001</v>
      </c>
      <c r="AP31" s="51">
        <f t="shared" si="30"/>
        <v>149.22157117737191</v>
      </c>
      <c r="AQ31" s="52">
        <f t="shared" si="12"/>
        <v>0.73222119423067877</v>
      </c>
      <c r="AV31" s="21"/>
      <c r="AW31" s="21"/>
    </row>
    <row r="32" spans="1:49" x14ac:dyDescent="0.25">
      <c r="A32" s="25" t="s">
        <v>73</v>
      </c>
      <c r="B32" s="66"/>
      <c r="C32" s="25">
        <v>3</v>
      </c>
      <c r="D32" s="67">
        <v>31.2639</v>
      </c>
      <c r="E32" s="67">
        <v>31.1128</v>
      </c>
      <c r="F32" s="21">
        <f t="shared" si="0"/>
        <v>5.2292683819409995E-26</v>
      </c>
      <c r="G32" s="21">
        <f t="shared" si="1"/>
        <v>2.8341849229567998E-29</v>
      </c>
      <c r="H32" s="22">
        <f t="shared" si="5"/>
        <v>1854.0301999029296</v>
      </c>
      <c r="I32" s="22">
        <f t="shared" si="6"/>
        <v>1.004856522074516</v>
      </c>
      <c r="J32" s="23">
        <f t="shared" si="7"/>
        <v>5.2264341970180427E-26</v>
      </c>
      <c r="K32" s="25">
        <v>70.265004930000003</v>
      </c>
      <c r="L32" s="25"/>
      <c r="M32" s="26">
        <f t="shared" si="8"/>
        <v>1.4824697946779336E-3</v>
      </c>
      <c r="N32" s="25">
        <v>674.55</v>
      </c>
      <c r="O32" s="25">
        <v>3.9907749542334093E-5</v>
      </c>
      <c r="P32" s="25">
        <v>3.2881887812902358E-4</v>
      </c>
      <c r="U32" s="21">
        <v>1761444.9958345001</v>
      </c>
      <c r="V32" s="25">
        <v>2024.776905844504</v>
      </c>
      <c r="Z32" s="25">
        <v>3</v>
      </c>
      <c r="AA32" s="25">
        <v>4</v>
      </c>
      <c r="AB32" s="25">
        <f t="shared" si="10"/>
        <v>7</v>
      </c>
      <c r="AC32" s="42">
        <v>0.46554761904761921</v>
      </c>
      <c r="AD32" s="42">
        <v>0.28383633978433381</v>
      </c>
      <c r="AE32" s="43">
        <f t="shared" si="24"/>
        <v>0.39031727760742513</v>
      </c>
      <c r="AF32" s="44">
        <v>1260927039.745832</v>
      </c>
      <c r="AG32" s="45">
        <f t="shared" si="25"/>
        <v>2.2510131898000011E-10</v>
      </c>
      <c r="AH32" s="45">
        <f t="shared" si="26"/>
        <v>3.6921059218577845E-10</v>
      </c>
      <c r="AI32" s="45">
        <f t="shared" si="27"/>
        <v>0.64019737360393791</v>
      </c>
      <c r="AJ32" s="46">
        <f t="shared" si="28"/>
        <v>1.4018153751410453E-4</v>
      </c>
      <c r="AK32" s="47">
        <f t="shared" si="2"/>
        <v>2024.776905844504</v>
      </c>
      <c r="AL32" s="48">
        <f t="shared" si="29"/>
        <v>3321.033763100063</v>
      </c>
      <c r="AM32" s="48">
        <f t="shared" si="11"/>
        <v>0.6401973736039378</v>
      </c>
      <c r="AN32" s="49">
        <f t="shared" si="3"/>
        <v>3.8069460808386811E-3</v>
      </c>
      <c r="AO32" s="51">
        <v>74.557488799999987</v>
      </c>
      <c r="AP32" s="51">
        <f t="shared" si="30"/>
        <v>122.288997312265</v>
      </c>
      <c r="AQ32" s="52">
        <f t="shared" si="12"/>
        <v>0.64019737360393791</v>
      </c>
      <c r="AV32" s="21"/>
      <c r="AW32" s="21"/>
    </row>
    <row r="33" spans="1:49" x14ac:dyDescent="0.25">
      <c r="A33" s="25" t="s">
        <v>74</v>
      </c>
      <c r="B33" s="66"/>
      <c r="C33" s="25">
        <v>3</v>
      </c>
      <c r="D33" s="67">
        <v>24.785</v>
      </c>
      <c r="E33" s="67">
        <v>24.72</v>
      </c>
      <c r="F33" s="21">
        <f t="shared" si="0"/>
        <v>4.1455933791499998E-26</v>
      </c>
      <c r="G33" s="21">
        <f t="shared" si="1"/>
        <v>2.2518401203199998E-29</v>
      </c>
      <c r="H33" s="22">
        <f t="shared" si="5"/>
        <v>1845.8211004781881</v>
      </c>
      <c r="I33" s="22">
        <f t="shared" si="6"/>
        <v>1.0026294498381878</v>
      </c>
      <c r="J33" s="23">
        <f t="shared" si="7"/>
        <v>4.1433415390296795E-26</v>
      </c>
      <c r="K33" s="25">
        <v>52.812707000000003</v>
      </c>
      <c r="L33" s="25"/>
      <c r="M33" s="26">
        <f t="shared" si="8"/>
        <v>1.0416666666666667E-3</v>
      </c>
      <c r="N33" s="25">
        <v>960</v>
      </c>
      <c r="O33" s="25">
        <v>2.5195547395480521E-5</v>
      </c>
      <c r="P33" s="25">
        <v>3.1944977764052052E-4</v>
      </c>
      <c r="U33" s="21">
        <v>2110100.6</v>
      </c>
      <c r="V33" s="25">
        <v>1885.1934295243609</v>
      </c>
      <c r="Z33" s="25">
        <v>3</v>
      </c>
      <c r="AA33" s="25">
        <v>4</v>
      </c>
      <c r="AB33" s="25">
        <f t="shared" si="10"/>
        <v>7</v>
      </c>
      <c r="AC33" s="42">
        <v>0.82855603900974906</v>
      </c>
      <c r="AD33" s="42">
        <v>0.33711022330844781</v>
      </c>
      <c r="AE33" s="43">
        <f t="shared" si="24"/>
        <v>0.59313527699183033</v>
      </c>
      <c r="AF33" s="44">
        <v>1742328821.428329</v>
      </c>
      <c r="AG33" s="45">
        <f t="shared" si="25"/>
        <v>1.9348255000000005E-10</v>
      </c>
      <c r="AH33" s="45">
        <f t="shared" si="26"/>
        <v>4.7554516048842846E-10</v>
      </c>
      <c r="AI33" s="45">
        <f t="shared" si="27"/>
        <v>1.4578193769331051</v>
      </c>
      <c r="AJ33" s="46">
        <f t="shared" si="28"/>
        <v>1.7881996511811605E-4</v>
      </c>
      <c r="AK33" s="47">
        <f t="shared" si="2"/>
        <v>1885.1934295243609</v>
      </c>
      <c r="AL33" s="48">
        <f t="shared" si="29"/>
        <v>4633.4649403519479</v>
      </c>
      <c r="AM33" s="48">
        <f t="shared" si="11"/>
        <v>1.4578193769331049</v>
      </c>
      <c r="AN33" s="49">
        <f t="shared" si="3"/>
        <v>4.8256149689507762E-3</v>
      </c>
      <c r="AO33" s="51">
        <v>69.858500000000006</v>
      </c>
      <c r="AP33" s="51">
        <f t="shared" si="30"/>
        <v>171.69957494348131</v>
      </c>
      <c r="AQ33" s="52">
        <f t="shared" si="12"/>
        <v>1.4578193769331047</v>
      </c>
      <c r="AV33" s="21"/>
      <c r="AW33" s="21"/>
    </row>
    <row r="34" spans="1:49" x14ac:dyDescent="0.25">
      <c r="A34" s="25" t="s">
        <v>75</v>
      </c>
      <c r="B34" s="66"/>
      <c r="C34" s="25">
        <v>2</v>
      </c>
      <c r="D34" s="67">
        <v>26.687999999999999</v>
      </c>
      <c r="E34" s="67">
        <v>26.687999999999999</v>
      </c>
      <c r="F34" s="21">
        <f t="shared" si="0"/>
        <v>4.46389332672E-26</v>
      </c>
      <c r="G34" s="21">
        <f t="shared" si="1"/>
        <v>2.4311128289279996E-29</v>
      </c>
      <c r="H34" s="22">
        <f t="shared" si="5"/>
        <v>1836.1522647586687</v>
      </c>
      <c r="I34" s="22">
        <f t="shared" si="6"/>
        <v>1</v>
      </c>
      <c r="J34" s="23">
        <f t="shared" si="7"/>
        <v>4.4614622138910719E-26</v>
      </c>
      <c r="K34" s="25">
        <v>55.835751400000007</v>
      </c>
      <c r="L34" s="25">
        <f>0.087*EXP(20900/(8.3144598*N34))/1000</f>
        <v>4.643717802745531E-3</v>
      </c>
      <c r="M34" s="26">
        <f t="shared" si="8"/>
        <v>1.5822784810126582E-3</v>
      </c>
      <c r="N34" s="25">
        <v>632</v>
      </c>
      <c r="O34" s="25">
        <v>3.2950648962882389E-5</v>
      </c>
      <c r="P34" s="25">
        <v>3.3829968336054601E-4</v>
      </c>
      <c r="U34" s="21">
        <v>1676175.3472</v>
      </c>
      <c r="V34" s="25">
        <v>2084.8843456983841</v>
      </c>
      <c r="Z34" s="25">
        <v>2</v>
      </c>
      <c r="AA34" s="25">
        <v>2</v>
      </c>
      <c r="AB34" s="25">
        <f t="shared" si="10"/>
        <v>4</v>
      </c>
      <c r="AC34" s="42">
        <v>0.58438111223711209</v>
      </c>
      <c r="AD34" s="42">
        <v>0.33404178089988812</v>
      </c>
      <c r="AE34" s="43">
        <f t="shared" si="24"/>
        <v>0.42838367992230558</v>
      </c>
      <c r="AF34" s="44">
        <v>1446976992.079078</v>
      </c>
      <c r="AG34" s="45">
        <f t="shared" si="25"/>
        <v>2.3085493600000004E-10</v>
      </c>
      <c r="AH34" s="45">
        <f t="shared" si="26"/>
        <v>4.0386344457174019E-10</v>
      </c>
      <c r="AI34" s="45">
        <f t="shared" si="27"/>
        <v>0.74942520861559625</v>
      </c>
      <c r="AJ34" s="46">
        <f t="shared" si="28"/>
        <v>1.6022077272012539E-4</v>
      </c>
      <c r="AK34" s="47">
        <f t="shared" si="2"/>
        <v>2084.8843456983841</v>
      </c>
      <c r="AL34" s="48">
        <f t="shared" si="29"/>
        <v>3647.3492314127866</v>
      </c>
      <c r="AM34" s="48">
        <f t="shared" si="11"/>
        <v>0.74942520861559625</v>
      </c>
      <c r="AN34" s="49">
        <f t="shared" si="3"/>
        <v>4.8689566300173584E-3</v>
      </c>
      <c r="AO34" s="51">
        <v>68.606440000000006</v>
      </c>
      <c r="AP34" s="51">
        <f t="shared" si="30"/>
        <v>120.0218356093734</v>
      </c>
      <c r="AQ34" s="52">
        <f t="shared" si="12"/>
        <v>0.74942520861559625</v>
      </c>
      <c r="AV34" s="21">
        <f t="shared" ref="AV34:AV41" si="31">L34/(U34/1000*(V34+W34*N34))</f>
        <v>1.3288146350028744E-9</v>
      </c>
      <c r="AW34" s="21"/>
    </row>
    <row r="35" spans="1:49" x14ac:dyDescent="0.25">
      <c r="A35" s="25" t="s">
        <v>76</v>
      </c>
      <c r="B35" s="66"/>
      <c r="C35" s="25">
        <v>2</v>
      </c>
      <c r="D35" s="67">
        <v>15.2</v>
      </c>
      <c r="E35" s="67">
        <v>15.2</v>
      </c>
      <c r="F35" s="21">
        <f t="shared" si="0"/>
        <v>2.5423852879999997E-26</v>
      </c>
      <c r="G35" s="21">
        <f t="shared" si="1"/>
        <v>1.3846266111999999E-29</v>
      </c>
      <c r="H35" s="22">
        <f t="shared" si="5"/>
        <v>1836.152264758668</v>
      </c>
      <c r="I35" s="22">
        <f t="shared" si="6"/>
        <v>1</v>
      </c>
      <c r="J35" s="23">
        <f t="shared" si="7"/>
        <v>2.5410006613887998E-26</v>
      </c>
      <c r="K35" s="25">
        <v>32.358600000000003</v>
      </c>
      <c r="L35" s="25">
        <f>0.116*EXP(26800/(8.3144598*N35))/1000</f>
        <v>3.9071251973790879E-3</v>
      </c>
      <c r="M35" s="26">
        <f t="shared" si="8"/>
        <v>1.0911074740861974E-3</v>
      </c>
      <c r="N35" s="25">
        <v>916.5</v>
      </c>
      <c r="O35" s="25">
        <v>1.5885583505580338E-5</v>
      </c>
      <c r="P35" s="25">
        <v>2.7773488865206569E-4</v>
      </c>
      <c r="U35" s="21">
        <v>2014141.42</v>
      </c>
      <c r="V35" s="25">
        <v>2298.228366828082</v>
      </c>
      <c r="Z35" s="25">
        <v>2</v>
      </c>
      <c r="AA35" s="25">
        <v>2</v>
      </c>
      <c r="AB35" s="25">
        <f t="shared" si="10"/>
        <v>4</v>
      </c>
      <c r="AC35" s="42">
        <v>0.86544945017475028</v>
      </c>
      <c r="AD35" s="42">
        <v>0.56745362404407373</v>
      </c>
      <c r="AE35" s="43">
        <f t="shared" si="24"/>
        <v>0.34432493552397042</v>
      </c>
      <c r="AF35" s="44">
        <v>3211759248.6080689</v>
      </c>
      <c r="AG35" s="45">
        <f t="shared" si="25"/>
        <v>1.7668000000000003E-10</v>
      </c>
      <c r="AH35" s="45">
        <f t="shared" si="26"/>
        <v>2.6946274087941797E-10</v>
      </c>
      <c r="AI35" s="45">
        <f t="shared" si="27"/>
        <v>0.52514569209541506</v>
      </c>
      <c r="AJ35" s="46">
        <f t="shared" si="28"/>
        <v>2.4690915499718129E-4</v>
      </c>
      <c r="AK35" s="47">
        <f t="shared" si="2"/>
        <v>2298.228366828082</v>
      </c>
      <c r="AL35" s="48">
        <f t="shared" si="29"/>
        <v>3505.1330931193306</v>
      </c>
      <c r="AM35" s="48">
        <f t="shared" si="11"/>
        <v>0.52514569209541506</v>
      </c>
      <c r="AN35" s="49">
        <f t="shared" si="3"/>
        <v>8.5203246853464507E-3</v>
      </c>
      <c r="AO35" s="51">
        <v>66.600000000000009</v>
      </c>
      <c r="AP35" s="51">
        <f t="shared" si="30"/>
        <v>101.57470309355466</v>
      </c>
      <c r="AQ35" s="52">
        <f t="shared" si="12"/>
        <v>0.52514569209541517</v>
      </c>
      <c r="AV35" s="21">
        <f t="shared" si="31"/>
        <v>8.4406168446792717E-10</v>
      </c>
      <c r="AW35" s="21"/>
    </row>
    <row r="36" spans="1:49" x14ac:dyDescent="0.25">
      <c r="A36" s="25" t="s">
        <v>77</v>
      </c>
      <c r="B36" s="66"/>
      <c r="C36" s="25">
        <v>2</v>
      </c>
      <c r="D36" s="67">
        <v>57.97</v>
      </c>
      <c r="E36" s="67">
        <v>57.23</v>
      </c>
      <c r="F36" s="21">
        <f t="shared" si="0"/>
        <v>9.6961891543000003E-26</v>
      </c>
      <c r="G36" s="21">
        <f t="shared" si="1"/>
        <v>5.2133013788799995E-29</v>
      </c>
      <c r="H36" s="22">
        <f t="shared" si="5"/>
        <v>1883.9431857125064</v>
      </c>
      <c r="I36" s="22">
        <f t="shared" si="6"/>
        <v>1.0129302813209855</v>
      </c>
      <c r="J36" s="23">
        <f t="shared" si="7"/>
        <v>9.6909758529211207E-26</v>
      </c>
      <c r="K36" s="25">
        <v>164.240723</v>
      </c>
      <c r="L36" s="25">
        <f>10^(-1.2675+1704/N36+0/N36^2)/1000</f>
        <v>8.0532167424896099E-3</v>
      </c>
      <c r="M36" s="26">
        <f t="shared" si="8"/>
        <v>1.2755102040816326E-3</v>
      </c>
      <c r="N36" s="25">
        <v>784</v>
      </c>
      <c r="O36" s="25">
        <v>4.607843109406244E-5</v>
      </c>
      <c r="P36" s="25">
        <v>3.4092675768507421E-4</v>
      </c>
      <c r="U36" s="21">
        <v>2996639.6639999989</v>
      </c>
      <c r="V36" s="25">
        <v>1451.7494609289899</v>
      </c>
      <c r="Z36" s="25">
        <v>2</v>
      </c>
      <c r="AA36" s="25">
        <v>4</v>
      </c>
      <c r="AB36" s="25">
        <f t="shared" si="10"/>
        <v>6</v>
      </c>
      <c r="AC36" s="42">
        <v>0.23926257714495269</v>
      </c>
      <c r="AD36" s="42">
        <v>0.24768639859495001</v>
      </c>
      <c r="AE36" s="43">
        <f t="shared" si="24"/>
        <v>-3.5207434236127544E-2</v>
      </c>
      <c r="AF36" s="44">
        <v>1043486754.089075</v>
      </c>
      <c r="AG36" s="45">
        <f t="shared" si="25"/>
        <v>2.3736419999999999E-10</v>
      </c>
      <c r="AH36" s="45">
        <f t="shared" si="26"/>
        <v>2.292914368173461E-10</v>
      </c>
      <c r="AI36" s="45">
        <f t="shared" si="27"/>
        <v>-3.4010028397938236E-2</v>
      </c>
      <c r="AJ36" s="46">
        <f t="shared" si="28"/>
        <v>1.7061235789021947E-4</v>
      </c>
      <c r="AK36" s="47">
        <f t="shared" si="2"/>
        <v>1451.7494609289899</v>
      </c>
      <c r="AL36" s="48">
        <f t="shared" si="29"/>
        <v>1402.3754205361033</v>
      </c>
      <c r="AM36" s="48">
        <f t="shared" si="11"/>
        <v>-3.401002839793834E-2</v>
      </c>
      <c r="AN36" s="49">
        <f t="shared" si="3"/>
        <v>2.4928029681277083E-3</v>
      </c>
      <c r="AO36" s="51">
        <v>99.360600000000005</v>
      </c>
      <c r="AP36" s="51">
        <f t="shared" si="30"/>
        <v>95.981343172363822</v>
      </c>
      <c r="AQ36" s="52">
        <f t="shared" si="12"/>
        <v>-3.401002839793825E-2</v>
      </c>
      <c r="AV36" s="21">
        <f t="shared" si="31"/>
        <v>1.8511567318115176E-9</v>
      </c>
      <c r="AW36" s="21"/>
    </row>
    <row r="37" spans="1:49" x14ac:dyDescent="0.25">
      <c r="A37" s="25" t="s">
        <v>78</v>
      </c>
      <c r="B37" s="66"/>
      <c r="C37" s="25">
        <v>2</v>
      </c>
      <c r="D37" s="67">
        <v>55.701999999999998</v>
      </c>
      <c r="E37" s="67">
        <v>55.018000000000001</v>
      </c>
      <c r="F37" s="21">
        <f t="shared" si="0"/>
        <v>9.3168385073799999E-26</v>
      </c>
      <c r="G37" s="21">
        <f t="shared" si="1"/>
        <v>5.0118017694079994E-29</v>
      </c>
      <c r="H37" s="22">
        <f t="shared" si="5"/>
        <v>1882.0912368640552</v>
      </c>
      <c r="I37" s="22">
        <f t="shared" si="6"/>
        <v>1.0124322948853102</v>
      </c>
      <c r="J37" s="23">
        <f t="shared" si="7"/>
        <v>9.3118267056105916E-26</v>
      </c>
      <c r="K37" s="25">
        <v>156.23418179999999</v>
      </c>
      <c r="L37" s="25">
        <f>10^(-1.2179+1557/N37+0/N37^2)/1000</f>
        <v>5.8623181999963962E-3</v>
      </c>
      <c r="M37" s="26">
        <f>N37^-1</f>
        <v>1.2755102040816326E-3</v>
      </c>
      <c r="N37" s="25">
        <v>784</v>
      </c>
      <c r="O37" s="25">
        <v>4.5172248870240592E-5</v>
      </c>
      <c r="P37" s="25">
        <v>3.4144514086291769E-4</v>
      </c>
      <c r="U37" s="21">
        <v>2899543.8624</v>
      </c>
      <c r="V37" s="25">
        <v>1470.4555590061771</v>
      </c>
      <c r="Z37" s="25">
        <v>2</v>
      </c>
      <c r="AA37" s="25">
        <v>4</v>
      </c>
      <c r="AB37" s="25">
        <f t="shared" si="10"/>
        <v>6</v>
      </c>
      <c r="AC37" s="42">
        <v>0.27567442291687039</v>
      </c>
      <c r="AD37" s="42">
        <v>0.25155328115048259</v>
      </c>
      <c r="AE37" s="43">
        <f t="shared" si="24"/>
        <v>8.7498656970659658E-2</v>
      </c>
      <c r="AF37" s="44">
        <v>1053713906.865366</v>
      </c>
      <c r="AG37" s="45">
        <f t="shared" si="25"/>
        <v>2.3873015199999994E-10</v>
      </c>
      <c r="AH37" s="45">
        <f t="shared" si="26"/>
        <v>2.6162169932534978E-10</v>
      </c>
      <c r="AI37" s="45">
        <f t="shared" si="27"/>
        <v>9.5888798015551224E-2</v>
      </c>
      <c r="AJ37" s="46">
        <f t="shared" si="28"/>
        <v>1.7107166524671954E-4</v>
      </c>
      <c r="AK37" s="47">
        <f t="shared" si="2"/>
        <v>1470.4555590061771</v>
      </c>
      <c r="AL37" s="48">
        <f t="shared" si="29"/>
        <v>1611.4557750945648</v>
      </c>
      <c r="AM37" s="48">
        <f t="shared" si="11"/>
        <v>9.5888798015551238E-2</v>
      </c>
      <c r="AN37" s="49">
        <f t="shared" si="3"/>
        <v>2.5903963007551708E-3</v>
      </c>
      <c r="AO37" s="51">
        <v>97.109960000000001</v>
      </c>
      <c r="AP37" s="51">
        <f t="shared" si="30"/>
        <v>106.42171733973825</v>
      </c>
      <c r="AQ37" s="52">
        <f t="shared" si="12"/>
        <v>9.5888798015551127E-2</v>
      </c>
      <c r="AV37" s="21">
        <f t="shared" si="31"/>
        <v>1.3749528367298905E-9</v>
      </c>
      <c r="AW37" s="21"/>
    </row>
    <row r="38" spans="1:49" s="28" customFormat="1" ht="18" x14ac:dyDescent="0.35">
      <c r="A38" s="28" t="s">
        <v>79</v>
      </c>
      <c r="K38" s="28">
        <v>128.10887</v>
      </c>
      <c r="L38" s="25">
        <f>0.0767*EXP(39300/(8.3144598*N38))/1000</f>
        <v>9.0410766995504526E-3</v>
      </c>
      <c r="N38" s="28">
        <v>991</v>
      </c>
      <c r="O38" s="28">
        <v>3.02434243367421E-5</v>
      </c>
      <c r="P38" s="28">
        <v>2.3876282234647119E-4</v>
      </c>
      <c r="R38" s="69"/>
      <c r="S38" s="69"/>
      <c r="U38" s="28">
        <v>3498633.56</v>
      </c>
      <c r="V38" s="28">
        <f>AK38</f>
        <v>1348.6175138087231</v>
      </c>
      <c r="Z38" s="28">
        <v>3</v>
      </c>
      <c r="AA38" s="28">
        <v>6</v>
      </c>
      <c r="AB38" s="25">
        <f t="shared" si="10"/>
        <v>9</v>
      </c>
      <c r="AC38" s="70">
        <v>0.49395061728395051</v>
      </c>
      <c r="AD38" s="70">
        <v>0.25347401642401401</v>
      </c>
      <c r="AE38" s="43">
        <f t="shared" si="24"/>
        <v>0.48684340588989905</v>
      </c>
      <c r="AF38" s="71">
        <v>1492586451.837889</v>
      </c>
      <c r="AG38" s="45">
        <f t="shared" si="25"/>
        <v>1.6982200000000003E-10</v>
      </c>
      <c r="AH38" s="45">
        <f t="shared" si="26"/>
        <v>3.3093601826261176E-10</v>
      </c>
      <c r="AI38" s="45">
        <f t="shared" si="27"/>
        <v>0.94872288786265446</v>
      </c>
      <c r="AJ38" s="46">
        <f t="shared" si="28"/>
        <v>1.8795100451288126E-4</v>
      </c>
      <c r="AK38" s="72">
        <v>1348.6175138087231</v>
      </c>
      <c r="AL38" s="48">
        <f t="shared" si="29"/>
        <v>2628.0818161314883</v>
      </c>
      <c r="AM38" s="48">
        <f t="shared" si="11"/>
        <v>0.94872288786265457</v>
      </c>
      <c r="AN38" s="49">
        <f t="shared" si="3"/>
        <v>2.5242393286330268E-3</v>
      </c>
      <c r="AO38" s="73">
        <v>100.416</v>
      </c>
      <c r="AP38" s="51">
        <f t="shared" si="30"/>
        <v>195.68295750761632</v>
      </c>
      <c r="AQ38" s="52">
        <f t="shared" si="12"/>
        <v>0.94872288786265468</v>
      </c>
      <c r="AV38" s="21">
        <f t="shared" si="31"/>
        <v>1.9161649880499741E-9</v>
      </c>
      <c r="AW38" s="21"/>
    </row>
    <row r="39" spans="1:49" s="28" customFormat="1" ht="18" x14ac:dyDescent="0.35">
      <c r="A39" s="28" t="s">
        <v>80</v>
      </c>
      <c r="G39" s="69"/>
      <c r="H39" s="69"/>
      <c r="K39" s="28">
        <v>154.66795999999999</v>
      </c>
      <c r="L39" s="25">
        <f>0.0767*EXP(39300/(8.3144598*N39))/1000</f>
        <v>8.1514268008243823E-3</v>
      </c>
      <c r="N39" s="28">
        <v>1013</v>
      </c>
      <c r="O39" s="28">
        <v>3.2645143022437789E-5</v>
      </c>
      <c r="P39" s="28">
        <v>2.2077562764566649E-4</v>
      </c>
      <c r="U39" s="28">
        <v>3957693.64</v>
      </c>
      <c r="V39" s="28">
        <f>AK39</f>
        <v>1272.126022947567</v>
      </c>
      <c r="Z39" s="28">
        <v>3</v>
      </c>
      <c r="AA39" s="28">
        <v>6</v>
      </c>
      <c r="AB39" s="25">
        <f t="shared" si="10"/>
        <v>9</v>
      </c>
      <c r="AC39" s="70">
        <v>0.45693693693693682</v>
      </c>
      <c r="AD39" s="70">
        <v>0.24265777297582219</v>
      </c>
      <c r="AE39" s="43">
        <f t="shared" si="24"/>
        <v>0.46894690851111454</v>
      </c>
      <c r="AF39" s="71">
        <v>1440892196.1891489</v>
      </c>
      <c r="AG39" s="45">
        <f t="shared" si="25"/>
        <v>1.68408E-10</v>
      </c>
      <c r="AH39" s="45">
        <f t="shared" si="26"/>
        <v>3.171208353723041E-10</v>
      </c>
      <c r="AI39" s="45">
        <f t="shared" si="27"/>
        <v>0.88305089646753188</v>
      </c>
      <c r="AJ39" s="46">
        <f t="shared" si="28"/>
        <v>1.9074979097870697E-4</v>
      </c>
      <c r="AK39" s="72">
        <v>1272.126022947567</v>
      </c>
      <c r="AL39" s="48">
        <f t="shared" si="29"/>
        <v>2395.4780479310921</v>
      </c>
      <c r="AM39" s="48">
        <f t="shared" si="11"/>
        <v>0.88305089646753188</v>
      </c>
      <c r="AN39" s="49">
        <f t="shared" si="3"/>
        <v>2.1875249979790693E-3</v>
      </c>
      <c r="AO39" s="73">
        <v>110.928</v>
      </c>
      <c r="AP39" s="51">
        <f t="shared" si="30"/>
        <v>208.88306984335037</v>
      </c>
      <c r="AQ39" s="52">
        <f t="shared" si="12"/>
        <v>0.88305089646753188</v>
      </c>
      <c r="AV39" s="21">
        <f t="shared" si="31"/>
        <v>1.619053960080521E-9</v>
      </c>
      <c r="AW39" s="21"/>
    </row>
    <row r="40" spans="1:49" s="28" customFormat="1" ht="18" x14ac:dyDescent="0.35">
      <c r="A40" s="28" t="s">
        <v>81</v>
      </c>
      <c r="G40" s="69"/>
      <c r="H40" s="69"/>
      <c r="K40" s="28">
        <v>181.22704999999999</v>
      </c>
      <c r="L40" s="25">
        <f>0.0767*EXP(39300/(8.3144598*N40))/1000</f>
        <v>7.8587878713746243E-3</v>
      </c>
      <c r="N40" s="28">
        <v>1021</v>
      </c>
      <c r="O40" s="28">
        <v>3.4949140082044292E-5</v>
      </c>
      <c r="P40" s="28">
        <v>2.050117820240356E-4</v>
      </c>
      <c r="U40" s="28">
        <v>4426131.4000000004</v>
      </c>
      <c r="V40" s="28">
        <f>AK40</f>
        <v>1215.1718333840431</v>
      </c>
      <c r="Z40" s="28">
        <v>3</v>
      </c>
      <c r="AA40" s="28">
        <v>6</v>
      </c>
      <c r="AB40" s="25">
        <f t="shared" si="10"/>
        <v>9</v>
      </c>
      <c r="AC40" s="70">
        <v>0.43928571428571439</v>
      </c>
      <c r="AD40" s="70">
        <v>0.23920093487850599</v>
      </c>
      <c r="AE40" s="43">
        <f t="shared" si="24"/>
        <v>0.45547754661803525</v>
      </c>
      <c r="AF40" s="71">
        <v>1407478287.0168049</v>
      </c>
      <c r="AG40" s="45">
        <f t="shared" si="25"/>
        <v>1.6994999999999999E-10</v>
      </c>
      <c r="AH40" s="45">
        <f t="shared" si="26"/>
        <v>3.1210834180383304E-10</v>
      </c>
      <c r="AI40" s="45">
        <f t="shared" si="27"/>
        <v>0.83647156106992093</v>
      </c>
      <c r="AJ40" s="46">
        <f t="shared" si="28"/>
        <v>1.9684535825058817E-4</v>
      </c>
      <c r="AK40" s="72">
        <v>1215.1718333840431</v>
      </c>
      <c r="AL40" s="48">
        <f t="shared" si="29"/>
        <v>2231.6285138229914</v>
      </c>
      <c r="AM40" s="48">
        <f t="shared" si="11"/>
        <v>0.83647156106992082</v>
      </c>
      <c r="AN40" s="49">
        <f t="shared" si="3"/>
        <v>1.9697046679718875E-3</v>
      </c>
      <c r="AO40" s="73">
        <v>121.44</v>
      </c>
      <c r="AP40" s="51">
        <f t="shared" si="30"/>
        <v>223.02110637633118</v>
      </c>
      <c r="AQ40" s="52">
        <f t="shared" si="12"/>
        <v>0.83647156106992082</v>
      </c>
      <c r="AV40" s="21">
        <f t="shared" si="31"/>
        <v>1.4611458502924743E-9</v>
      </c>
      <c r="AW40" s="21"/>
    </row>
    <row r="41" spans="1:49" x14ac:dyDescent="0.25">
      <c r="A41" s="74" t="s">
        <v>82</v>
      </c>
      <c r="B41" s="66">
        <v>0.01</v>
      </c>
      <c r="C41" s="74">
        <v>1</v>
      </c>
      <c r="D41" s="74">
        <v>10</v>
      </c>
      <c r="E41" s="74">
        <v>10</v>
      </c>
      <c r="F41" s="21">
        <f>D41*1.6726219E-27</f>
        <v>1.6726219000000001E-26</v>
      </c>
      <c r="G41" s="21">
        <f t="shared" si="1"/>
        <v>9.1093856E-30</v>
      </c>
      <c r="H41" s="22">
        <f t="shared" si="5"/>
        <v>1836.1522647586683</v>
      </c>
      <c r="I41" s="22">
        <f t="shared" si="6"/>
        <v>1</v>
      </c>
      <c r="J41" s="23">
        <f t="shared" si="7"/>
        <v>1.6717109614400002E-26</v>
      </c>
      <c r="K41" s="54">
        <v>18.015000000000001</v>
      </c>
      <c r="L41" s="75">
        <v>1.7930000000000001E-3</v>
      </c>
      <c r="M41" s="26">
        <f t="shared" si="8"/>
        <v>3.6609921288669233E-3</v>
      </c>
      <c r="N41" s="25">
        <v>273.14999999999998</v>
      </c>
      <c r="O41" s="68">
        <v>1.802E-5</v>
      </c>
      <c r="P41" s="68">
        <v>5.1E-5</v>
      </c>
      <c r="T41" s="21">
        <v>3.1000000000000002E-10</v>
      </c>
      <c r="U41" s="21">
        <v>999840</v>
      </c>
      <c r="V41" s="25">
        <v>1403</v>
      </c>
      <c r="W41" s="25">
        <v>0</v>
      </c>
      <c r="X41" s="68">
        <v>999840</v>
      </c>
      <c r="Y41" s="25">
        <v>0</v>
      </c>
      <c r="AC41" s="76">
        <v>0.56100000000000005</v>
      </c>
      <c r="AD41" s="76">
        <f>AF41*T41</f>
        <v>0.60645622271550126</v>
      </c>
      <c r="AE41" s="43">
        <f t="shared" si="24"/>
        <v>-8.1027134965242775E-2</v>
      </c>
      <c r="AF41" s="44">
        <f>1/3*AO41/O41*V41</f>
        <v>1956310395.8564556</v>
      </c>
      <c r="AG41" s="77">
        <f>T41</f>
        <v>3.1000000000000002E-10</v>
      </c>
      <c r="AH41" s="45">
        <f>AC41/(1/3*AO41/O41*V41)</f>
        <v>2.8676430958411341E-10</v>
      </c>
      <c r="AI41" s="45">
        <f t="shared" si="27"/>
        <v>-7.4953840051247111E-2</v>
      </c>
      <c r="AJ41" s="46">
        <f t="shared" si="28"/>
        <v>4.3225675175730669E-4</v>
      </c>
      <c r="AK41" s="47">
        <f>V41+W41*N41</f>
        <v>1403</v>
      </c>
      <c r="AL41" s="48">
        <f t="shared" si="29"/>
        <v>1297.8397624081001</v>
      </c>
      <c r="AM41" s="48">
        <f t="shared" si="11"/>
        <v>-7.495384005124725E-2</v>
      </c>
      <c r="AN41" s="49">
        <f t="shared" si="3"/>
        <v>8.0453200147983725E-3</v>
      </c>
      <c r="AO41" s="78">
        <v>75.38</v>
      </c>
      <c r="AP41" s="51">
        <f t="shared" si="30"/>
        <v>69.72997953693698</v>
      </c>
      <c r="AQ41" s="52">
        <f t="shared" si="12"/>
        <v>-7.4953840051247222E-2</v>
      </c>
      <c r="AV41" s="21">
        <f t="shared" si="31"/>
        <v>1.2781802750592626E-9</v>
      </c>
      <c r="AW41" s="21"/>
    </row>
    <row r="42" spans="1:49" x14ac:dyDescent="0.25">
      <c r="M42" s="25"/>
      <c r="N42" s="25"/>
    </row>
    <row r="43" spans="1:49" x14ac:dyDescent="0.25">
      <c r="M43" s="25"/>
      <c r="N43" s="25"/>
    </row>
    <row r="44" spans="1:49" x14ac:dyDescent="0.25">
      <c r="M44" s="25"/>
      <c r="N44" s="25"/>
      <c r="AG44" s="79">
        <v>0</v>
      </c>
    </row>
    <row r="45" spans="1:49" x14ac:dyDescent="0.25">
      <c r="M45" s="25"/>
      <c r="N45" s="25"/>
      <c r="AG45" s="79">
        <v>250</v>
      </c>
    </row>
    <row r="46" spans="1:49" x14ac:dyDescent="0.25">
      <c r="M46" s="25"/>
      <c r="N46" s="25"/>
    </row>
    <row r="47" spans="1:49" x14ac:dyDescent="0.25">
      <c r="M47" s="25"/>
      <c r="N47" s="25"/>
    </row>
    <row r="48" spans="1:49" x14ac:dyDescent="0.25">
      <c r="K48" s="25"/>
      <c r="M48" s="25"/>
      <c r="N48" s="25"/>
    </row>
    <row r="49" spans="7:14" x14ac:dyDescent="0.25">
      <c r="M49" s="25"/>
      <c r="N49" s="25"/>
    </row>
    <row r="50" spans="7:14" x14ac:dyDescent="0.25">
      <c r="M50" s="25"/>
      <c r="N50" s="25"/>
    </row>
    <row r="51" spans="7:14" x14ac:dyDescent="0.25">
      <c r="G51" s="74" t="s">
        <v>48</v>
      </c>
      <c r="H51" s="74">
        <v>5.6672851556149997</v>
      </c>
      <c r="M51" s="25"/>
      <c r="N51" s="25"/>
    </row>
    <row r="52" spans="7:14" x14ac:dyDescent="0.25">
      <c r="G52" s="74" t="s">
        <v>49</v>
      </c>
      <c r="H52" s="74">
        <v>3.6125286079999999</v>
      </c>
      <c r="M52" s="25"/>
      <c r="N52" s="25"/>
    </row>
    <row r="53" spans="7:14" x14ac:dyDescent="0.25">
      <c r="G53" s="74" t="s">
        <v>50</v>
      </c>
      <c r="H53" s="74">
        <v>2.1603079999999997</v>
      </c>
      <c r="M53" s="25"/>
      <c r="N53" s="25"/>
    </row>
    <row r="54" spans="7:14" x14ac:dyDescent="0.25">
      <c r="M54" s="25"/>
      <c r="N54" s="25"/>
    </row>
    <row r="55" spans="7:14" x14ac:dyDescent="0.25">
      <c r="M55" s="25"/>
      <c r="N55" s="25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MFP-rsum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2025-02-03T23:47:14Z</dcterms:created>
  <dcterms:modified xsi:type="dcterms:W3CDTF">2025-02-04T07:25:25Z</dcterms:modified>
</cp:coreProperties>
</file>