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acobcn2\Documents\Thermal Conductivity Model\Code\TC_Comparison_Code\Not_Required_for_TC_Calcs\"/>
    </mc:Choice>
  </mc:AlternateContent>
  <xr:revisionPtr revIDLastSave="0" documentId="13_ncr:1_{952CA160-EE03-430E-A804-9CE9CFB1FDFF}" xr6:coauthVersionLast="36" xr6:coauthVersionMax="47" xr10:uidLastSave="{00000000-0000-0000-0000-000000000000}"/>
  <bookViews>
    <workbookView xWindow="14400" yWindow="0" windowWidth="14400" windowHeight="15600" activeTab="2" xr2:uid="{B24496F3-BE07-47E4-940F-AF238B22D635}"/>
  </bookViews>
  <sheets>
    <sheet name="FLiNaK" sheetId="4" r:id="rId1"/>
    <sheet name="FLiNaK (2)" sheetId="5" r:id="rId2"/>
    <sheet name="NaCl-UCl3" sheetId="6" r:id="rId3"/>
    <sheet name="Sheet1" sheetId="1" r:id="rId4"/>
    <sheet name="Sheet1 (2)" sheetId="2" r:id="rId5"/>
    <sheet name="Sheet1 (3)" sheetId="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6" l="1"/>
  <c r="J18" i="6"/>
  <c r="J10" i="6"/>
  <c r="J8" i="6"/>
  <c r="J6" i="6"/>
  <c r="J4" i="6"/>
  <c r="B13" i="6"/>
  <c r="E17" i="6"/>
  <c r="D17" i="6"/>
  <c r="K10" i="5"/>
  <c r="K13" i="5"/>
  <c r="K8" i="5"/>
  <c r="K6" i="5"/>
  <c r="K4" i="5"/>
  <c r="B19" i="6"/>
  <c r="D18" i="6"/>
  <c r="D16" i="6"/>
  <c r="E14" i="6"/>
  <c r="D14" i="6"/>
  <c r="E12" i="6"/>
  <c r="D12" i="6"/>
  <c r="H12" i="6" s="1"/>
  <c r="E10" i="6"/>
  <c r="D10" i="6"/>
  <c r="H5" i="6"/>
  <c r="G5" i="6"/>
  <c r="L13" i="5"/>
  <c r="E16" i="5"/>
  <c r="F16" i="5"/>
  <c r="D16" i="5"/>
  <c r="E12" i="5"/>
  <c r="F12" i="5"/>
  <c r="D12" i="5"/>
  <c r="B19" i="5"/>
  <c r="D18" i="5"/>
  <c r="F17" i="5"/>
  <c r="F18" i="5" s="1"/>
  <c r="E17" i="5"/>
  <c r="I16" i="5" s="1"/>
  <c r="D17" i="5"/>
  <c r="K18" i="5" s="1"/>
  <c r="F14" i="5"/>
  <c r="E14" i="5"/>
  <c r="D14" i="5"/>
  <c r="B13" i="5"/>
  <c r="F10" i="5"/>
  <c r="E10" i="5"/>
  <c r="D10" i="5"/>
  <c r="F8" i="5"/>
  <c r="D8" i="5"/>
  <c r="I5" i="5"/>
  <c r="E8" i="5" s="1"/>
  <c r="H8" i="5" s="1"/>
  <c r="H5" i="5"/>
  <c r="K13" i="4"/>
  <c r="K10" i="4"/>
  <c r="B13" i="4"/>
  <c r="D8" i="4"/>
  <c r="E16" i="4"/>
  <c r="F16" i="4"/>
  <c r="D16" i="4"/>
  <c r="E12" i="4"/>
  <c r="F12" i="4"/>
  <c r="D12" i="4"/>
  <c r="K6" i="4"/>
  <c r="K4" i="4"/>
  <c r="D18" i="4"/>
  <c r="E14" i="4"/>
  <c r="F14" i="4"/>
  <c r="D14" i="4"/>
  <c r="D10" i="4"/>
  <c r="F10" i="4"/>
  <c r="E10" i="4"/>
  <c r="E17" i="4"/>
  <c r="D17" i="4"/>
  <c r="F17" i="4"/>
  <c r="I5" i="4"/>
  <c r="F8" i="4" s="1"/>
  <c r="H5" i="4"/>
  <c r="D12" i="3"/>
  <c r="B23" i="3"/>
  <c r="L13" i="3"/>
  <c r="E12" i="3"/>
  <c r="F12" i="3"/>
  <c r="E15" i="3"/>
  <c r="F15" i="3"/>
  <c r="D15" i="3"/>
  <c r="E16" i="6" l="1"/>
  <c r="G16" i="6"/>
  <c r="E18" i="6"/>
  <c r="D8" i="6"/>
  <c r="E8" i="6"/>
  <c r="G12" i="6"/>
  <c r="H16" i="6"/>
  <c r="I12" i="5"/>
  <c r="H12" i="5"/>
  <c r="I8" i="5"/>
  <c r="H16" i="5"/>
  <c r="E18" i="5"/>
  <c r="H12" i="4"/>
  <c r="I12" i="4"/>
  <c r="I16" i="4"/>
  <c r="B19" i="4"/>
  <c r="E8" i="4"/>
  <c r="F18" i="4"/>
  <c r="E18" i="4"/>
  <c r="H16" i="4"/>
  <c r="K18" i="4"/>
  <c r="K13" i="6" l="1"/>
  <c r="H8" i="6"/>
  <c r="G8" i="6"/>
  <c r="I8" i="4"/>
  <c r="K8" i="4"/>
  <c r="H8" i="4"/>
  <c r="E21" i="3" l="1"/>
  <c r="F21" i="3"/>
  <c r="D21" i="3"/>
  <c r="E13" i="3"/>
  <c r="F13" i="3"/>
  <c r="D13" i="3"/>
  <c r="L21" i="3"/>
  <c r="D20" i="3"/>
  <c r="F20" i="3"/>
  <c r="E20" i="3"/>
  <c r="B20" i="3"/>
  <c r="B12" i="3"/>
  <c r="I9" i="3"/>
  <c r="H9" i="3"/>
  <c r="I8" i="3"/>
  <c r="H8" i="3"/>
  <c r="F7" i="3"/>
  <c r="E7" i="3"/>
  <c r="H7" i="3" s="1"/>
  <c r="D7" i="3"/>
  <c r="I7" i="3" s="1"/>
  <c r="I6" i="3"/>
  <c r="H6" i="3"/>
  <c r="F5" i="3"/>
  <c r="H5" i="3" s="1"/>
  <c r="E5" i="3"/>
  <c r="D5" i="3"/>
  <c r="D11" i="2"/>
  <c r="I12" i="3" l="1"/>
  <c r="L16" i="3"/>
  <c r="I15" i="3"/>
  <c r="H20" i="3"/>
  <c r="I5" i="3"/>
  <c r="I20" i="3"/>
  <c r="D7" i="2"/>
  <c r="E7" i="2"/>
  <c r="F7" i="2"/>
  <c r="D15" i="2"/>
  <c r="D5" i="2"/>
  <c r="G6" i="2"/>
  <c r="H6" i="2"/>
  <c r="G8" i="2"/>
  <c r="H8" i="2"/>
  <c r="E14" i="2" s="1"/>
  <c r="G9" i="2"/>
  <c r="H9" i="2"/>
  <c r="F5" i="2"/>
  <c r="E5" i="2"/>
  <c r="F19" i="2"/>
  <c r="E19" i="2"/>
  <c r="D19" i="2"/>
  <c r="B11" i="2"/>
  <c r="C7" i="1"/>
  <c r="G12" i="1" s="1"/>
  <c r="D7" i="1"/>
  <c r="E7" i="1" s="1"/>
  <c r="B7" i="1"/>
  <c r="B9" i="1" s="1"/>
  <c r="C3" i="1"/>
  <c r="C2" i="1" s="1"/>
  <c r="D3" i="1"/>
  <c r="D2" i="1" s="1"/>
  <c r="B3" i="1"/>
  <c r="B2" i="1" s="1"/>
  <c r="C4" i="1"/>
  <c r="D4" i="1"/>
  <c r="B4" i="1"/>
  <c r="E5" i="1"/>
  <c r="D16" i="1"/>
  <c r="C16" i="1"/>
  <c r="B16" i="1"/>
  <c r="A9" i="1"/>
  <c r="I17" i="3" l="1"/>
  <c r="H17" i="3"/>
  <c r="H12" i="3"/>
  <c r="H15" i="3"/>
  <c r="H7" i="2"/>
  <c r="E16" i="2" s="1"/>
  <c r="G7" i="2"/>
  <c r="F16" i="2"/>
  <c r="G19" i="2"/>
  <c r="F14" i="2"/>
  <c r="F15" i="2"/>
  <c r="H15" i="2" s="1"/>
  <c r="B19" i="2"/>
  <c r="H19" i="2"/>
  <c r="E15" i="2"/>
  <c r="G5" i="2"/>
  <c r="D14" i="2"/>
  <c r="H5" i="2"/>
  <c r="F11" i="2" s="1"/>
  <c r="K20" i="2"/>
  <c r="B22" i="2"/>
  <c r="E3" i="1"/>
  <c r="E6" i="1"/>
  <c r="B17" i="1" s="1"/>
  <c r="E2" i="1"/>
  <c r="D9" i="1"/>
  <c r="C9" i="1"/>
  <c r="A16" i="1"/>
  <c r="A19" i="1" s="1"/>
  <c r="E16" i="1"/>
  <c r="H17" i="1"/>
  <c r="D16" i="2" l="1"/>
  <c r="H16" i="2"/>
  <c r="F17" i="2"/>
  <c r="E17" i="2"/>
  <c r="G17" i="2" s="1"/>
  <c r="D17" i="2"/>
  <c r="G16" i="2"/>
  <c r="G15" i="2"/>
  <c r="D12" i="2"/>
  <c r="E12" i="2"/>
  <c r="F12" i="2"/>
  <c r="E11" i="2"/>
  <c r="E9" i="1"/>
  <c r="G2" i="1"/>
  <c r="H17" i="2" l="1"/>
  <c r="G12" i="2"/>
  <c r="H12" i="2"/>
  <c r="H11" i="2"/>
  <c r="G11" i="2"/>
  <c r="G14" i="2"/>
  <c r="H14" i="2"/>
  <c r="K12" i="2"/>
  <c r="K15" i="2"/>
  <c r="B12" i="1"/>
  <c r="D12" i="1"/>
  <c r="C12" i="1"/>
  <c r="H13" i="1" l="1"/>
  <c r="E12" i="1"/>
  <c r="H10" i="1" l="1"/>
</calcChain>
</file>

<file path=xl/sharedStrings.xml><?xml version="1.0" encoding="utf-8"?>
<sst xmlns="http://schemas.openxmlformats.org/spreadsheetml/2006/main" count="183" uniqueCount="48">
  <si>
    <t>c1</t>
  </si>
  <si>
    <t>c2</t>
  </si>
  <si>
    <t>c3</t>
  </si>
  <si>
    <t>v1</t>
  </si>
  <si>
    <t>v2</t>
  </si>
  <si>
    <t>v3</t>
  </si>
  <si>
    <t>l1</t>
  </si>
  <si>
    <t>l2</t>
  </si>
  <si>
    <t>l3</t>
  </si>
  <si>
    <t>c_bulk</t>
  </si>
  <si>
    <t>v_bulk</t>
  </si>
  <si>
    <t>l_bulk</t>
  </si>
  <si>
    <t>Sum of Products</t>
  </si>
  <si>
    <t>Product of Sums</t>
  </si>
  <si>
    <t>Bulk except l</t>
  </si>
  <si>
    <t>Sum</t>
  </si>
  <si>
    <t>mol_frac</t>
  </si>
  <si>
    <t>sum c_i s_i</t>
  </si>
  <si>
    <t>Sum mol fracs</t>
  </si>
  <si>
    <t>sum c_i</t>
  </si>
  <si>
    <t>avg v</t>
  </si>
  <si>
    <t>avg l</t>
  </si>
  <si>
    <t xml:space="preserve"> </t>
  </si>
  <si>
    <t>v_unary</t>
  </si>
  <si>
    <t>f_k</t>
  </si>
  <si>
    <t>v_mod</t>
  </si>
  <si>
    <t>frac_f_k</t>
  </si>
  <si>
    <t>vmod_frac_f_k</t>
  </si>
  <si>
    <t>vmod,bulk</t>
  </si>
  <si>
    <t>f_k*mol_fracs</t>
  </si>
  <si>
    <t>Avg</t>
  </si>
  <si>
    <t>part_sum</t>
  </si>
  <si>
    <t>part_avg</t>
  </si>
  <si>
    <t>v_unary*mol_fracs</t>
  </si>
  <si>
    <t>vm_sum</t>
  </si>
  <si>
    <t>vm_avg</t>
  </si>
  <si>
    <t>LiF</t>
  </si>
  <si>
    <t>NaF</t>
  </si>
  <si>
    <t>KF</t>
  </si>
  <si>
    <t>unary</t>
  </si>
  <si>
    <t>% dev_Tot</t>
  </si>
  <si>
    <t>Sum of Products (unary vs and cp)</t>
  </si>
  <si>
    <t>Sum of Products (unary cp)</t>
  </si>
  <si>
    <t>Sum of Products (unary vs)</t>
  </si>
  <si>
    <t>Sum of Products (interp cp)</t>
  </si>
  <si>
    <t>weight_sum</t>
  </si>
  <si>
    <t>NaCl</t>
  </si>
  <si>
    <t>UCl3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</si>
</sst>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1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DFB10-8F6D-419D-8F50-346CC34BF295}">
  <dimension ref="B3:M21"/>
  <sheetViews>
    <sheetView workbookViewId="0">
      <selection activeCell="D12" sqref="D12"/>
    </sheetView>
  </sheetViews>
  <sheetFormatPr defaultRowHeight="14.25"/>
  <cols>
    <col min="2" max="2" width="14.625" customWidth="1"/>
    <col min="3" max="3" width="11.625" customWidth="1"/>
    <col min="4" max="6" width="12.25" bestFit="1" customWidth="1"/>
    <col min="7" max="7" width="2.625" customWidth="1"/>
    <col min="8" max="8" width="11" bestFit="1" customWidth="1"/>
    <col min="9" max="9" width="11" customWidth="1"/>
    <col min="11" max="11" width="12" bestFit="1" customWidth="1"/>
  </cols>
  <sheetData>
    <row r="3" spans="2:11">
      <c r="K3" t="s">
        <v>41</v>
      </c>
    </row>
    <row r="4" spans="2:11">
      <c r="D4" t="s">
        <v>36</v>
      </c>
      <c r="E4" t="s">
        <v>37</v>
      </c>
      <c r="F4" t="s">
        <v>38</v>
      </c>
      <c r="H4" t="s">
        <v>30</v>
      </c>
      <c r="I4" t="s">
        <v>15</v>
      </c>
      <c r="K4">
        <f>1/3*(D5*(D9*D13*D17)+E5*(E9*E13*E17)+F5*(F9*F13*F17))</f>
        <v>0.62938136304277648</v>
      </c>
    </row>
    <row r="5" spans="2:11">
      <c r="B5" t="s">
        <v>16</v>
      </c>
      <c r="D5">
        <v>0.46500000000000002</v>
      </c>
      <c r="E5">
        <v>0.115</v>
      </c>
      <c r="F5">
        <v>0.42</v>
      </c>
      <c r="H5">
        <f t="shared" ref="H5:H12" si="0">AVERAGE(D5:F5)</f>
        <v>0.33333333333333331</v>
      </c>
      <c r="I5">
        <f t="shared" ref="I5:I16" si="1">SUM(D5:F5)</f>
        <v>1</v>
      </c>
      <c r="K5" t="s">
        <v>42</v>
      </c>
    </row>
    <row r="6" spans="2:11">
      <c r="K6">
        <f>1/3*(D5*(D9*D12*D17)+E5*(E9*E12*E17)+F5*(F9*F12*F17))</f>
        <v>0.6540712545902363</v>
      </c>
    </row>
    <row r="7" spans="2:11">
      <c r="B7" t="s">
        <v>9</v>
      </c>
      <c r="D7" t="s">
        <v>0</v>
      </c>
      <c r="E7" t="s">
        <v>1</v>
      </c>
      <c r="F7" t="s">
        <v>2</v>
      </c>
      <c r="K7" t="s">
        <v>43</v>
      </c>
    </row>
    <row r="8" spans="2:11">
      <c r="B8">
        <v>4129410.0713726999</v>
      </c>
      <c r="C8" t="s">
        <v>45</v>
      </c>
      <c r="D8">
        <f>$B$8*(D5)/$I$5</f>
        <v>1920175.6831883055</v>
      </c>
      <c r="E8">
        <f t="shared" ref="E8:F8" si="2">$B$8*(E5)/$I$5</f>
        <v>474882.15820786048</v>
      </c>
      <c r="F8">
        <f t="shared" si="2"/>
        <v>1734352.2299765339</v>
      </c>
      <c r="H8">
        <f t="shared" si="0"/>
        <v>1376470.0237908999</v>
      </c>
      <c r="I8">
        <f>SUM(D8:F8)</f>
        <v>4129410.0713726999</v>
      </c>
      <c r="K8">
        <f>1/3*((D8*D13*D17)+(E8*E13*E17)+(F8*F13*F17))</f>
        <v>0.74884317634537734</v>
      </c>
    </row>
    <row r="9" spans="2:11">
      <c r="C9" t="s">
        <v>39</v>
      </c>
      <c r="D9">
        <v>4521126.7605633801</v>
      </c>
      <c r="E9">
        <v>3250000</v>
      </c>
      <c r="F9">
        <v>2200657.8947368423</v>
      </c>
      <c r="K9" t="s">
        <v>44</v>
      </c>
    </row>
    <row r="10" spans="2:11">
      <c r="C10" t="s">
        <v>40</v>
      </c>
      <c r="D10" s="2">
        <f>($B$8-D9)/$B$8</f>
        <v>-9.486020579701486E-2</v>
      </c>
      <c r="E10" s="2">
        <f>($B$8-E9)/$B$8</f>
        <v>0.21296264022535455</v>
      </c>
      <c r="F10" s="2">
        <f>($B$8-F9)/$B$8</f>
        <v>0.46707692946433416</v>
      </c>
      <c r="K10">
        <f>1/3*((D8*D12*D17)+(E8*E12*E17)+(F8*F12*F17))</f>
        <v>0.81986788732035021</v>
      </c>
    </row>
    <row r="11" spans="2:11">
      <c r="B11" t="s">
        <v>10</v>
      </c>
      <c r="D11" t="s">
        <v>3</v>
      </c>
      <c r="E11" t="s">
        <v>4</v>
      </c>
      <c r="F11" t="s">
        <v>5</v>
      </c>
    </row>
    <row r="12" spans="2:11">
      <c r="B12">
        <v>2359.15</v>
      </c>
      <c r="C12" t="s">
        <v>45</v>
      </c>
      <c r="D12">
        <f>$B$12</f>
        <v>2359.15</v>
      </c>
      <c r="E12">
        <f t="shared" ref="E12:F12" si="3">$B$12</f>
        <v>2359.15</v>
      </c>
      <c r="F12">
        <f t="shared" si="3"/>
        <v>2359.15</v>
      </c>
      <c r="H12">
        <f t="shared" si="0"/>
        <v>2359.15</v>
      </c>
      <c r="I12">
        <f t="shared" si="1"/>
        <v>7077.4500000000007</v>
      </c>
      <c r="K12" t="s">
        <v>13</v>
      </c>
    </row>
    <row r="13" spans="2:11">
      <c r="B13">
        <f>D13*D5+E13*E5+F13*F5</f>
        <v>2187.4475000000002</v>
      </c>
      <c r="C13" t="s">
        <v>39</v>
      </c>
      <c r="D13">
        <v>2547.8000000000002</v>
      </c>
      <c r="E13">
        <v>2085.5</v>
      </c>
      <c r="F13">
        <v>1816.4</v>
      </c>
      <c r="K13">
        <f>1/3*((D8+E8+F8)*(D5*D12+E5*E12+F5*F12)*(D5*D17+E5*E17+F5*F17))</f>
        <v>0.81986788732035021</v>
      </c>
    </row>
    <row r="14" spans="2:11">
      <c r="C14" t="s">
        <v>40</v>
      </c>
      <c r="D14" s="2">
        <f>($B$12-D13)/$B$12</f>
        <v>-7.9965241718415569E-2</v>
      </c>
      <c r="E14" s="2">
        <f t="shared" ref="E14:F14" si="4">($B$12-E13)/$B$12</f>
        <v>0.11599516775109683</v>
      </c>
      <c r="F14" s="2">
        <f t="shared" si="4"/>
        <v>0.2300616747557383</v>
      </c>
    </row>
    <row r="15" spans="2:11">
      <c r="B15" t="s">
        <v>11</v>
      </c>
      <c r="D15" t="s">
        <v>6</v>
      </c>
      <c r="E15" t="s">
        <v>7</v>
      </c>
      <c r="F15" t="s">
        <v>8</v>
      </c>
    </row>
    <row r="16" spans="2:11">
      <c r="B16">
        <v>2.4419479623712742E-10</v>
      </c>
      <c r="C16" t="s">
        <v>45</v>
      </c>
      <c r="D16">
        <f>$B$16</f>
        <v>2.4419479623712742E-10</v>
      </c>
      <c r="E16">
        <f t="shared" ref="E16:F16" si="5">$B$16</f>
        <v>2.4419479623712742E-10</v>
      </c>
      <c r="F16">
        <f t="shared" si="5"/>
        <v>2.4419479623712742E-10</v>
      </c>
      <c r="H16" s="1">
        <f>AVERAGE(D17:F17)</f>
        <v>2.4685500000000002E-10</v>
      </c>
      <c r="I16" s="1">
        <f>SUM(D17:F17)</f>
        <v>7.4056500000000002E-10</v>
      </c>
    </row>
    <row r="17" spans="2:13">
      <c r="C17" t="s">
        <v>31</v>
      </c>
      <c r="D17">
        <f>2.30631*0.0000000001</f>
        <v>2.3063099999999999E-10</v>
      </c>
      <c r="E17">
        <f>2.26029*0.0000000001</f>
        <v>2.2602900000000001E-10</v>
      </c>
      <c r="F17">
        <f>2.83905*0.0000000001</f>
        <v>2.8390500000000001E-10</v>
      </c>
      <c r="K17" t="s">
        <v>14</v>
      </c>
    </row>
    <row r="18" spans="2:13">
      <c r="C18" t="s">
        <v>40</v>
      </c>
      <c r="D18" s="2">
        <f>($B$16-D17)/$B$16</f>
        <v>5.5544984766817816E-2</v>
      </c>
      <c r="E18" s="2">
        <f t="shared" ref="E18:F18" si="6">($B$16-E17)/$B$16</f>
        <v>7.4390595201248078E-2</v>
      </c>
      <c r="F18" s="2">
        <f t="shared" si="6"/>
        <v>-0.16261691229616404</v>
      </c>
      <c r="K18">
        <f>1/3*B8*B12*(D17*D5+E17*E5+F17*F5)</f>
        <v>0.81986788732035021</v>
      </c>
    </row>
    <row r="19" spans="2:13">
      <c r="B19">
        <f>1/3*B8*B12*B16</f>
        <v>0.79297358029283505</v>
      </c>
    </row>
    <row r="21" spans="2:13">
      <c r="M2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E9918-68D9-4C60-B696-57B3EDCF4DF9}">
  <dimension ref="B3:M21"/>
  <sheetViews>
    <sheetView workbookViewId="0">
      <selection activeCell="K10" sqref="K10"/>
    </sheetView>
  </sheetViews>
  <sheetFormatPr defaultRowHeight="14.25"/>
  <cols>
    <col min="2" max="2" width="14.625" customWidth="1"/>
    <col min="3" max="3" width="11.625" customWidth="1"/>
    <col min="4" max="6" width="12.25" bestFit="1" customWidth="1"/>
    <col min="7" max="7" width="2.625" customWidth="1"/>
    <col min="8" max="8" width="11" bestFit="1" customWidth="1"/>
    <col min="9" max="9" width="11" customWidth="1"/>
    <col min="11" max="11" width="12" bestFit="1" customWidth="1"/>
  </cols>
  <sheetData>
    <row r="3" spans="2:12">
      <c r="K3" t="s">
        <v>41</v>
      </c>
    </row>
    <row r="4" spans="2:12">
      <c r="D4" t="s">
        <v>36</v>
      </c>
      <c r="E4" t="s">
        <v>37</v>
      </c>
      <c r="F4" t="s">
        <v>38</v>
      </c>
      <c r="H4" t="s">
        <v>30</v>
      </c>
      <c r="I4" t="s">
        <v>15</v>
      </c>
      <c r="K4">
        <f>1/3*(D5*(D9*D13*D17)+E5*(E9*E13*E17)+F5*(F9*F13*F17))</f>
        <v>0.62938136304277648</v>
      </c>
    </row>
    <row r="5" spans="2:12">
      <c r="B5" t="s">
        <v>16</v>
      </c>
      <c r="D5">
        <v>0.46500000000000002</v>
      </c>
      <c r="E5">
        <v>0.115</v>
      </c>
      <c r="F5">
        <v>0.42</v>
      </c>
      <c r="H5">
        <f t="shared" ref="H5:H12" si="0">AVERAGE(D5:F5)</f>
        <v>0.33333333333333331</v>
      </c>
      <c r="I5">
        <f t="shared" ref="I5:I16" si="1">SUM(D5:F5)</f>
        <v>1</v>
      </c>
      <c r="K5" t="s">
        <v>42</v>
      </c>
    </row>
    <row r="6" spans="2:12">
      <c r="K6">
        <f>1/3*((D9*D12*D17)+(E9*E12*E17)+(F9*F12*F17))</f>
        <v>0.6540712545902363</v>
      </c>
    </row>
    <row r="7" spans="2:12">
      <c r="B7" t="s">
        <v>9</v>
      </c>
      <c r="D7" t="s">
        <v>0</v>
      </c>
      <c r="E7" t="s">
        <v>1</v>
      </c>
      <c r="F7" t="s">
        <v>2</v>
      </c>
      <c r="K7" t="s">
        <v>43</v>
      </c>
    </row>
    <row r="8" spans="2:12">
      <c r="B8">
        <v>4129410.0713726999</v>
      </c>
      <c r="C8" t="s">
        <v>45</v>
      </c>
      <c r="D8">
        <f>$B$8*(D5)/$I$5</f>
        <v>1920175.6831883055</v>
      </c>
      <c r="E8">
        <f t="shared" ref="E8:F8" si="2">$B$8*(E5)/$I$5</f>
        <v>474882.15820786048</v>
      </c>
      <c r="F8">
        <f t="shared" si="2"/>
        <v>1734352.2299765339</v>
      </c>
      <c r="H8">
        <f t="shared" si="0"/>
        <v>1376470.0237908999</v>
      </c>
      <c r="I8">
        <f>SUM(D8:F8)</f>
        <v>4129410.0713726999</v>
      </c>
      <c r="K8">
        <f>1/3*((D8*D13*D17)+(E8*E13*E17)+(F8*F13*F17))</f>
        <v>0.74884317634537734</v>
      </c>
    </row>
    <row r="9" spans="2:12">
      <c r="C9" t="s">
        <v>39</v>
      </c>
      <c r="D9">
        <v>4521126.7605633801</v>
      </c>
      <c r="E9">
        <v>3250000</v>
      </c>
      <c r="F9">
        <v>2200657.8947368423</v>
      </c>
      <c r="K9" t="s">
        <v>44</v>
      </c>
    </row>
    <row r="10" spans="2:12">
      <c r="C10" t="s">
        <v>40</v>
      </c>
      <c r="D10" s="2">
        <f>($B$8-D9)/$B$8</f>
        <v>-9.486020579701486E-2</v>
      </c>
      <c r="E10" s="2">
        <f>($B$8-E9)/$B$8</f>
        <v>0.21296264022535455</v>
      </c>
      <c r="F10" s="2">
        <f>($B$8-F9)/$B$8</f>
        <v>0.46707692946433416</v>
      </c>
      <c r="K10">
        <f>1/3*((D8*B12*D17)+(E8*B12*E17)+(F8*B12*F17))</f>
        <v>0.81986788732035021</v>
      </c>
    </row>
    <row r="11" spans="2:12">
      <c r="B11" t="s">
        <v>10</v>
      </c>
      <c r="D11" t="s">
        <v>3</v>
      </c>
      <c r="E11" t="s">
        <v>4</v>
      </c>
      <c r="F11" t="s">
        <v>5</v>
      </c>
    </row>
    <row r="12" spans="2:12">
      <c r="B12">
        <v>2359.15</v>
      </c>
      <c r="C12" t="s">
        <v>45</v>
      </c>
      <c r="D12">
        <f>$B$12*D5</f>
        <v>1097.0047500000001</v>
      </c>
      <c r="E12">
        <f t="shared" ref="E12:F12" si="3">$B$12*E5</f>
        <v>271.30225000000002</v>
      </c>
      <c r="F12">
        <f t="shared" si="3"/>
        <v>990.84299999999996</v>
      </c>
      <c r="H12">
        <f t="shared" si="0"/>
        <v>786.38333333333333</v>
      </c>
      <c r="I12">
        <f t="shared" si="1"/>
        <v>2359.15</v>
      </c>
      <c r="K12" t="s">
        <v>13</v>
      </c>
    </row>
    <row r="13" spans="2:12">
      <c r="B13">
        <f>D13*D5+E13*E5+F13*F5</f>
        <v>2187.4475000000002</v>
      </c>
      <c r="C13" t="s">
        <v>39</v>
      </c>
      <c r="D13">
        <v>2547.8000000000002</v>
      </c>
      <c r="E13">
        <v>2085.5</v>
      </c>
      <c r="F13">
        <v>1816.4</v>
      </c>
      <c r="K13">
        <f>1/3*((D8+E8+F8)*(D12+E12+F12)*(D16+E16+F16))</f>
        <v>0.81986788732035021</v>
      </c>
      <c r="L13">
        <f>(K13-B19)/K13</f>
        <v>3.2803220425447206E-2</v>
      </c>
    </row>
    <row r="14" spans="2:12">
      <c r="C14" t="s">
        <v>40</v>
      </c>
      <c r="D14" s="2">
        <f>($B$12-D13)/$B$12</f>
        <v>-7.9965241718415569E-2</v>
      </c>
      <c r="E14" s="2">
        <f t="shared" ref="E14:F14" si="4">($B$12-E13)/$B$12</f>
        <v>0.11599516775109683</v>
      </c>
      <c r="F14" s="2">
        <f t="shared" si="4"/>
        <v>0.2300616747557383</v>
      </c>
    </row>
    <row r="15" spans="2:12">
      <c r="B15" t="s">
        <v>11</v>
      </c>
      <c r="D15" t="s">
        <v>6</v>
      </c>
      <c r="E15" t="s">
        <v>7</v>
      </c>
      <c r="F15" t="s">
        <v>8</v>
      </c>
    </row>
    <row r="16" spans="2:12">
      <c r="B16">
        <v>2.4419479623712742E-10</v>
      </c>
      <c r="C16" t="s">
        <v>45</v>
      </c>
      <c r="D16">
        <f>D17*D5</f>
        <v>1.07243415E-10</v>
      </c>
      <c r="E16">
        <f t="shared" ref="E16:F16" si="5">E17*E5</f>
        <v>2.5993335000000002E-11</v>
      </c>
      <c r="F16">
        <f t="shared" si="5"/>
        <v>1.192401E-10</v>
      </c>
      <c r="H16" s="1">
        <f>AVERAGE(D17:F17)</f>
        <v>2.4685500000000002E-10</v>
      </c>
      <c r="I16" s="1">
        <f>SUM(D17:F17)</f>
        <v>7.4056500000000002E-10</v>
      </c>
    </row>
    <row r="17" spans="2:13">
      <c r="C17" t="s">
        <v>31</v>
      </c>
      <c r="D17">
        <f>2.30631*0.0000000001</f>
        <v>2.3063099999999999E-10</v>
      </c>
      <c r="E17">
        <f>2.26029*0.0000000001</f>
        <v>2.2602900000000001E-10</v>
      </c>
      <c r="F17">
        <f>2.83905*0.0000000001</f>
        <v>2.8390500000000001E-10</v>
      </c>
      <c r="K17" t="s">
        <v>14</v>
      </c>
    </row>
    <row r="18" spans="2:13">
      <c r="C18" t="s">
        <v>40</v>
      </c>
      <c r="D18" s="2">
        <f>($B$16-D17)/$B$16</f>
        <v>5.5544984766817816E-2</v>
      </c>
      <c r="E18" s="2">
        <f t="shared" ref="E18:F18" si="6">($B$16-E17)/$B$16</f>
        <v>7.4390595201248078E-2</v>
      </c>
      <c r="F18" s="2">
        <f t="shared" si="6"/>
        <v>-0.16261691229616404</v>
      </c>
      <c r="K18">
        <f>1/3*B8*B12*(D17*D5+E17*E5+F17*F5)</f>
        <v>0.81986788732035021</v>
      </c>
    </row>
    <row r="19" spans="2:13">
      <c r="B19">
        <f>1/3*B8*B12*B16</f>
        <v>0.79297358029283505</v>
      </c>
    </row>
    <row r="21" spans="2:13">
      <c r="M2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6A5B4-0C5B-496E-93D1-73B2C6ABBCE5}">
  <dimension ref="B3:L21"/>
  <sheetViews>
    <sheetView tabSelected="1" workbookViewId="0">
      <selection activeCell="K15" sqref="K15"/>
    </sheetView>
  </sheetViews>
  <sheetFormatPr defaultRowHeight="14.25"/>
  <cols>
    <col min="2" max="2" width="14.625" customWidth="1"/>
    <col min="3" max="3" width="11.625" customWidth="1"/>
    <col min="4" max="5" width="12.25" bestFit="1" customWidth="1"/>
    <col min="6" max="6" width="2.625" customWidth="1"/>
    <col min="7" max="7" width="11" bestFit="1" customWidth="1"/>
    <col min="8" max="8" width="11" customWidth="1"/>
    <col min="10" max="10" width="12" bestFit="1" customWidth="1"/>
  </cols>
  <sheetData>
    <row r="3" spans="2:11">
      <c r="J3" t="s">
        <v>41</v>
      </c>
    </row>
    <row r="4" spans="2:11">
      <c r="D4" t="s">
        <v>46</v>
      </c>
      <c r="E4" t="s">
        <v>47</v>
      </c>
      <c r="G4" t="s">
        <v>30</v>
      </c>
      <c r="H4" t="s">
        <v>15</v>
      </c>
      <c r="J4">
        <f>1/3*(D5*(D9*D13*D17)+E5*(E9*E13*E17))</f>
        <v>0.29239889249523454</v>
      </c>
    </row>
    <row r="5" spans="2:11">
      <c r="B5" t="s">
        <v>16</v>
      </c>
      <c r="D5">
        <v>0.64</v>
      </c>
      <c r="E5">
        <v>0.36</v>
      </c>
      <c r="G5">
        <f>AVERAGE(D5:E5)</f>
        <v>0.5</v>
      </c>
      <c r="H5">
        <f>SUM(D5:E5)</f>
        <v>1</v>
      </c>
      <c r="J5" t="s">
        <v>42</v>
      </c>
    </row>
    <row r="6" spans="2:11">
      <c r="J6">
        <f>1/3*(D5*(D9*D12*D17)+E5*(E9*E12*E17))</f>
        <v>0.14887237265615649</v>
      </c>
    </row>
    <row r="7" spans="2:11">
      <c r="B7" t="s">
        <v>9</v>
      </c>
      <c r="D7" t="s">
        <v>0</v>
      </c>
      <c r="E7" t="s">
        <v>1</v>
      </c>
      <c r="J7" t="s">
        <v>43</v>
      </c>
    </row>
    <row r="8" spans="2:11">
      <c r="B8">
        <v>2176290.41835859</v>
      </c>
      <c r="C8" t="s">
        <v>45</v>
      </c>
      <c r="D8">
        <f>$B$8*(D5)/$H$5</f>
        <v>1392825.8677494975</v>
      </c>
      <c r="E8">
        <f>$B$8*(E5)/$H$5</f>
        <v>783464.55060909234</v>
      </c>
      <c r="G8">
        <f>AVERAGE(D8:E8)</f>
        <v>1088145.209179295</v>
      </c>
      <c r="H8">
        <f>SUM(D8:E8)</f>
        <v>2176290.41835859</v>
      </c>
      <c r="J8">
        <f>1/3*((D8*D13*D17)+(E8*E13*E17))</f>
        <v>0.33690789577460856</v>
      </c>
    </row>
    <row r="9" spans="2:11">
      <c r="C9" t="s">
        <v>39</v>
      </c>
      <c r="D9">
        <v>1849136.7861885792</v>
      </c>
      <c r="E9">
        <v>1994843.6051324685</v>
      </c>
      <c r="J9" t="s">
        <v>44</v>
      </c>
    </row>
    <row r="10" spans="2:11">
      <c r="C10" t="s">
        <v>40</v>
      </c>
      <c r="D10" s="2">
        <f>($B$8-D9)/$B$8</f>
        <v>0.15032627511945665</v>
      </c>
      <c r="E10" s="2">
        <f>($B$8-E9)/$B$8</f>
        <v>8.3374356517625522E-2</v>
      </c>
      <c r="J10">
        <f>1/3*((D8*D12*D17)+(E8*E12*E17))</f>
        <v>0.1721315910233166</v>
      </c>
    </row>
    <row r="11" spans="2:11">
      <c r="B11" t="s">
        <v>10</v>
      </c>
      <c r="D11" t="s">
        <v>3</v>
      </c>
      <c r="E11" t="s">
        <v>4</v>
      </c>
    </row>
    <row r="12" spans="2:11">
      <c r="B12">
        <v>1478.0853570352499</v>
      </c>
      <c r="C12" t="s">
        <v>45</v>
      </c>
      <c r="D12">
        <f>$B$12*D5</f>
        <v>945.97462850255999</v>
      </c>
      <c r="E12">
        <f t="shared" ref="E12" si="0">$B$12*E5</f>
        <v>532.1107285326899</v>
      </c>
      <c r="G12">
        <f>AVERAGE(D12:E12)</f>
        <v>739.04267851762495</v>
      </c>
      <c r="H12">
        <f>SUM(D12:E12)</f>
        <v>1478.0853570352499</v>
      </c>
      <c r="J12" t="s">
        <v>13</v>
      </c>
    </row>
    <row r="13" spans="2:11">
      <c r="B13">
        <f>D13*D5+E13*E5</f>
        <v>1565.2352000000001</v>
      </c>
      <c r="C13" t="s">
        <v>39</v>
      </c>
      <c r="D13">
        <v>1743.68</v>
      </c>
      <c r="E13">
        <v>1248</v>
      </c>
      <c r="J13">
        <f>1/3*((D8+E8)*(D12+E12)*(D16+E16))</f>
        <v>0.31645232519675642</v>
      </c>
      <c r="K13">
        <f>(J13-B19)/J13</f>
        <v>3.5645207778789476E-2</v>
      </c>
    </row>
    <row r="14" spans="2:11">
      <c r="C14" t="s">
        <v>40</v>
      </c>
      <c r="D14" s="2">
        <f>($B$12-D13)/$B$12</f>
        <v>-0.17968829858207991</v>
      </c>
      <c r="E14" s="2">
        <f t="shared" ref="E14" si="1">($B$12-E13)/$B$12</f>
        <v>0.15566445871350496</v>
      </c>
    </row>
    <row r="15" spans="2:11">
      <c r="B15" t="s">
        <v>11</v>
      </c>
      <c r="D15" t="s">
        <v>6</v>
      </c>
      <c r="E15" t="s">
        <v>7</v>
      </c>
    </row>
    <row r="16" spans="2:11">
      <c r="B16">
        <v>2.8460991410567077E-10</v>
      </c>
      <c r="C16" t="s">
        <v>45</v>
      </c>
      <c r="D16">
        <f>D17*D5</f>
        <v>1.9388095999999999E-10</v>
      </c>
      <c r="E16">
        <f t="shared" ref="E16" si="2">E17*E5</f>
        <v>1.0124892E-10</v>
      </c>
      <c r="G16" s="1">
        <f>AVERAGE(D17:E17)</f>
        <v>2.92093E-10</v>
      </c>
      <c r="H16" s="1">
        <f>SUM(D17:E17)</f>
        <v>5.8418599999999999E-10</v>
      </c>
    </row>
    <row r="17" spans="2:12">
      <c r="C17" t="s">
        <v>31</v>
      </c>
      <c r="D17">
        <f>3.02939*0.0000000001</f>
        <v>3.0293899999999998E-10</v>
      </c>
      <c r="E17">
        <f>2.81247*0.0000000001</f>
        <v>2.8124700000000001E-10</v>
      </c>
      <c r="J17" t="s">
        <v>14</v>
      </c>
    </row>
    <row r="18" spans="2:12">
      <c r="C18" t="s">
        <v>40</v>
      </c>
      <c r="D18" s="2">
        <f>($B$16-D17)/$B$16</f>
        <v>-6.4400728807795266E-2</v>
      </c>
      <c r="E18" s="2">
        <f t="shared" ref="E18" si="3">($B$16-E17)/$B$16</f>
        <v>1.1815871264492111E-2</v>
      </c>
      <c r="J18">
        <f>1/3*B8*B12*(D17*D5+E17*E5)</f>
        <v>0.31645232519675642</v>
      </c>
    </row>
    <row r="19" spans="2:12">
      <c r="B19">
        <f>1/3*B8*B12*B16</f>
        <v>0.30517231631303698</v>
      </c>
    </row>
    <row r="20" spans="2:12">
      <c r="B20">
        <v>0.30517231631303698</v>
      </c>
    </row>
    <row r="21" spans="2:12">
      <c r="L2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7B110-DC82-4ABF-A1BE-2DB27A5BB312}">
  <dimension ref="A1:J19"/>
  <sheetViews>
    <sheetView workbookViewId="0">
      <selection activeCell="E9" sqref="E9"/>
    </sheetView>
  </sheetViews>
  <sheetFormatPr defaultRowHeight="14.25"/>
  <cols>
    <col min="1" max="1" width="14.625" customWidth="1"/>
    <col min="5" max="5" width="11" bestFit="1" customWidth="1"/>
    <col min="8" max="8" width="12" bestFit="1" customWidth="1"/>
  </cols>
  <sheetData>
    <row r="1" spans="1:8">
      <c r="G1" t="s">
        <v>28</v>
      </c>
    </row>
    <row r="2" spans="1:8">
      <c r="A2" t="s">
        <v>27</v>
      </c>
      <c r="B2">
        <f>B4*B3</f>
        <v>59.999999999999993</v>
      </c>
      <c r="C2">
        <f t="shared" ref="C2:D2" si="0">C4*C3</f>
        <v>486</v>
      </c>
      <c r="D2">
        <f t="shared" si="0"/>
        <v>676.875</v>
      </c>
      <c r="E2">
        <f>SUM(B2:D2)</f>
        <v>1222.875</v>
      </c>
      <c r="G2">
        <f>E2/E3</f>
        <v>1706.3372093023258</v>
      </c>
    </row>
    <row r="3" spans="1:8">
      <c r="A3" t="s">
        <v>26</v>
      </c>
      <c r="B3">
        <f>B5*B7</f>
        <v>9.9999999999999992E-2</v>
      </c>
      <c r="C3">
        <f t="shared" ref="C3:D3" si="1">C5*C7</f>
        <v>0.3</v>
      </c>
      <c r="D3">
        <f t="shared" si="1"/>
        <v>0.31666666666666665</v>
      </c>
      <c r="E3">
        <f>SUM(B3:D3)</f>
        <v>0.71666666666666656</v>
      </c>
    </row>
    <row r="4" spans="1:8">
      <c r="A4" t="s">
        <v>25</v>
      </c>
      <c r="B4">
        <f>B6*B5</f>
        <v>600</v>
      </c>
      <c r="C4">
        <f t="shared" ref="C4:D4" si="2">C6*C5</f>
        <v>1620</v>
      </c>
      <c r="D4">
        <f t="shared" si="2"/>
        <v>2137.5</v>
      </c>
    </row>
    <row r="5" spans="1:8">
      <c r="A5" t="s">
        <v>24</v>
      </c>
      <c r="B5">
        <v>0.3</v>
      </c>
      <c r="C5">
        <v>0.9</v>
      </c>
      <c r="D5">
        <v>0.95</v>
      </c>
      <c r="E5">
        <f>SUM(B5:D5)</f>
        <v>2.15</v>
      </c>
    </row>
    <row r="6" spans="1:8">
      <c r="A6" t="s">
        <v>23</v>
      </c>
      <c r="B6">
        <v>2000</v>
      </c>
      <c r="C6">
        <v>1800</v>
      </c>
      <c r="D6">
        <v>2250</v>
      </c>
      <c r="E6">
        <f>(B7*B6*B5+C7*C6*C5+D7*D6*D5)</f>
        <v>1452.5</v>
      </c>
      <c r="F6" t="s">
        <v>17</v>
      </c>
    </row>
    <row r="7" spans="1:8">
      <c r="A7" t="s">
        <v>16</v>
      </c>
      <c r="B7">
        <f>1/3</f>
        <v>0.33333333333333331</v>
      </c>
      <c r="C7">
        <f t="shared" ref="C7:D7" si="3">1/3</f>
        <v>0.33333333333333331</v>
      </c>
      <c r="D7">
        <f t="shared" si="3"/>
        <v>0.33333333333333331</v>
      </c>
      <c r="E7">
        <f>SUM(B7:D7)</f>
        <v>1</v>
      </c>
      <c r="F7" t="s">
        <v>18</v>
      </c>
    </row>
    <row r="8" spans="1:8">
      <c r="A8" t="s">
        <v>9</v>
      </c>
      <c r="B8" t="s">
        <v>0</v>
      </c>
      <c r="C8" t="s">
        <v>1</v>
      </c>
      <c r="D8" t="s">
        <v>2</v>
      </c>
    </row>
    <row r="9" spans="1:8">
      <c r="A9">
        <f>4.32315715958539/0.000001</f>
        <v>4323157.1595853902</v>
      </c>
      <c r="B9">
        <f>$A$9*B7</f>
        <v>1441052.3865284633</v>
      </c>
      <c r="C9">
        <f>$A$9*C7</f>
        <v>1441052.3865284633</v>
      </c>
      <c r="D9">
        <f>$A$9*D7</f>
        <v>1441052.3865284633</v>
      </c>
      <c r="E9">
        <f>SUM(B9:D9)</f>
        <v>4323157.1595853902</v>
      </c>
      <c r="F9" t="s">
        <v>19</v>
      </c>
      <c r="H9" t="s">
        <v>12</v>
      </c>
    </row>
    <row r="10" spans="1:8">
      <c r="H10">
        <f>1/3*((B9*B12*B16)+(C9*C12*C16)+(D9*D12*D16))</f>
        <v>0.62874414137692636</v>
      </c>
    </row>
    <row r="11" spans="1:8">
      <c r="A11" t="s">
        <v>10</v>
      </c>
      <c r="B11" t="s">
        <v>3</v>
      </c>
      <c r="C11" t="s">
        <v>4</v>
      </c>
      <c r="D11" t="s">
        <v>5</v>
      </c>
    </row>
    <row r="12" spans="1:8">
      <c r="A12">
        <v>2012</v>
      </c>
      <c r="B12">
        <f>B4*$A$12/$G$2</f>
        <v>707.48032300930174</v>
      </c>
      <c r="C12">
        <f t="shared" ref="C12" si="4">C4*$A$12/$G$2</f>
        <v>1910.1968721251146</v>
      </c>
      <c r="D12">
        <f>D4*$A$12/$G$2</f>
        <v>2520.3986507206373</v>
      </c>
      <c r="E12">
        <f>(B12*$B$5+C12*$C$5+D12*$D$5)/E5</f>
        <v>2011.9999999999998</v>
      </c>
      <c r="F12" t="s">
        <v>20</v>
      </c>
      <c r="G12">
        <f>(B6*B5*B7+C5*C6*C7+D5*D6*D7)/(B5*B7+C5*C7+D5*D7)</f>
        <v>2026.7441860465119</v>
      </c>
      <c r="H12" t="s">
        <v>13</v>
      </c>
    </row>
    <row r="13" spans="1:8">
      <c r="H13">
        <f>1/3*((B7*B9+C7*C9+D7*D9)*(B7*B12+C7*C12+D7*D12)*(B7*B16+C7*C16+D7*D16))</f>
        <v>0.20567323499537984</v>
      </c>
    </row>
    <row r="15" spans="1:8">
      <c r="A15" t="s">
        <v>11</v>
      </c>
      <c r="B15" t="s">
        <v>6</v>
      </c>
      <c r="C15" t="s">
        <v>7</v>
      </c>
      <c r="D15" t="s">
        <v>8</v>
      </c>
    </row>
    <row r="16" spans="1:8">
      <c r="A16">
        <f>B16*B7+C16*C7+D16*D7</f>
        <v>2.4999999999999996E-10</v>
      </c>
      <c r="B16">
        <f>2.5*0.0000000001</f>
        <v>2.5000000000000002E-10</v>
      </c>
      <c r="C16">
        <f>2.1*0.0000000001</f>
        <v>2.1000000000000002E-10</v>
      </c>
      <c r="D16">
        <f>2.9*0.0000000001</f>
        <v>2.8999999999999998E-10</v>
      </c>
      <c r="E16">
        <f>B16*$B$7+C16*$C$7+D16*$D$7</f>
        <v>2.4999999999999996E-10</v>
      </c>
      <c r="F16" t="s">
        <v>21</v>
      </c>
      <c r="H16" t="s">
        <v>14</v>
      </c>
    </row>
    <row r="17" spans="1:10">
      <c r="B17">
        <f>$A$12*B6/($E$6/$E$7)</f>
        <v>2770.3958691910498</v>
      </c>
      <c r="H17">
        <f>1/3*A9*A12*(B16*B7+C16*C7+D16*D7)</f>
        <v>0.72484935042381693</v>
      </c>
    </row>
    <row r="19" spans="1:10">
      <c r="A19">
        <f>1/3*A9*A12*A16</f>
        <v>0.72484935042381693</v>
      </c>
      <c r="J19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BF9D-F784-459F-91A0-F138260C286F}">
  <dimension ref="B4:M22"/>
  <sheetViews>
    <sheetView workbookViewId="0">
      <selection activeCell="D11" sqref="D11"/>
    </sheetView>
  </sheetViews>
  <sheetFormatPr defaultRowHeight="14.25"/>
  <cols>
    <col min="2" max="2" width="14.625" customWidth="1"/>
    <col min="3" max="3" width="9.375" customWidth="1"/>
    <col min="7" max="7" width="11" bestFit="1" customWidth="1"/>
    <col min="8" max="8" width="11" customWidth="1"/>
    <col min="11" max="11" width="12" bestFit="1" customWidth="1"/>
  </cols>
  <sheetData>
    <row r="4" spans="2:11">
      <c r="G4" t="s">
        <v>30</v>
      </c>
      <c r="H4" t="s">
        <v>15</v>
      </c>
    </row>
    <row r="5" spans="2:11">
      <c r="B5" t="s">
        <v>29</v>
      </c>
      <c r="D5">
        <f>D6*D9</f>
        <v>0.06</v>
      </c>
      <c r="E5">
        <f>E6*E9</f>
        <v>0.45</v>
      </c>
      <c r="F5">
        <f>F6*F9</f>
        <v>0.28499999999999998</v>
      </c>
      <c r="G5">
        <f>AVERAGE(D5:F5)</f>
        <v>0.26499999999999996</v>
      </c>
      <c r="H5">
        <f>SUM(D5:F5)</f>
        <v>0.79499999999999993</v>
      </c>
    </row>
    <row r="6" spans="2:11">
      <c r="B6" t="s">
        <v>24</v>
      </c>
      <c r="D6">
        <v>0.3</v>
      </c>
      <c r="E6">
        <v>0.9</v>
      </c>
      <c r="F6">
        <v>0.95</v>
      </c>
      <c r="G6">
        <f t="shared" ref="G6:G14" si="0">AVERAGE(D6:F6)</f>
        <v>0.71666666666666667</v>
      </c>
      <c r="H6">
        <f t="shared" ref="H6:H19" si="1">SUM(D6:F6)</f>
        <v>2.15</v>
      </c>
    </row>
    <row r="7" spans="2:11">
      <c r="B7" t="s">
        <v>33</v>
      </c>
      <c r="D7">
        <f>D9*D8</f>
        <v>400</v>
      </c>
      <c r="E7">
        <f>E9*E8</f>
        <v>900</v>
      </c>
      <c r="F7">
        <f t="shared" ref="F7" si="2">F9*F8</f>
        <v>675</v>
      </c>
      <c r="G7">
        <f>AVERAGE(D7:F7)</f>
        <v>658.33333333333337</v>
      </c>
      <c r="H7">
        <f t="shared" ref="H7" si="3">SUM(D7:F7)</f>
        <v>1975</v>
      </c>
    </row>
    <row r="8" spans="2:11">
      <c r="B8" t="s">
        <v>23</v>
      </c>
      <c r="D8">
        <v>2000</v>
      </c>
      <c r="E8">
        <v>1800</v>
      </c>
      <c r="F8">
        <v>2250</v>
      </c>
      <c r="G8">
        <f t="shared" si="0"/>
        <v>2016.6666666666667</v>
      </c>
      <c r="H8">
        <f t="shared" si="1"/>
        <v>6050</v>
      </c>
    </row>
    <row r="9" spans="2:11">
      <c r="B9" t="s">
        <v>16</v>
      </c>
      <c r="D9">
        <v>0.2</v>
      </c>
      <c r="E9">
        <v>0.5</v>
      </c>
      <c r="F9">
        <v>0.3</v>
      </c>
      <c r="G9">
        <f t="shared" si="0"/>
        <v>0.33333333333333331</v>
      </c>
      <c r="H9">
        <f t="shared" si="1"/>
        <v>1</v>
      </c>
    </row>
    <row r="10" spans="2:11">
      <c r="B10" t="s">
        <v>9</v>
      </c>
      <c r="D10" t="s">
        <v>0</v>
      </c>
      <c r="E10" t="s">
        <v>1</v>
      </c>
      <c r="F10" t="s">
        <v>2</v>
      </c>
    </row>
    <row r="11" spans="2:11">
      <c r="B11">
        <f>4.32315715958539/0.000001</f>
        <v>4323157.1595853902</v>
      </c>
      <c r="C11" t="s">
        <v>31</v>
      </c>
      <c r="D11">
        <f>$B$11*(D5)/$H$5</f>
        <v>326276.01204418042</v>
      </c>
      <c r="E11">
        <f>$B$11*(E5)/$H$5</f>
        <v>2447070.0903313532</v>
      </c>
      <c r="F11">
        <f>$B$11*(F5)/$H$5</f>
        <v>1549811.0572098568</v>
      </c>
      <c r="G11">
        <f t="shared" si="0"/>
        <v>1441052.3865284633</v>
      </c>
      <c r="H11">
        <f t="shared" si="1"/>
        <v>4323157.1595853902</v>
      </c>
      <c r="K11" t="s">
        <v>12</v>
      </c>
    </row>
    <row r="12" spans="2:11">
      <c r="C12" t="s">
        <v>32</v>
      </c>
      <c r="D12">
        <f>$B$11*D5/$G$5</f>
        <v>978828.03613254137</v>
      </c>
      <c r="E12">
        <f t="shared" ref="E12:F12" si="4">$B$11*E5/$G$5</f>
        <v>7341210.2709940607</v>
      </c>
      <c r="F12">
        <f t="shared" si="4"/>
        <v>4649433.1716295704</v>
      </c>
      <c r="G12">
        <f>AVERAGE(D12:F12)</f>
        <v>4323157.1595853912</v>
      </c>
      <c r="H12">
        <f t="shared" ref="H12" si="5">SUM(D12:F12)</f>
        <v>12969471.478756173</v>
      </c>
      <c r="K12">
        <f>1/3*((D11*D14*D19)+(E11*E14*E19)+(F11*F14*F19))</f>
        <v>0.23272490449440814</v>
      </c>
    </row>
    <row r="13" spans="2:11">
      <c r="B13" t="s">
        <v>10</v>
      </c>
      <c r="D13" t="s">
        <v>3</v>
      </c>
      <c r="E13" t="s">
        <v>4</v>
      </c>
      <c r="F13" t="s">
        <v>5</v>
      </c>
    </row>
    <row r="14" spans="2:11">
      <c r="B14">
        <v>2012</v>
      </c>
      <c r="C14" t="s">
        <v>31</v>
      </c>
      <c r="D14">
        <f>D8*$B$14/$H$8</f>
        <v>665.12396694214874</v>
      </c>
      <c r="E14">
        <f t="shared" ref="E14:F14" si="6">E8*$B$14/$H$8</f>
        <v>598.61157024793386</v>
      </c>
      <c r="F14">
        <f t="shared" si="6"/>
        <v>748.2644628099174</v>
      </c>
      <c r="G14">
        <f t="shared" si="0"/>
        <v>670.66666666666663</v>
      </c>
      <c r="H14">
        <f t="shared" si="1"/>
        <v>2012</v>
      </c>
      <c r="K14" t="s">
        <v>13</v>
      </c>
    </row>
    <row r="15" spans="2:11">
      <c r="C15" t="s">
        <v>32</v>
      </c>
      <c r="D15">
        <f>D8*$B$14/$G$8</f>
        <v>1995.3719008264461</v>
      </c>
      <c r="E15">
        <f>E8*$B$14/$G$8</f>
        <v>1795.8347107438017</v>
      </c>
      <c r="F15">
        <f>F8*$B$14/$G$8</f>
        <v>2244.7933884297518</v>
      </c>
      <c r="G15">
        <f>AVERAGE(D15:F15)</f>
        <v>2012</v>
      </c>
      <c r="H15">
        <f t="shared" ref="H15" si="7">SUM(D15:F15)</f>
        <v>6036</v>
      </c>
      <c r="K15">
        <f>1/3*((D9*D11+E9*E11+F9*F11)*(D9*D14+E9*E14+F9*F14)*(D9*D19+E9*E19+F9*F19))</f>
        <v>9.2917480882630465E-2</v>
      </c>
    </row>
    <row r="16" spans="2:11">
      <c r="C16" t="s">
        <v>34</v>
      </c>
      <c r="D16">
        <f>D7*$B$14/$H$7</f>
        <v>407.49367088607596</v>
      </c>
      <c r="E16">
        <f t="shared" ref="E16:F16" si="8">E7*$B$14/$H$7</f>
        <v>916.86075949367091</v>
      </c>
      <c r="F16">
        <f t="shared" si="8"/>
        <v>687.64556962025313</v>
      </c>
      <c r="G16">
        <f t="shared" ref="G16:G17" si="9">AVERAGE(D16:F16)</f>
        <v>670.66666666666663</v>
      </c>
      <c r="H16">
        <f t="shared" ref="H16:H17" si="10">SUM(D16:F16)</f>
        <v>2012</v>
      </c>
    </row>
    <row r="17" spans="2:13">
      <c r="C17" t="s">
        <v>35</v>
      </c>
      <c r="D17">
        <f>D7*$B$14/$G$7</f>
        <v>1222.4810126582279</v>
      </c>
      <c r="E17">
        <f>E7*$B$14/$G$7</f>
        <v>2750.5822784810125</v>
      </c>
      <c r="F17">
        <f>F7*$B$14/$G$7</f>
        <v>2062.9367088607592</v>
      </c>
      <c r="G17">
        <f t="shared" si="9"/>
        <v>2012</v>
      </c>
      <c r="H17">
        <f t="shared" si="10"/>
        <v>6036</v>
      </c>
    </row>
    <row r="18" spans="2:13">
      <c r="B18" t="s">
        <v>11</v>
      </c>
      <c r="D18" t="s">
        <v>6</v>
      </c>
      <c r="E18" t="s">
        <v>7</v>
      </c>
      <c r="F18" t="s">
        <v>8</v>
      </c>
    </row>
    <row r="19" spans="2:13">
      <c r="B19">
        <f>D19*D9+E19*E9+F19*F9</f>
        <v>2.4200000000000004E-10</v>
      </c>
      <c r="C19" t="s">
        <v>31</v>
      </c>
      <c r="D19">
        <f>2.5*0.0000000001</f>
        <v>2.5000000000000002E-10</v>
      </c>
      <c r="E19">
        <f>2.1*0.0000000001</f>
        <v>2.1000000000000002E-10</v>
      </c>
      <c r="F19">
        <f>2.9*0.0000000001</f>
        <v>2.8999999999999998E-10</v>
      </c>
      <c r="G19" s="1">
        <f>AVERAGE(D19:F19)</f>
        <v>2.5000000000000002E-10</v>
      </c>
      <c r="H19" s="1">
        <f t="shared" si="1"/>
        <v>7.500000000000001E-10</v>
      </c>
      <c r="K19" t="s">
        <v>14</v>
      </c>
    </row>
    <row r="20" spans="2:13">
      <c r="C20" t="s">
        <v>32</v>
      </c>
      <c r="K20">
        <f>1/3*B11*B14*(D19*D9+E19*E9+F19*F9)</f>
        <v>0.70165417121025497</v>
      </c>
    </row>
    <row r="22" spans="2:13">
      <c r="B22">
        <f>1/3*B11*B14*B19</f>
        <v>0.70165417121025497</v>
      </c>
      <c r="M2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DD751-A642-4DD9-9627-A36C9355B6FF}">
  <dimension ref="B4:N23"/>
  <sheetViews>
    <sheetView workbookViewId="0">
      <selection activeCell="H10" sqref="H10"/>
    </sheetView>
  </sheetViews>
  <sheetFormatPr defaultRowHeight="14.25"/>
  <cols>
    <col min="2" max="2" width="14.625" customWidth="1"/>
    <col min="3" max="3" width="9.375" customWidth="1"/>
    <col min="7" max="7" width="2.625" customWidth="1"/>
    <col min="8" max="8" width="11" bestFit="1" customWidth="1"/>
    <col min="9" max="9" width="11" customWidth="1"/>
    <col min="12" max="12" width="12" bestFit="1" customWidth="1"/>
  </cols>
  <sheetData>
    <row r="4" spans="2:12">
      <c r="H4" t="s">
        <v>30</v>
      </c>
      <c r="I4" t="s">
        <v>15</v>
      </c>
    </row>
    <row r="5" spans="2:12">
      <c r="B5" t="s">
        <v>29</v>
      </c>
      <c r="D5">
        <f>D6*D9</f>
        <v>0.06</v>
      </c>
      <c r="E5">
        <f>E6*E9</f>
        <v>0.45</v>
      </c>
      <c r="F5">
        <f>F6*F9</f>
        <v>0.28499999999999998</v>
      </c>
      <c r="H5">
        <f>AVERAGE(D5:F5)</f>
        <v>0.26499999999999996</v>
      </c>
      <c r="I5">
        <f>SUM(D5:F5)</f>
        <v>0.79499999999999993</v>
      </c>
    </row>
    <row r="6" spans="2:12">
      <c r="B6" t="s">
        <v>24</v>
      </c>
      <c r="D6">
        <v>0.3</v>
      </c>
      <c r="E6">
        <v>0.9</v>
      </c>
      <c r="F6">
        <v>0.95</v>
      </c>
      <c r="H6">
        <f t="shared" ref="H6:H15" si="0">AVERAGE(D6:F6)</f>
        <v>0.71666666666666667</v>
      </c>
      <c r="I6">
        <f t="shared" ref="I6:I20" si="1">SUM(D6:F6)</f>
        <v>2.15</v>
      </c>
    </row>
    <row r="7" spans="2:12">
      <c r="B7" t="s">
        <v>33</v>
      </c>
      <c r="D7">
        <f>D9*D8</f>
        <v>400</v>
      </c>
      <c r="E7">
        <f>E9*E8</f>
        <v>900</v>
      </c>
      <c r="F7">
        <f t="shared" ref="F7" si="2">F9*F8</f>
        <v>675</v>
      </c>
      <c r="H7">
        <f>AVERAGE(D7:F7)</f>
        <v>658.33333333333337</v>
      </c>
      <c r="I7">
        <f t="shared" si="1"/>
        <v>1975</v>
      </c>
    </row>
    <row r="8" spans="2:12">
      <c r="B8" t="s">
        <v>23</v>
      </c>
      <c r="D8">
        <v>2000</v>
      </c>
      <c r="E8">
        <v>1800</v>
      </c>
      <c r="F8">
        <v>2250</v>
      </c>
      <c r="H8">
        <f t="shared" si="0"/>
        <v>2016.6666666666667</v>
      </c>
      <c r="I8">
        <f t="shared" si="1"/>
        <v>6050</v>
      </c>
    </row>
    <row r="9" spans="2:12">
      <c r="B9" t="s">
        <v>16</v>
      </c>
      <c r="D9">
        <v>0.2</v>
      </c>
      <c r="E9">
        <v>0.5</v>
      </c>
      <c r="F9">
        <v>0.3</v>
      </c>
      <c r="H9">
        <f t="shared" si="0"/>
        <v>0.33333333333333331</v>
      </c>
      <c r="I9">
        <f t="shared" si="1"/>
        <v>1</v>
      </c>
    </row>
    <row r="11" spans="2:12">
      <c r="B11" t="s">
        <v>9</v>
      </c>
      <c r="D11" t="s">
        <v>0</v>
      </c>
      <c r="E11" t="s">
        <v>1</v>
      </c>
      <c r="F11" t="s">
        <v>2</v>
      </c>
    </row>
    <row r="12" spans="2:12">
      <c r="B12">
        <f>4.32315715958539/0.000001</f>
        <v>4323157.1595853902</v>
      </c>
      <c r="C12" t="s">
        <v>31</v>
      </c>
      <c r="D12">
        <f>$B$12*(D9)/$I$9</f>
        <v>864631.43191707809</v>
      </c>
      <c r="E12">
        <f t="shared" ref="E12:F12" si="3">$B$12*(E9)/$I$9</f>
        <v>2161578.5797926951</v>
      </c>
      <c r="F12">
        <f t="shared" si="3"/>
        <v>1296947.147875617</v>
      </c>
      <c r="H12">
        <f t="shared" si="0"/>
        <v>1441052.3865284633</v>
      </c>
      <c r="I12">
        <f>SUM(D12:F12)</f>
        <v>4323157.1595853902</v>
      </c>
      <c r="L12" t="s">
        <v>12</v>
      </c>
    </row>
    <row r="13" spans="2:12">
      <c r="D13">
        <f>($B$12-D12)/$B$12</f>
        <v>0.8</v>
      </c>
      <c r="E13">
        <f t="shared" ref="E13:F13" si="4">($B$12-E12)/$B$12</f>
        <v>0.5</v>
      </c>
      <c r="F13">
        <f t="shared" si="4"/>
        <v>0.7</v>
      </c>
      <c r="L13">
        <f>1/3*((D12*D15*D20)+(E12*E15*E20)+(F12*F15*F20))</f>
        <v>0.70165417121025497</v>
      </c>
    </row>
    <row r="14" spans="2:12">
      <c r="B14" t="s">
        <v>10</v>
      </c>
      <c r="D14" t="s">
        <v>3</v>
      </c>
      <c r="E14" t="s">
        <v>4</v>
      </c>
      <c r="F14" t="s">
        <v>5</v>
      </c>
    </row>
    <row r="15" spans="2:12">
      <c r="B15">
        <v>2012</v>
      </c>
      <c r="C15" t="s">
        <v>31</v>
      </c>
      <c r="D15">
        <f>$B$15</f>
        <v>2012</v>
      </c>
      <c r="E15">
        <f t="shared" ref="E15:F15" si="5">$B$15</f>
        <v>2012</v>
      </c>
      <c r="F15">
        <f t="shared" si="5"/>
        <v>2012</v>
      </c>
      <c r="H15">
        <f t="shared" si="0"/>
        <v>2012</v>
      </c>
      <c r="I15">
        <f t="shared" si="1"/>
        <v>6036</v>
      </c>
      <c r="L15" t="s">
        <v>13</v>
      </c>
    </row>
    <row r="16" spans="2:12">
      <c r="L16">
        <f>1/3*((D9*D12+E9*E12+F9*F12)*(D9*D15+E9*E15+F9*F15)*(D9*D20+E9*E20+F9*F20))</f>
        <v>0.26662858505989689</v>
      </c>
    </row>
    <row r="17" spans="2:14">
      <c r="H17" t="e">
        <f t="shared" ref="H17:H18" si="6">AVERAGE(D17:F17)</f>
        <v>#DIV/0!</v>
      </c>
      <c r="I17">
        <f t="shared" si="1"/>
        <v>0</v>
      </c>
    </row>
    <row r="19" spans="2:14">
      <c r="B19" t="s">
        <v>11</v>
      </c>
      <c r="D19" t="s">
        <v>6</v>
      </c>
      <c r="E19" t="s">
        <v>7</v>
      </c>
      <c r="F19" t="s">
        <v>8</v>
      </c>
    </row>
    <row r="20" spans="2:14">
      <c r="B20">
        <f>D20*D9+E20*E9+F20*F9</f>
        <v>2.4200000000000004E-10</v>
      </c>
      <c r="C20" t="s">
        <v>31</v>
      </c>
      <c r="D20">
        <f>2.5*0.0000000001</f>
        <v>2.5000000000000002E-10</v>
      </c>
      <c r="E20">
        <f>2.1*0.0000000001</f>
        <v>2.1000000000000002E-10</v>
      </c>
      <c r="F20">
        <f>2.9*0.0000000001</f>
        <v>2.8999999999999998E-10</v>
      </c>
      <c r="H20" s="1">
        <f>AVERAGE(D20:F20)</f>
        <v>2.5000000000000002E-10</v>
      </c>
      <c r="I20" s="1">
        <f t="shared" si="1"/>
        <v>7.500000000000001E-10</v>
      </c>
      <c r="L20" t="s">
        <v>14</v>
      </c>
    </row>
    <row r="21" spans="2:14">
      <c r="D21">
        <f>($B$20-D20)/$B$20</f>
        <v>-3.3057851239669304E-2</v>
      </c>
      <c r="E21">
        <f t="shared" ref="E21:F21" si="7">($B$20-E20)/$B$20</f>
        <v>0.13223140495867775</v>
      </c>
      <c r="F21">
        <f t="shared" si="7"/>
        <v>-0.19834710743801623</v>
      </c>
      <c r="L21">
        <f>1/3*B12*B15*(D20*D9+E20*E9+F20*F9)</f>
        <v>0.70165417121025497</v>
      </c>
    </row>
    <row r="23" spans="2:14">
      <c r="B23">
        <f>1/3*B12*B15*B20</f>
        <v>0.70165417121025497</v>
      </c>
      <c r="N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FLiNaK</vt:lpstr>
      <vt:lpstr>FLiNaK (2)</vt:lpstr>
      <vt:lpstr>NaCl-UCl3</vt:lpstr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Numbers</dc:creator>
  <cp:lastModifiedBy>Jacob Numbers</cp:lastModifiedBy>
  <dcterms:created xsi:type="dcterms:W3CDTF">2025-08-22T05:02:11Z</dcterms:created>
  <dcterms:modified xsi:type="dcterms:W3CDTF">2025-09-01T22:59:01Z</dcterms:modified>
</cp:coreProperties>
</file>