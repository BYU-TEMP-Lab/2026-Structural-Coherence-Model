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Code\TC_Comparison_Code\"/>
    </mc:Choice>
  </mc:AlternateContent>
  <xr:revisionPtr revIDLastSave="0" documentId="8_{25AAF1D1-4CC7-4CC2-A226-E34303F86589}" xr6:coauthVersionLast="36" xr6:coauthVersionMax="36" xr10:uidLastSave="{00000000-0000-0000-0000-000000000000}"/>
  <bookViews>
    <workbookView xWindow="0" yWindow="0" windowWidth="28800" windowHeight="12105"/>
  </bookViews>
  <sheets>
    <sheet name="PDF_CsF" sheetId="1" r:id="rId1"/>
  </sheets>
  <calcPr calcId="0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3" i="1"/>
  <c r="P3" i="1"/>
  <c r="K3" i="1" s="1"/>
  <c r="X3" i="1"/>
  <c r="W3" i="1"/>
  <c r="V3" i="1" l="1"/>
  <c r="O3" i="1" s="1"/>
  <c r="L6" i="1" s="1"/>
  <c r="L3" i="1" s="1"/>
  <c r="I4" i="1" l="1"/>
  <c r="I10" i="1"/>
  <c r="I16" i="1"/>
  <c r="I22" i="1"/>
  <c r="I28" i="1"/>
  <c r="I34" i="1"/>
  <c r="I40" i="1"/>
  <c r="I46" i="1"/>
  <c r="I52" i="1"/>
  <c r="I58" i="1"/>
  <c r="I64" i="1"/>
  <c r="I70" i="1"/>
  <c r="I76" i="1"/>
  <c r="I82" i="1"/>
  <c r="I88" i="1"/>
  <c r="I94" i="1"/>
  <c r="I100" i="1"/>
  <c r="I106" i="1"/>
  <c r="I11" i="1"/>
  <c r="I17" i="1"/>
  <c r="I23" i="1"/>
  <c r="I29" i="1"/>
  <c r="I35" i="1"/>
  <c r="I41" i="1"/>
  <c r="I47" i="1"/>
  <c r="I53" i="1"/>
  <c r="I59" i="1"/>
  <c r="I65" i="1"/>
  <c r="I71" i="1"/>
  <c r="I77" i="1"/>
  <c r="I83" i="1"/>
  <c r="I89" i="1"/>
  <c r="I95" i="1"/>
  <c r="I101" i="1"/>
  <c r="I107" i="1"/>
  <c r="I5" i="1"/>
  <c r="I6" i="1"/>
  <c r="I7" i="1"/>
  <c r="I13" i="1"/>
  <c r="I19" i="1"/>
  <c r="I25" i="1"/>
  <c r="I31" i="1"/>
  <c r="I37" i="1"/>
  <c r="I43" i="1"/>
  <c r="I49" i="1"/>
  <c r="I55" i="1"/>
  <c r="I61" i="1"/>
  <c r="I67" i="1"/>
  <c r="I73" i="1"/>
  <c r="I79" i="1"/>
  <c r="I85" i="1"/>
  <c r="I91" i="1"/>
  <c r="I97" i="1"/>
  <c r="I103" i="1"/>
  <c r="K6" i="1"/>
  <c r="I14" i="1"/>
  <c r="I20" i="1"/>
  <c r="I26" i="1"/>
  <c r="I32" i="1"/>
  <c r="I38" i="1"/>
  <c r="I50" i="1"/>
  <c r="I56" i="1"/>
  <c r="I68" i="1"/>
  <c r="I80" i="1"/>
  <c r="I92" i="1"/>
  <c r="I104" i="1"/>
  <c r="I8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2" i="1"/>
  <c r="I18" i="1"/>
  <c r="I24" i="1"/>
  <c r="I30" i="1"/>
  <c r="I36" i="1"/>
  <c r="I42" i="1"/>
  <c r="I48" i="1"/>
  <c r="I54" i="1"/>
  <c r="I60" i="1"/>
  <c r="I66" i="1"/>
  <c r="I72" i="1"/>
  <c r="I78" i="1"/>
  <c r="I84" i="1"/>
  <c r="I90" i="1"/>
  <c r="I96" i="1"/>
  <c r="I102" i="1"/>
  <c r="I3" i="1"/>
  <c r="I44" i="1"/>
  <c r="I62" i="1"/>
  <c r="I74" i="1"/>
  <c r="I86" i="1"/>
  <c r="I98" i="1"/>
</calcChain>
</file>

<file path=xl/sharedStrings.xml><?xml version="1.0" encoding="utf-8"?>
<sst xmlns="http://schemas.openxmlformats.org/spreadsheetml/2006/main" count="41" uniqueCount="35">
  <si>
    <t>Cs-F</t>
  </si>
  <si>
    <t>Cs-Cs</t>
  </si>
  <si>
    <t>F-F</t>
  </si>
  <si>
    <t>X</t>
  </si>
  <si>
    <t>Y</t>
  </si>
  <si>
    <t>U(r )</t>
  </si>
  <si>
    <t>sigma</t>
  </si>
  <si>
    <t>epsilon</t>
  </si>
  <si>
    <t>Z_c</t>
  </si>
  <si>
    <t>Z_a</t>
  </si>
  <si>
    <t>lambda_D</t>
  </si>
  <si>
    <t>e</t>
  </si>
  <si>
    <t>Coulomb</t>
  </si>
  <si>
    <t xml:space="preserve"> </t>
  </si>
  <si>
    <t>epsilon_0</t>
  </si>
  <si>
    <t>F/m</t>
  </si>
  <si>
    <t>k_B</t>
  </si>
  <si>
    <t>J/K</t>
  </si>
  <si>
    <t>T</t>
  </si>
  <si>
    <t>K</t>
  </si>
  <si>
    <t>N_A</t>
  </si>
  <si>
    <t>mol^-1</t>
  </si>
  <si>
    <t>mol/m^3</t>
  </si>
  <si>
    <t>I (Ionic strength)</t>
  </si>
  <si>
    <t>c_c</t>
  </si>
  <si>
    <t>c_a</t>
  </si>
  <si>
    <t>r_ideal</t>
  </si>
  <si>
    <t>m</t>
  </si>
  <si>
    <t>U(r_0)</t>
  </si>
  <si>
    <t>eV</t>
  </si>
  <si>
    <t>LJ term</t>
  </si>
  <si>
    <t>C potential term</t>
  </si>
  <si>
    <t>at r_ideal</t>
  </si>
  <si>
    <t>LJ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</si>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</sst>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PDF_CsF!$A$1</c:f>
              <c:strCache>
                <c:ptCount val="1"/>
                <c:pt idx="0">
                  <c:v>Cs-F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PDF_CsF!$A$3:$A$107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PDF_CsF!$B$3:$B$107</c:f>
              <c:numCache>
                <c:formatCode>General</c:formatCode>
                <c:ptCount val="105"/>
                <c:pt idx="0">
                  <c:v>3.0273055600285401E-2</c:v>
                </c:pt>
                <c:pt idx="1">
                  <c:v>0.13857974281704999</c:v>
                </c:pt>
                <c:pt idx="2">
                  <c:v>0.27918842446688602</c:v>
                </c:pt>
                <c:pt idx="3">
                  <c:v>0.45997101515953098</c:v>
                </c:pt>
                <c:pt idx="4">
                  <c:v>0.75801798900416295</c:v>
                </c:pt>
                <c:pt idx="5">
                  <c:v>0.64021071518943695</c:v>
                </c:pt>
                <c:pt idx="6">
                  <c:v>0.95278001426238201</c:v>
                </c:pt>
                <c:pt idx="7">
                  <c:v>1.21024591106714</c:v>
                </c:pt>
                <c:pt idx="8">
                  <c:v>1.65335326999609</c:v>
                </c:pt>
                <c:pt idx="9">
                  <c:v>1.76127993374893</c:v>
                </c:pt>
                <c:pt idx="10">
                  <c:v>1.96649260426491</c:v>
                </c:pt>
                <c:pt idx="11">
                  <c:v>2.42927673365896</c:v>
                </c:pt>
                <c:pt idx="12">
                  <c:v>2.93175220261783</c:v>
                </c:pt>
                <c:pt idx="13">
                  <c:v>3.2664103655310401</c:v>
                </c:pt>
                <c:pt idx="14">
                  <c:v>3.5093878677739099</c:v>
                </c:pt>
                <c:pt idx="15">
                  <c:v>3.8248073428262499</c:v>
                </c:pt>
                <c:pt idx="16">
                  <c:v>4.0616134894527303</c:v>
                </c:pt>
                <c:pt idx="17">
                  <c:v>4.2152814520024799</c:v>
                </c:pt>
                <c:pt idx="18">
                  <c:v>4.30268684870373</c:v>
                </c:pt>
                <c:pt idx="19">
                  <c:v>4.1742541004347702</c:v>
                </c:pt>
                <c:pt idx="20">
                  <c:v>3.9971061167214899</c:v>
                </c:pt>
                <c:pt idx="21">
                  <c:v>3.7895488946653999</c:v>
                </c:pt>
                <c:pt idx="22">
                  <c:v>3.53740654689333</c:v>
                </c:pt>
                <c:pt idx="23">
                  <c:v>3.4257827057118502</c:v>
                </c:pt>
                <c:pt idx="24">
                  <c:v>3.2743363178687801</c:v>
                </c:pt>
                <c:pt idx="25">
                  <c:v>3.13696487313381</c:v>
                </c:pt>
                <c:pt idx="26">
                  <c:v>2.90705067746313</c:v>
                </c:pt>
                <c:pt idx="27">
                  <c:v>2.7284396494214498</c:v>
                </c:pt>
                <c:pt idx="28">
                  <c:v>2.5500397455263899</c:v>
                </c:pt>
                <c:pt idx="29">
                  <c:v>2.39021876653401</c:v>
                </c:pt>
                <c:pt idx="30">
                  <c:v>2.2299755392483802</c:v>
                </c:pt>
                <c:pt idx="31">
                  <c:v>2.0861999953992298</c:v>
                </c:pt>
                <c:pt idx="32">
                  <c:v>1.97409307354328</c:v>
                </c:pt>
                <c:pt idx="33">
                  <c:v>1.8296841572542599</c:v>
                </c:pt>
                <c:pt idx="34">
                  <c:v>1.73087805663545</c:v>
                </c:pt>
                <c:pt idx="35">
                  <c:v>1.6016700789031699</c:v>
                </c:pt>
                <c:pt idx="36">
                  <c:v>1.5218651514802899</c:v>
                </c:pt>
                <c:pt idx="37">
                  <c:v>1.4344597547790401</c:v>
                </c:pt>
                <c:pt idx="38">
                  <c:v>1.3508545927169799</c:v>
                </c:pt>
                <c:pt idx="39">
                  <c:v>1.22544684962388</c:v>
                </c:pt>
                <c:pt idx="40">
                  <c:v>1.1456419222009999</c:v>
                </c:pt>
                <c:pt idx="41">
                  <c:v>1.0430355869430199</c:v>
                </c:pt>
                <c:pt idx="42">
                  <c:v>0.936629017045847</c:v>
                </c:pt>
                <c:pt idx="43">
                  <c:v>0.87202502817970595</c:v>
                </c:pt>
                <c:pt idx="44">
                  <c:v>0.77036875158151397</c:v>
                </c:pt>
                <c:pt idx="45">
                  <c:v>0.63973568585953799</c:v>
                </c:pt>
                <c:pt idx="46">
                  <c:v>0.54647159408954504</c:v>
                </c:pt>
                <c:pt idx="47">
                  <c:v>0.48858135308596501</c:v>
                </c:pt>
                <c:pt idx="48">
                  <c:v>0.46056325951888499</c:v>
                </c:pt>
                <c:pt idx="49">
                  <c:v>0.46401801828178002</c:v>
                </c:pt>
                <c:pt idx="50">
                  <c:v>0.486819426116889</c:v>
                </c:pt>
                <c:pt idx="51">
                  <c:v>0.535704262611856</c:v>
                </c:pt>
                <c:pt idx="52">
                  <c:v>0.59668075477695603</c:v>
                </c:pt>
                <c:pt idx="53">
                  <c:v>0.66633732833383097</c:v>
                </c:pt>
                <c:pt idx="54">
                  <c:v>0.75379550607173595</c:v>
                </c:pt>
                <c:pt idx="55">
                  <c:v>0.83718954398717904</c:v>
                </c:pt>
                <c:pt idx="56">
                  <c:v>0.92142807848910802</c:v>
                </c:pt>
                <c:pt idx="57">
                  <c:v>1.00731338133468</c:v>
                </c:pt>
                <c:pt idx="58">
                  <c:v>1.0908099652641901</c:v>
                </c:pt>
                <c:pt idx="59">
                  <c:v>1.1768882959009701</c:v>
                </c:pt>
                <c:pt idx="60">
                  <c:v>1.2683895010466699</c:v>
                </c:pt>
                <c:pt idx="61">
                  <c:v>1.3342717506550801</c:v>
                </c:pt>
                <c:pt idx="62">
                  <c:v>1.36263532009845</c:v>
                </c:pt>
                <c:pt idx="63">
                  <c:v>1.33734264733321</c:v>
                </c:pt>
                <c:pt idx="64">
                  <c:v>1.2776137069436</c:v>
                </c:pt>
                <c:pt idx="65">
                  <c:v>1.19953615890217</c:v>
                </c:pt>
                <c:pt idx="66">
                  <c:v>1.1194625280199499</c:v>
                </c:pt>
                <c:pt idx="67">
                  <c:v>1.03474416591207</c:v>
                </c:pt>
                <c:pt idx="68">
                  <c:v>0.96280841122689698</c:v>
                </c:pt>
                <c:pt idx="69">
                  <c:v>0.90760904343752602</c:v>
                </c:pt>
                <c:pt idx="70">
                  <c:v>0.86594465275701005</c:v>
                </c:pt>
                <c:pt idx="71">
                  <c:v>0.83706286949920605</c:v>
                </c:pt>
                <c:pt idx="72">
                  <c:v>0.83402268178785899</c:v>
                </c:pt>
                <c:pt idx="73">
                  <c:v>0.83706286949920605</c:v>
                </c:pt>
                <c:pt idx="74">
                  <c:v>0.85893533108918096</c:v>
                </c:pt>
                <c:pt idx="75">
                  <c:v>0.88791691848902499</c:v>
                </c:pt>
                <c:pt idx="76">
                  <c:v>0.92750845391180203</c:v>
                </c:pt>
                <c:pt idx="77">
                  <c:v>0.96513077683973203</c:v>
                </c:pt>
                <c:pt idx="78">
                  <c:v>1.0285946953141101</c:v>
                </c:pt>
                <c:pt idx="79">
                  <c:v>1.0677371120977199</c:v>
                </c:pt>
                <c:pt idx="80">
                  <c:v>1.09433875457201</c:v>
                </c:pt>
                <c:pt idx="81">
                  <c:v>1.11219985737618</c:v>
                </c:pt>
                <c:pt idx="82">
                  <c:v>1.1152400450875299</c:v>
                </c:pt>
                <c:pt idx="83">
                  <c:v>1.10872535713464</c:v>
                </c:pt>
                <c:pt idx="84">
                  <c:v>1.09026707460145</c:v>
                </c:pt>
                <c:pt idx="85">
                  <c:v>1.06372575331191</c:v>
                </c:pt>
                <c:pt idx="86">
                  <c:v>1.0377152584481599</c:v>
                </c:pt>
                <c:pt idx="87">
                  <c:v>1.01136696494981</c:v>
                </c:pt>
                <c:pt idx="88">
                  <c:v>0.97420911514445097</c:v>
                </c:pt>
                <c:pt idx="89">
                  <c:v>0.95056321072285699</c:v>
                </c:pt>
                <c:pt idx="90">
                  <c:v>0.93282878240666101</c:v>
                </c:pt>
                <c:pt idx="91">
                  <c:v>0.93282878240666101</c:v>
                </c:pt>
                <c:pt idx="92">
                  <c:v>0.93282878240666101</c:v>
                </c:pt>
                <c:pt idx="93">
                  <c:v>0.94368659566147595</c:v>
                </c:pt>
                <c:pt idx="94">
                  <c:v>0.95225220389582799</c:v>
                </c:pt>
                <c:pt idx="95">
                  <c:v>0.97387131650985703</c:v>
                </c:pt>
                <c:pt idx="96">
                  <c:v>0.99363253663361795</c:v>
                </c:pt>
                <c:pt idx="97">
                  <c:v>1.01947413218007</c:v>
                </c:pt>
                <c:pt idx="98">
                  <c:v>1.0327206643509399</c:v>
                </c:pt>
                <c:pt idx="99">
                  <c:v>1.03923535230383</c:v>
                </c:pt>
                <c:pt idx="100">
                  <c:v>1.0468358215822</c:v>
                </c:pt>
                <c:pt idx="101">
                  <c:v>1.0468358215822</c:v>
                </c:pt>
                <c:pt idx="102">
                  <c:v>1.03888987642754</c:v>
                </c:pt>
                <c:pt idx="103">
                  <c:v>1.029101393266</c:v>
                </c:pt>
                <c:pt idx="104">
                  <c:v>1.01812293764169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C5-437E-B9D8-2AA3A7A15BDB}"/>
            </c:ext>
          </c:extLst>
        </c:ser>
        <c:ser>
          <c:idx val="1"/>
          <c:order val="1"/>
          <c:tx>
            <c:strRef>
              <c:f>PDF_CsF!$C$1</c:f>
              <c:strCache>
                <c:ptCount val="1"/>
                <c:pt idx="0">
                  <c:v>Cs-Cs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PDF_CsF!$C$3:$C$82</c:f>
              <c:numCache>
                <c:formatCode>General</c:formatCode>
                <c:ptCount val="80"/>
                <c:pt idx="0">
                  <c:v>3.1839250241939498</c:v>
                </c:pt>
                <c:pt idx="1">
                  <c:v>3.3615069865362699</c:v>
                </c:pt>
                <c:pt idx="2">
                  <c:v>3.4447715580909701</c:v>
                </c:pt>
                <c:pt idx="3">
                  <c:v>3.5036723883257701</c:v>
                </c:pt>
                <c:pt idx="4">
                  <c:v>3.5541588142413199</c:v>
                </c:pt>
                <c:pt idx="5">
                  <c:v>3.60464524015687</c:v>
                </c:pt>
                <c:pt idx="6">
                  <c:v>3.62988845311465</c:v>
                </c:pt>
                <c:pt idx="7">
                  <c:v>3.6685947129832401</c:v>
                </c:pt>
                <c:pt idx="8">
                  <c:v>3.7056180919879802</c:v>
                </c:pt>
                <c:pt idx="9">
                  <c:v>3.73086130494575</c:v>
                </c:pt>
                <c:pt idx="10">
                  <c:v>3.7695675648143401</c:v>
                </c:pt>
                <c:pt idx="11">
                  <c:v>3.8065909438190801</c:v>
                </c:pt>
                <c:pt idx="12">
                  <c:v>3.8402485610961099</c:v>
                </c:pt>
                <c:pt idx="13">
                  <c:v>3.8823205826924001</c:v>
                </c:pt>
                <c:pt idx="14">
                  <c:v>3.91878300140919</c:v>
                </c:pt>
                <c:pt idx="15">
                  <c:v>3.9580502215657298</c:v>
                </c:pt>
                <c:pt idx="16">
                  <c:v>4.0085366474812796</c:v>
                </c:pt>
                <c:pt idx="17">
                  <c:v>4.0674374777160898</c:v>
                </c:pt>
                <c:pt idx="18">
                  <c:v>4.1684103295471902</c:v>
                </c:pt>
                <c:pt idx="19">
                  <c:v>4.3282840116130998</c:v>
                </c:pt>
                <c:pt idx="20">
                  <c:v>4.4629144807212304</c:v>
                </c:pt>
                <c:pt idx="21">
                  <c:v>4.5470585239138099</c:v>
                </c:pt>
                <c:pt idx="22">
                  <c:v>4.6312025671064001</c:v>
                </c:pt>
                <c:pt idx="23">
                  <c:v>4.7069322059797196</c:v>
                </c:pt>
                <c:pt idx="24">
                  <c:v>4.7910762491723098</c:v>
                </c:pt>
                <c:pt idx="25">
                  <c:v>4.8920491010034102</c:v>
                </c:pt>
                <c:pt idx="26">
                  <c:v>4.9930219528345097</c:v>
                </c:pt>
                <c:pt idx="27">
                  <c:v>5.10240920898487</c:v>
                </c:pt>
                <c:pt idx="28">
                  <c:v>5.2258204723339903</c:v>
                </c:pt>
                <c:pt idx="29">
                  <c:v>5.3464269342433601</c:v>
                </c:pt>
                <c:pt idx="30">
                  <c:v>5.4894718076707498</c:v>
                </c:pt>
                <c:pt idx="31">
                  <c:v>5.6409310854174102</c:v>
                </c:pt>
                <c:pt idx="32">
                  <c:v>5.8092191718025701</c:v>
                </c:pt>
                <c:pt idx="33">
                  <c:v>5.9943360668262597</c:v>
                </c:pt>
                <c:pt idx="34">
                  <c:v>6.1794529618499396</c:v>
                </c:pt>
                <c:pt idx="35">
                  <c:v>6.3645698568736302</c:v>
                </c:pt>
                <c:pt idx="36">
                  <c:v>6.5496867518973101</c:v>
                </c:pt>
                <c:pt idx="37">
                  <c:v>6.7348036469209998</c:v>
                </c:pt>
                <c:pt idx="38">
                  <c:v>6.9199205419446796</c:v>
                </c:pt>
                <c:pt idx="39">
                  <c:v>7.1050374369683702</c:v>
                </c:pt>
                <c:pt idx="40">
                  <c:v>7.2817399276727901</c:v>
                </c:pt>
                <c:pt idx="41">
                  <c:v>7.4295930321397599</c:v>
                </c:pt>
                <c:pt idx="42">
                  <c:v>7.6603881220394197</c:v>
                </c:pt>
                <c:pt idx="43">
                  <c:v>7.8455050170631004</c:v>
                </c:pt>
                <c:pt idx="44">
                  <c:v>8.0306219120867901</c:v>
                </c:pt>
                <c:pt idx="45">
                  <c:v>8.2157388071104709</c:v>
                </c:pt>
                <c:pt idx="46">
                  <c:v>8.4008557021341606</c:v>
                </c:pt>
                <c:pt idx="47">
                  <c:v>8.5859725971578396</c:v>
                </c:pt>
                <c:pt idx="48">
                  <c:v>8.7710894921815292</c:v>
                </c:pt>
                <c:pt idx="49">
                  <c:v>8.9393775785667007</c:v>
                </c:pt>
                <c:pt idx="50">
                  <c:v>9.2759537513370294</c:v>
                </c:pt>
                <c:pt idx="51">
                  <c:v>9.4610706463607208</c:v>
                </c:pt>
                <c:pt idx="52">
                  <c:v>9.6461875413843998</c:v>
                </c:pt>
                <c:pt idx="53">
                  <c:v>9.8313044364080895</c:v>
                </c:pt>
                <c:pt idx="54">
                  <c:v>10.016421331431699</c:v>
                </c:pt>
                <c:pt idx="55">
                  <c:v>10.2015382264554</c:v>
                </c:pt>
                <c:pt idx="56">
                  <c:v>10.3866551214791</c:v>
                </c:pt>
                <c:pt idx="57">
                  <c:v>10.5717720165028</c:v>
                </c:pt>
                <c:pt idx="58">
                  <c:v>10.756888911526501</c:v>
                </c:pt>
                <c:pt idx="59">
                  <c:v>10.9420058065501</c:v>
                </c:pt>
                <c:pt idx="60">
                  <c:v>11.107889777415499</c:v>
                </c:pt>
                <c:pt idx="61">
                  <c:v>11.389171293230699</c:v>
                </c:pt>
                <c:pt idx="62">
                  <c:v>11.5646717261753</c:v>
                </c:pt>
                <c:pt idx="63">
                  <c:v>11.749788621199</c:v>
                </c:pt>
                <c:pt idx="64">
                  <c:v>11.934905516222599</c:v>
                </c:pt>
                <c:pt idx="65">
                  <c:v>12.1200224112463</c:v>
                </c:pt>
                <c:pt idx="66">
                  <c:v>12.30513930627</c:v>
                </c:pt>
                <c:pt idx="67">
                  <c:v>12.4902562012937</c:v>
                </c:pt>
                <c:pt idx="68">
                  <c:v>12.675373096317401</c:v>
                </c:pt>
                <c:pt idx="69">
                  <c:v>12.826832374064001</c:v>
                </c:pt>
                <c:pt idx="70">
                  <c:v>13.225915550348899</c:v>
                </c:pt>
                <c:pt idx="71">
                  <c:v>13.415840676412101</c:v>
                </c:pt>
                <c:pt idx="72">
                  <c:v>13.595908928844199</c:v>
                </c:pt>
                <c:pt idx="73">
                  <c:v>13.7860744664595</c:v>
                </c:pt>
                <c:pt idx="74">
                  <c:v>13.9711913614832</c:v>
                </c:pt>
                <c:pt idx="75">
                  <c:v>14.1563082565069</c:v>
                </c:pt>
                <c:pt idx="76">
                  <c:v>14.341425151530499</c:v>
                </c:pt>
                <c:pt idx="77">
                  <c:v>14.5315906891458</c:v>
                </c:pt>
                <c:pt idx="78">
                  <c:v>14.6611725156624</c:v>
                </c:pt>
                <c:pt idx="79">
                  <c:v>14.941142695739501</c:v>
                </c:pt>
              </c:numCache>
            </c:numRef>
          </c:xVal>
          <c:yVal>
            <c:numRef>
              <c:f>PDF_CsF!$D$3:$D$82</c:f>
              <c:numCache>
                <c:formatCode>General</c:formatCode>
                <c:ptCount val="80"/>
                <c:pt idx="0">
                  <c:v>1.77129580639956E-3</c:v>
                </c:pt>
                <c:pt idx="1">
                  <c:v>3.9012163920266199E-2</c:v>
                </c:pt>
                <c:pt idx="2">
                  <c:v>0.122428745600515</c:v>
                </c:pt>
                <c:pt idx="3">
                  <c:v>0.22218490487911499</c:v>
                </c:pt>
                <c:pt idx="4">
                  <c:v>0.33872543381411402</c:v>
                </c:pt>
                <c:pt idx="5">
                  <c:v>0.45304915920958799</c:v>
                </c:pt>
                <c:pt idx="6">
                  <c:v>0.55660555312737203</c:v>
                </c:pt>
                <c:pt idx="7">
                  <c:v>0.66301212302454504</c:v>
                </c:pt>
                <c:pt idx="8">
                  <c:v>0.79982057003519602</c:v>
                </c:pt>
                <c:pt idx="9">
                  <c:v>0.91002737457155303</c:v>
                </c:pt>
                <c:pt idx="10">
                  <c:v>1.01643394446872</c:v>
                </c:pt>
                <c:pt idx="11">
                  <c:v>1.16179291941754</c:v>
                </c:pt>
                <c:pt idx="12">
                  <c:v>1.29309102620137</c:v>
                </c:pt>
                <c:pt idx="13">
                  <c:v>1.4221089922016901</c:v>
                </c:pt>
                <c:pt idx="14">
                  <c:v>1.51553142708165</c:v>
                </c:pt>
                <c:pt idx="15">
                  <c:v>1.63333870089638</c:v>
                </c:pt>
                <c:pt idx="16">
                  <c:v>1.7473457400719199</c:v>
                </c:pt>
                <c:pt idx="17">
                  <c:v>1.8572358583883499</c:v>
                </c:pt>
                <c:pt idx="18">
                  <c:v>1.9536668123576599</c:v>
                </c:pt>
                <c:pt idx="19">
                  <c:v>1.96407427313088</c:v>
                </c:pt>
                <c:pt idx="20">
                  <c:v>1.8752869729244701</c:v>
                </c:pt>
                <c:pt idx="21">
                  <c:v>1.79396195164592</c:v>
                </c:pt>
                <c:pt idx="22">
                  <c:v>1.7027563203054901</c:v>
                </c:pt>
                <c:pt idx="23">
                  <c:v>1.6168710174599099</c:v>
                </c:pt>
                <c:pt idx="24">
                  <c:v>1.5224985239201601</c:v>
                </c:pt>
                <c:pt idx="25">
                  <c:v>1.4287594028202699</c:v>
                </c:pt>
                <c:pt idx="26">
                  <c:v>1.3394538887994201</c:v>
                </c:pt>
                <c:pt idx="27">
                  <c:v>1.2498769294472101</c:v>
                </c:pt>
                <c:pt idx="28">
                  <c:v>1.1659098402766599</c:v>
                </c:pt>
                <c:pt idx="29">
                  <c:v>1.0905385199328199</c:v>
                </c:pt>
                <c:pt idx="30">
                  <c:v>1.0143227030025099</c:v>
                </c:pt>
                <c:pt idx="31">
                  <c:v>0.92987304435396201</c:v>
                </c:pt>
                <c:pt idx="32">
                  <c:v>0.84680528921056997</c:v>
                </c:pt>
                <c:pt idx="33">
                  <c:v>0.76941869292171805</c:v>
                </c:pt>
                <c:pt idx="34">
                  <c:v>0.71586993209684202</c:v>
                </c:pt>
                <c:pt idx="35">
                  <c:v>0.68132234446788897</c:v>
                </c:pt>
                <c:pt idx="36">
                  <c:v>0.67614020632354699</c:v>
                </c:pt>
                <c:pt idx="37">
                  <c:v>0.69583233127205002</c:v>
                </c:pt>
                <c:pt idx="38">
                  <c:v>0.73314372591131804</c:v>
                </c:pt>
                <c:pt idx="39">
                  <c:v>0.79360200426198402</c:v>
                </c:pt>
                <c:pt idx="40">
                  <c:v>0.86746474661268402</c:v>
                </c:pt>
                <c:pt idx="41">
                  <c:v>0.93554323572036502</c:v>
                </c:pt>
                <c:pt idx="42">
                  <c:v>1.05754557374717</c:v>
                </c:pt>
                <c:pt idx="43">
                  <c:v>1.1314774112731301</c:v>
                </c:pt>
                <c:pt idx="44">
                  <c:v>1.1905537861186399</c:v>
                </c:pt>
                <c:pt idx="45">
                  <c:v>1.22026471147954</c:v>
                </c:pt>
                <c:pt idx="46">
                  <c:v>1.22233756673728</c:v>
                </c:pt>
                <c:pt idx="47">
                  <c:v>1.2029909176650599</c:v>
                </c:pt>
                <c:pt idx="48">
                  <c:v>1.1663704747783701</c:v>
                </c:pt>
                <c:pt idx="49">
                  <c:v>1.1236850109523799</c:v>
                </c:pt>
                <c:pt idx="50">
                  <c:v>1.0281801242625599</c:v>
                </c:pt>
                <c:pt idx="51">
                  <c:v>0.98361373622122095</c:v>
                </c:pt>
                <c:pt idx="52">
                  <c:v>0.94630234158195303</c:v>
                </c:pt>
                <c:pt idx="53">
                  <c:v>0.91140927807671102</c:v>
                </c:pt>
                <c:pt idx="54">
                  <c:v>0.88929882199418198</c:v>
                </c:pt>
                <c:pt idx="55">
                  <c:v>0.87893454570549601</c:v>
                </c:pt>
                <c:pt idx="56">
                  <c:v>0.87582526281889095</c:v>
                </c:pt>
                <c:pt idx="57">
                  <c:v>0.886535014983866</c:v>
                </c:pt>
                <c:pt idx="58">
                  <c:v>0.90208142941689395</c:v>
                </c:pt>
                <c:pt idx="59">
                  <c:v>0.92557378900458098</c:v>
                </c:pt>
                <c:pt idx="60">
                  <c:v>0.94911550228888197</c:v>
                </c:pt>
                <c:pt idx="61">
                  <c:v>1.00557613121391</c:v>
                </c:pt>
                <c:pt idx="62">
                  <c:v>1.0302529795202999</c:v>
                </c:pt>
                <c:pt idx="63">
                  <c:v>1.0537453391079901</c:v>
                </c:pt>
                <c:pt idx="64">
                  <c:v>1.07171008467504</c:v>
                </c:pt>
                <c:pt idx="65">
                  <c:v>1.0806924574585699</c:v>
                </c:pt>
                <c:pt idx="66">
                  <c:v>1.0810379333348601</c:v>
                </c:pt>
                <c:pt idx="67">
                  <c:v>1.0730919881801999</c:v>
                </c:pt>
                <c:pt idx="68">
                  <c:v>1.06169128426265</c:v>
                </c:pt>
                <c:pt idx="69">
                  <c:v>1.0487359389017901</c:v>
                </c:pt>
                <c:pt idx="70">
                  <c:v>0.99797566193554299</c:v>
                </c:pt>
                <c:pt idx="71">
                  <c:v>0.982774723378804</c:v>
                </c:pt>
                <c:pt idx="72">
                  <c:v>0.96969105840675396</c:v>
                </c:pt>
                <c:pt idx="73">
                  <c:v>0.95701209374692797</c:v>
                </c:pt>
                <c:pt idx="74">
                  <c:v>0.94872067271598004</c:v>
                </c:pt>
                <c:pt idx="75">
                  <c:v>0.94561138982937398</c:v>
                </c:pt>
                <c:pt idx="76">
                  <c:v>0.94802972096340099</c:v>
                </c:pt>
                <c:pt idx="77">
                  <c:v>0.95335004945825996</c:v>
                </c:pt>
                <c:pt idx="78">
                  <c:v>0.95563019024177098</c:v>
                </c:pt>
                <c:pt idx="79">
                  <c:v>0.98499563972637905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C5-437E-B9D8-2AA3A7A15BDB}"/>
            </c:ext>
          </c:extLst>
        </c:ser>
        <c:ser>
          <c:idx val="2"/>
          <c:order val="2"/>
          <c:tx>
            <c:v>U(r)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PDF_CsF!$A$3:$A$107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PDF_CsF!$I$3:$I$107</c:f>
              <c:numCache>
                <c:formatCode>0.00E+00</c:formatCode>
                <c:ptCount val="105"/>
                <c:pt idx="0">
                  <c:v>-12.382123825784724</c:v>
                </c:pt>
                <c:pt idx="1">
                  <c:v>-9.0854123141082095</c:v>
                </c:pt>
                <c:pt idx="2">
                  <c:v>-7.6337163728014588</c:v>
                </c:pt>
                <c:pt idx="3">
                  <c:v>-6.7078072407092737</c:v>
                </c:pt>
                <c:pt idx="4">
                  <c:v>-5.9003587168513025</c:v>
                </c:pt>
                <c:pt idx="5">
                  <c:v>-5.9003587168513025</c:v>
                </c:pt>
                <c:pt idx="6">
                  <c:v>-5.1953225020285059</c:v>
                </c:pt>
                <c:pt idx="7">
                  <c:v>-4.5789496231316491</c:v>
                </c:pt>
                <c:pt idx="8">
                  <c:v>-4.0959205231153177</c:v>
                </c:pt>
                <c:pt idx="9">
                  <c:v>-3.8748937739913276</c:v>
                </c:pt>
                <c:pt idx="10">
                  <c:v>-3.5666650211680881</c:v>
                </c:pt>
                <c:pt idx="11">
                  <c:v>-3.2841913504899161</c:v>
                </c:pt>
                <c:pt idx="12">
                  <c:v>-2.7876042565812056</c:v>
                </c:pt>
                <c:pt idx="13">
                  <c:v>-2.4673141202854003</c:v>
                </c:pt>
                <c:pt idx="14">
                  <c:v>-2.1854136199378269</c:v>
                </c:pt>
                <c:pt idx="15">
                  <c:v>-1.9631257382865295</c:v>
                </c:pt>
                <c:pt idx="16">
                  <c:v>-1.6909429600016235</c:v>
                </c:pt>
                <c:pt idx="17">
                  <c:v>-1.5334177077154001</c:v>
                </c:pt>
                <c:pt idx="18">
                  <c:v>-1.2027620454401213</c:v>
                </c:pt>
                <c:pt idx="19">
                  <c:v>-0.91115395411591182</c:v>
                </c:pt>
                <c:pt idx="20">
                  <c:v>-0.77274550678155018</c:v>
                </c:pt>
                <c:pt idx="21">
                  <c:v>-0.66425242712335175</c:v>
                </c:pt>
                <c:pt idx="22">
                  <c:v>-0.5566331004858891</c:v>
                </c:pt>
                <c:pt idx="23">
                  <c:v>-0.53078097949669767</c:v>
                </c:pt>
                <c:pt idx="24">
                  <c:v>-0.47875425266291227</c:v>
                </c:pt>
                <c:pt idx="25">
                  <c:v>-0.42084090163470717</c:v>
                </c:pt>
                <c:pt idx="26">
                  <c:v>-0.37471245633378425</c:v>
                </c:pt>
                <c:pt idx="27">
                  <c:v>-0.33359572776137547</c:v>
                </c:pt>
                <c:pt idx="28">
                  <c:v>-0.30079729108787673</c:v>
                </c:pt>
                <c:pt idx="29">
                  <c:v>-0.26420742966298882</c:v>
                </c:pt>
                <c:pt idx="30">
                  <c:v>-0.23808354807803453</c:v>
                </c:pt>
                <c:pt idx="31">
                  <c:v>-0.20891340301280198</c:v>
                </c:pt>
                <c:pt idx="32">
                  <c:v>-0.18560721733400273</c:v>
                </c:pt>
                <c:pt idx="33">
                  <c:v>-0.16477673798421538</c:v>
                </c:pt>
                <c:pt idx="34">
                  <c:v>-0.14615286471170216</c:v>
                </c:pt>
                <c:pt idx="35">
                  <c:v>-0.12949701898123694</c:v>
                </c:pt>
                <c:pt idx="36">
                  <c:v>-0.11938092504228738</c:v>
                </c:pt>
                <c:pt idx="37">
                  <c:v>-0.10126636834203608</c:v>
                </c:pt>
                <c:pt idx="38">
                  <c:v>-9.3166973078993146E-2</c:v>
                </c:pt>
                <c:pt idx="39">
                  <c:v>-7.5355540093969775E-2</c:v>
                </c:pt>
                <c:pt idx="40">
                  <c:v>-6.329572078723715E-2</c:v>
                </c:pt>
                <c:pt idx="41">
                  <c:v>-5.0524309564134874E-2</c:v>
                </c:pt>
                <c:pt idx="42">
                  <c:v>-3.8013977801185879E-2</c:v>
                </c:pt>
                <c:pt idx="43">
                  <c:v>-3.1094963467343587E-2</c:v>
                </c:pt>
                <c:pt idx="44">
                  <c:v>-1.8838944296511301E-2</c:v>
                </c:pt>
                <c:pt idx="45">
                  <c:v>-5.1489801463014667E-3</c:v>
                </c:pt>
                <c:pt idx="46">
                  <c:v>2.4219973464906525E-3</c:v>
                </c:pt>
                <c:pt idx="47">
                  <c:v>6.3210513144146647E-3</c:v>
                </c:pt>
                <c:pt idx="48">
                  <c:v>7.6931120509721573E-3</c:v>
                </c:pt>
                <c:pt idx="49">
                  <c:v>7.5524336721833124E-3</c:v>
                </c:pt>
                <c:pt idx="50">
                  <c:v>6.8397999418252087E-3</c:v>
                </c:pt>
                <c:pt idx="51">
                  <c:v>5.9334306446729929E-3</c:v>
                </c:pt>
                <c:pt idx="52">
                  <c:v>5.085670502690434E-3</c:v>
                </c:pt>
                <c:pt idx="53">
                  <c:v>4.3803483956651795E-3</c:v>
                </c:pt>
                <c:pt idx="54">
                  <c:v>3.7865382729361974E-3</c:v>
                </c:pt>
                <c:pt idx="55">
                  <c:v>3.3245338074263161E-3</c:v>
                </c:pt>
                <c:pt idx="56">
                  <c:v>2.9490560370570669E-3</c:v>
                </c:pt>
                <c:pt idx="57">
                  <c:v>2.6152175882330582E-3</c:v>
                </c:pt>
                <c:pt idx="58">
                  <c:v>2.3477255944514427E-3</c:v>
                </c:pt>
                <c:pt idx="59">
                  <c:v>2.0698405311774192E-3</c:v>
                </c:pt>
                <c:pt idx="60">
                  <c:v>1.7852669245044096E-3</c:v>
                </c:pt>
                <c:pt idx="61">
                  <c:v>1.5197853401575333E-3</c:v>
                </c:pt>
                <c:pt idx="62">
                  <c:v>1.2820816387223515E-3</c:v>
                </c:pt>
                <c:pt idx="63">
                  <c:v>1.0913176151330143E-3</c:v>
                </c:pt>
                <c:pt idx="64">
                  <c:v>9.3395187580819043E-4</c:v>
                </c:pt>
                <c:pt idx="65">
                  <c:v>7.9938691262926222E-4</c:v>
                </c:pt>
                <c:pt idx="66">
                  <c:v>6.9598092229902742E-4</c:v>
                </c:pt>
                <c:pt idx="67">
                  <c:v>5.9950453486714E-4</c:v>
                </c:pt>
                <c:pt idx="68">
                  <c:v>5.1431433451408926E-4</c:v>
                </c:pt>
                <c:pt idx="69">
                  <c:v>4.4912341570551602E-4</c:v>
                </c:pt>
                <c:pt idx="70">
                  <c:v>3.8956247632825796E-4</c:v>
                </c:pt>
                <c:pt idx="71">
                  <c:v>3.360395181715958E-4</c:v>
                </c:pt>
                <c:pt idx="72">
                  <c:v>3.1268705421827692E-4</c:v>
                </c:pt>
                <c:pt idx="73">
                  <c:v>2.3821587262017437E-4</c:v>
                </c:pt>
                <c:pt idx="74">
                  <c:v>2.0780548547603991E-4</c:v>
                </c:pt>
                <c:pt idx="75">
                  <c:v>1.8519673435060571E-4</c:v>
                </c:pt>
                <c:pt idx="76">
                  <c:v>1.6453177798356162E-4</c:v>
                </c:pt>
                <c:pt idx="77">
                  <c:v>1.4752613443347193E-4</c:v>
                </c:pt>
                <c:pt idx="78">
                  <c:v>1.2429346172789662E-4</c:v>
                </c:pt>
                <c:pt idx="79">
                  <c:v>1.1033054608740012E-4</c:v>
                </c:pt>
                <c:pt idx="80">
                  <c:v>9.9429095587525565E-5</c:v>
                </c:pt>
                <c:pt idx="81">
                  <c:v>8.8656150522108842E-5</c:v>
                </c:pt>
                <c:pt idx="82">
                  <c:v>7.9662351263173534E-5</c:v>
                </c:pt>
                <c:pt idx="83">
                  <c:v>7.1840924659708275E-5</c:v>
                </c:pt>
                <c:pt idx="84">
                  <c:v>6.4812450928524015E-5</c:v>
                </c:pt>
                <c:pt idx="85">
                  <c:v>5.7906060115193704E-5</c:v>
                </c:pt>
                <c:pt idx="86">
                  <c:v>5.234389456843474E-5</c:v>
                </c:pt>
                <c:pt idx="87">
                  <c:v>4.7777160509018105E-5</c:v>
                </c:pt>
                <c:pt idx="88">
                  <c:v>4.1217108297221378E-5</c:v>
                </c:pt>
                <c:pt idx="89">
                  <c:v>3.6591687855535933E-5</c:v>
                </c:pt>
                <c:pt idx="90">
                  <c:v>3.2048876810180351E-5</c:v>
                </c:pt>
                <c:pt idx="91">
                  <c:v>2.9860678844069992E-5</c:v>
                </c:pt>
                <c:pt idx="92">
                  <c:v>2.6217892489870507E-5</c:v>
                </c:pt>
                <c:pt idx="93">
                  <c:v>2.3994477881773159E-5</c:v>
                </c:pt>
                <c:pt idx="94">
                  <c:v>2.2047765128368582E-5</c:v>
                </c:pt>
                <c:pt idx="95">
                  <c:v>1.9709279467531084E-5</c:v>
                </c:pt>
                <c:pt idx="96">
                  <c:v>1.8393667409064017E-5</c:v>
                </c:pt>
                <c:pt idx="97">
                  <c:v>1.5890757670483596E-5</c:v>
                </c:pt>
                <c:pt idx="98">
                  <c:v>1.4607294984619863E-5</c:v>
                </c:pt>
                <c:pt idx="99">
                  <c:v>1.3607051855841434E-5</c:v>
                </c:pt>
                <c:pt idx="100">
                  <c:v>1.2302606997459617E-5</c:v>
                </c:pt>
                <c:pt idx="101">
                  <c:v>1.1541009961331307E-5</c:v>
                </c:pt>
                <c:pt idx="102">
                  <c:v>1.0462850173190388E-5</c:v>
                </c:pt>
                <c:pt idx="103">
                  <c:v>9.6423371196524911E-6</c:v>
                </c:pt>
                <c:pt idx="104">
                  <c:v>8.9900762661049243E-6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C5-437E-B9D8-2AA3A7A15BDB}"/>
            </c:ext>
          </c:extLst>
        </c:ser>
        <c:ser>
          <c:idx val="3"/>
          <c:order val="3"/>
          <c:tx>
            <c:v>LJ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PDF_CsF!$A$3:$A$107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PDF_CsF!$G$3:$G$107</c:f>
              <c:numCache>
                <c:formatCode>General</c:formatCode>
                <c:ptCount val="105"/>
                <c:pt idx="0">
                  <c:v>11.982700476565862</c:v>
                </c:pt>
                <c:pt idx="1">
                  <c:v>8.7923344975240738</c:v>
                </c:pt>
                <c:pt idx="2">
                  <c:v>7.3874674575497981</c:v>
                </c:pt>
                <c:pt idx="3">
                  <c:v>6.4914263619767167</c:v>
                </c:pt>
                <c:pt idx="4">
                  <c:v>5.7100245646948089</c:v>
                </c:pt>
                <c:pt idx="5">
                  <c:v>5.7100245646948089</c:v>
                </c:pt>
                <c:pt idx="6">
                  <c:v>5.0277314535759734</c:v>
                </c:pt>
                <c:pt idx="7">
                  <c:v>4.4312415707725634</c:v>
                </c:pt>
                <c:pt idx="8">
                  <c:v>3.9637940546277268</c:v>
                </c:pt>
                <c:pt idx="9">
                  <c:v>3.7498972006367688</c:v>
                </c:pt>
                <c:pt idx="10">
                  <c:v>3.4516113108078272</c:v>
                </c:pt>
                <c:pt idx="11">
                  <c:v>3.1782496940224996</c:v>
                </c:pt>
                <c:pt idx="12">
                  <c:v>2.697681538626973</c:v>
                </c:pt>
                <c:pt idx="13">
                  <c:v>2.3877233422116775</c:v>
                </c:pt>
                <c:pt idx="14">
                  <c:v>2.1149164063914454</c:v>
                </c:pt>
                <c:pt idx="15">
                  <c:v>1.899799101567609</c:v>
                </c:pt>
                <c:pt idx="16">
                  <c:v>1.636396412904797</c:v>
                </c:pt>
                <c:pt idx="17">
                  <c:v>1.483952620369742</c:v>
                </c:pt>
                <c:pt idx="18">
                  <c:v>1.1639632697807625</c:v>
                </c:pt>
                <c:pt idx="19">
                  <c:v>0.88176189107991465</c:v>
                </c:pt>
                <c:pt idx="20">
                  <c:v>0.74781823236924205</c:v>
                </c:pt>
                <c:pt idx="21">
                  <c:v>0.64282492947421133</c:v>
                </c:pt>
                <c:pt idx="22">
                  <c:v>0.53867719401860237</c:v>
                </c:pt>
                <c:pt idx="23">
                  <c:v>0.51365901241615908</c:v>
                </c:pt>
                <c:pt idx="24">
                  <c:v>0.46331056709314089</c:v>
                </c:pt>
                <c:pt idx="25">
                  <c:v>0.40726538867874884</c:v>
                </c:pt>
                <c:pt idx="26">
                  <c:v>0.3626249577423718</c:v>
                </c:pt>
                <c:pt idx="27">
                  <c:v>0.32283457525294401</c:v>
                </c:pt>
                <c:pt idx="28">
                  <c:v>0.29109415266568711</c:v>
                </c:pt>
                <c:pt idx="29">
                  <c:v>0.25568460935127951</c:v>
                </c:pt>
                <c:pt idx="30">
                  <c:v>0.23040343362390439</c:v>
                </c:pt>
                <c:pt idx="31">
                  <c:v>0.20217426098013094</c:v>
                </c:pt>
                <c:pt idx="32">
                  <c:v>0.17961988774258328</c:v>
                </c:pt>
                <c:pt idx="33">
                  <c:v>0.15946135933956326</c:v>
                </c:pt>
                <c:pt idx="34">
                  <c:v>0.14143825617261499</c:v>
                </c:pt>
                <c:pt idx="35">
                  <c:v>0.12531969578829383</c:v>
                </c:pt>
                <c:pt idx="36">
                  <c:v>0.11552992746027811</c:v>
                </c:pt>
                <c:pt idx="37">
                  <c:v>9.7999711298744588E-2</c:v>
                </c:pt>
                <c:pt idx="38">
                  <c:v>9.016158685063852E-2</c:v>
                </c:pt>
                <c:pt idx="39">
                  <c:v>7.292471621997075E-2</c:v>
                </c:pt>
                <c:pt idx="40">
                  <c:v>6.1253923342487561E-2</c:v>
                </c:pt>
                <c:pt idx="41">
                  <c:v>4.8894493126582138E-2</c:v>
                </c:pt>
                <c:pt idx="42">
                  <c:v>3.6787720452760526E-2</c:v>
                </c:pt>
                <c:pt idx="43">
                  <c:v>3.0091900129687342E-2</c:v>
                </c:pt>
                <c:pt idx="44">
                  <c:v>1.8231236415978676E-2</c:v>
                </c:pt>
                <c:pt idx="45">
                  <c:v>4.9828840125498066E-3</c:v>
                </c:pt>
                <c:pt idx="46">
                  <c:v>-2.343868399829664E-3</c:v>
                </c:pt>
                <c:pt idx="47">
                  <c:v>-6.1171464333045142E-3</c:v>
                </c:pt>
                <c:pt idx="48">
                  <c:v>-7.4449471461020874E-3</c:v>
                </c:pt>
                <c:pt idx="49">
                  <c:v>-7.3088067795322375E-3</c:v>
                </c:pt>
                <c:pt idx="50">
                  <c:v>-6.6191612340243955E-3</c:v>
                </c:pt>
                <c:pt idx="51">
                  <c:v>-5.7420296561351541E-3</c:v>
                </c:pt>
                <c:pt idx="52">
                  <c:v>-4.9216166155068714E-3</c:v>
                </c:pt>
                <c:pt idx="53">
                  <c:v>-4.2390468345146898E-3</c:v>
                </c:pt>
                <c:pt idx="54">
                  <c:v>-3.6643918770350296E-3</c:v>
                </c:pt>
                <c:pt idx="55">
                  <c:v>-3.2172907813803058E-3</c:v>
                </c:pt>
                <c:pt idx="56">
                  <c:v>-2.8539251971519998E-3</c:v>
                </c:pt>
                <c:pt idx="57">
                  <c:v>-2.5308557305481205E-3</c:v>
                </c:pt>
                <c:pt idx="58">
                  <c:v>-2.2719925107594604E-3</c:v>
                </c:pt>
                <c:pt idx="59">
                  <c:v>-2.0030714817845991E-3</c:v>
                </c:pt>
                <c:pt idx="60">
                  <c:v>-1.7276776688752351E-3</c:v>
                </c:pt>
                <c:pt idx="61">
                  <c:v>-1.4707600066040645E-3</c:v>
                </c:pt>
                <c:pt idx="62">
                  <c:v>-1.2407241665055016E-3</c:v>
                </c:pt>
                <c:pt idx="63">
                  <c:v>-1.0561138210964654E-3</c:v>
                </c:pt>
                <c:pt idx="64">
                  <c:v>-9.0382439594341002E-4</c:v>
                </c:pt>
                <c:pt idx="65">
                  <c:v>-7.7360023802831824E-4</c:v>
                </c:pt>
                <c:pt idx="66">
                  <c:v>-6.7352992480551035E-4</c:v>
                </c:pt>
                <c:pt idx="67">
                  <c:v>-5.8016567890368381E-4</c:v>
                </c:pt>
                <c:pt idx="68">
                  <c:v>-4.9772354952976375E-4</c:v>
                </c:pt>
                <c:pt idx="69">
                  <c:v>-4.3463556358598322E-4</c:v>
                </c:pt>
                <c:pt idx="70">
                  <c:v>-3.7699594483379798E-4</c:v>
                </c:pt>
                <c:pt idx="71">
                  <c:v>-3.2519953371444756E-4</c:v>
                </c:pt>
                <c:pt idx="72">
                  <c:v>-3.026003750499454E-4</c:v>
                </c:pt>
                <c:pt idx="73">
                  <c:v>-2.305314896324268E-4</c:v>
                </c:pt>
                <c:pt idx="74">
                  <c:v>-2.0110208271874831E-4</c:v>
                </c:pt>
                <c:pt idx="75">
                  <c:v>-1.7922264614574746E-4</c:v>
                </c:pt>
                <c:pt idx="76">
                  <c:v>-1.5922430127441448E-4</c:v>
                </c:pt>
                <c:pt idx="77">
                  <c:v>-1.4276722687110187E-4</c:v>
                </c:pt>
                <c:pt idx="78">
                  <c:v>-1.2028399522054512E-4</c:v>
                </c:pt>
                <c:pt idx="79">
                  <c:v>-1.0677149621361302E-4</c:v>
                </c:pt>
                <c:pt idx="80">
                  <c:v>-9.6221705407282797E-5</c:v>
                </c:pt>
                <c:pt idx="81">
                  <c:v>-8.5796274698815008E-5</c:v>
                </c:pt>
                <c:pt idx="82">
                  <c:v>-7.7092597996619548E-5</c:v>
                </c:pt>
                <c:pt idx="83">
                  <c:v>-6.9523475477137038E-5</c:v>
                </c:pt>
                <c:pt idx="84">
                  <c:v>-6.2721726705023236E-5</c:v>
                </c:pt>
                <c:pt idx="85">
                  <c:v>-5.6038122692122935E-5</c:v>
                </c:pt>
                <c:pt idx="86">
                  <c:v>-5.0655381840420714E-5</c:v>
                </c:pt>
                <c:pt idx="87">
                  <c:v>-4.6235961782920741E-5</c:v>
                </c:pt>
                <c:pt idx="88">
                  <c:v>-3.9887524158601335E-5</c:v>
                </c:pt>
                <c:pt idx="89">
                  <c:v>-3.5411310827937997E-5</c:v>
                </c:pt>
                <c:pt idx="90">
                  <c:v>-3.1015042074368078E-5</c:v>
                </c:pt>
                <c:pt idx="91">
                  <c:v>-2.8897431139422572E-5</c:v>
                </c:pt>
                <c:pt idx="92">
                  <c:v>-2.537215402245533E-5</c:v>
                </c:pt>
                <c:pt idx="93">
                  <c:v>-2.3220462466232089E-5</c:v>
                </c:pt>
                <c:pt idx="94">
                  <c:v>-2.133654689842121E-5</c:v>
                </c:pt>
                <c:pt idx="95">
                  <c:v>-1.907349625890105E-5</c:v>
                </c:pt>
                <c:pt idx="96">
                  <c:v>-1.7800323299094211E-5</c:v>
                </c:pt>
                <c:pt idx="97">
                  <c:v>-1.5378152584338963E-5</c:v>
                </c:pt>
                <c:pt idx="98">
                  <c:v>-1.4136091920599867E-5</c:v>
                </c:pt>
                <c:pt idx="99">
                  <c:v>-1.3168114699201388E-5</c:v>
                </c:pt>
                <c:pt idx="100">
                  <c:v>-1.1905748707218983E-5</c:v>
                </c:pt>
                <c:pt idx="101">
                  <c:v>-1.1168719317417393E-5</c:v>
                </c:pt>
                <c:pt idx="102">
                  <c:v>-1.0125338877281021E-5</c:v>
                </c:pt>
                <c:pt idx="103">
                  <c:v>-9.3312939867604754E-6</c:v>
                </c:pt>
                <c:pt idx="104">
                  <c:v>-8.700073805907991E-6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C5-437E-B9D8-2AA3A7A1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41631"/>
        <c:axId val="167051119"/>
      </c:scatterChart>
      <c:valAx>
        <c:axId val="16704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1119"/>
        <c:crosses val="autoZero"/>
        <c:crossBetween val="midCat"/>
      </c:valAx>
      <c:valAx>
        <c:axId val="1670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</a:t>
                </a:r>
                <a:r>
                  <a:rPr lang="en-US" baseline="-25000"/>
                  <a:t>weighted</a:t>
                </a:r>
                <a:r>
                  <a:rPr lang="en-US"/>
                  <a:t>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41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0266841644797"/>
          <c:y val="0.12094852726742493"/>
          <c:w val="0.11656646459015632"/>
          <c:h val="0.3125021872265967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6</xdr:row>
      <xdr:rowOff>90487</xdr:rowOff>
    </xdr:from>
    <xdr:to>
      <xdr:col>16</xdr:col>
      <xdr:colOff>457200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B3EF8-3AF0-4ED4-BA69-272F21A83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285750</xdr:colOff>
      <xdr:row>7</xdr:row>
      <xdr:rowOff>0</xdr:rowOff>
    </xdr:from>
    <xdr:to>
      <xdr:col>25</xdr:col>
      <xdr:colOff>405603</xdr:colOff>
      <xdr:row>23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AB214F-CA37-47F6-9F10-AD35AA18D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350" y="1333500"/>
          <a:ext cx="4510878" cy="3133725"/>
        </a:xfrm>
        <a:prstGeom prst="rect">
          <a:avLst/>
        </a:prstGeom>
      </xdr:spPr>
    </xdr:pic>
    <xdr:clientData/>
  </xdr:twoCellAnchor>
  <xdr:twoCellAnchor editAs="oneCell">
    <xdr:from>
      <xdr:col>18</xdr:col>
      <xdr:colOff>387650</xdr:colOff>
      <xdr:row>23</xdr:row>
      <xdr:rowOff>152400</xdr:rowOff>
    </xdr:from>
    <xdr:to>
      <xdr:col>24</xdr:col>
      <xdr:colOff>448304</xdr:colOff>
      <xdr:row>36</xdr:row>
      <xdr:rowOff>67067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0D6548-EF1C-44A5-8004-1420815D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1750" y="4533900"/>
          <a:ext cx="3842079" cy="2391167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485776</xdr:colOff>
      <xdr:row>26</xdr:row>
      <xdr:rowOff>122376</xdr:rowOff>
    </xdr:from>
    <xdr:to>
      <xdr:col>18</xdr:col>
      <xdr:colOff>314326</xdr:colOff>
      <xdr:row>36</xdr:row>
      <xdr:rowOff>47932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385D65-20A0-41F4-A1B8-11F28A67D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1776" y="5075376"/>
          <a:ext cx="3867150" cy="18305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7"/>
  <sheetViews>
    <sheetView tabSelected="1" workbookViewId="0">
      <selection activeCell="N6" sqref="N6"/>
    </sheetView>
  </sheetViews>
  <sheetFormatPr defaultRowHeight="15" x14ac:dyDescent="0.25"/>
  <cols>
    <col min="11" max="11" width="12" bestFit="1" customWidth="1"/>
    <col min="12" max="12" width="12.7109375" bestFit="1" customWidth="1"/>
    <col min="15" max="16" width="12" bestFit="1" customWidth="1"/>
    <col min="22" max="22" width="11" bestFit="1" customWidth="1"/>
  </cols>
  <sheetData>
    <row r="1" spans="1:24" x14ac:dyDescent="0.25">
      <c r="A1" t="s">
        <v>0</v>
      </c>
      <c r="C1" t="s">
        <v>1</v>
      </c>
      <c r="E1" t="s">
        <v>2</v>
      </c>
      <c r="G1" t="s">
        <v>0</v>
      </c>
      <c r="J1" t="s">
        <v>29</v>
      </c>
      <c r="O1" t="s">
        <v>27</v>
      </c>
      <c r="P1" t="s">
        <v>27</v>
      </c>
      <c r="Q1" t="s">
        <v>12</v>
      </c>
      <c r="R1" t="s">
        <v>15</v>
      </c>
      <c r="S1" t="s">
        <v>17</v>
      </c>
      <c r="T1" t="s">
        <v>19</v>
      </c>
      <c r="U1" t="s">
        <v>21</v>
      </c>
      <c r="V1" t="s">
        <v>22</v>
      </c>
    </row>
    <row r="2" spans="1:24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33</v>
      </c>
      <c r="H2" s="1" t="s">
        <v>34</v>
      </c>
      <c r="I2" s="1" t="s">
        <v>5</v>
      </c>
      <c r="J2" t="s">
        <v>28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26</v>
      </c>
      <c r="Q2" t="s">
        <v>11</v>
      </c>
      <c r="R2" t="s">
        <v>14</v>
      </c>
      <c r="S2" t="s">
        <v>16</v>
      </c>
      <c r="T2" t="s">
        <v>18</v>
      </c>
      <c r="U2" t="s">
        <v>20</v>
      </c>
      <c r="V2" t="s">
        <v>23</v>
      </c>
      <c r="W2" t="s">
        <v>24</v>
      </c>
      <c r="X2" t="s">
        <v>25</v>
      </c>
    </row>
    <row r="3" spans="1:24" x14ac:dyDescent="0.25">
      <c r="A3">
        <v>2.3172413793103401</v>
      </c>
      <c r="B3">
        <v>3.0273055600285401E-2</v>
      </c>
      <c r="C3">
        <v>3.1839250241939498</v>
      </c>
      <c r="D3">
        <v>1.77129580639956E-3</v>
      </c>
      <c r="E3">
        <v>2.7632048082310399</v>
      </c>
      <c r="F3">
        <v>1.7663186115718099E-2</v>
      </c>
      <c r="G3">
        <f>4*$L$4*(($K$3/(A3*0.0000000001))^12-($K$3/(A3*0.0000000001))^6)</f>
        <v>11.982700476565862</v>
      </c>
      <c r="H3" s="2"/>
      <c r="I3" s="2">
        <f>4*$L$3*(($K$3/(A3*0.0000000001))^12-($K$3/(A3*0.0000000001))^6)+($M$3*$N$3*$Q$3^2)/(4*PI()*$R$3*(A3*0.0000000001))*EXP(-(A3*0.0000000001)/$O$3)</f>
        <v>-12.382123825784724</v>
      </c>
      <c r="J3">
        <v>7.7499999999999999E-3</v>
      </c>
      <c r="K3">
        <f>P3/(2^(1/6))</f>
        <v>3.8332581980694494E-10</v>
      </c>
      <c r="L3">
        <f>(J3-L6)/(4*((K3/P3)^12-(K3/P3)^6))</f>
        <v>-7.7499999999999999E-3</v>
      </c>
      <c r="M3">
        <v>1</v>
      </c>
      <c r="N3">
        <v>-1</v>
      </c>
      <c r="O3">
        <f>SQRT((R3*S3*T3)/(2*U3*Q3^2*V3))</f>
        <v>2.145388817672526E-11</v>
      </c>
      <c r="P3">
        <f>MAX(B3:B107)*0.0000000001</f>
        <v>4.3026868487037303E-10</v>
      </c>
      <c r="Q3" s="2">
        <v>1.602E-19</v>
      </c>
      <c r="R3" s="2">
        <v>8.8539999999999992E-12</v>
      </c>
      <c r="S3" s="2">
        <v>1.3809999999999999E-23</v>
      </c>
      <c r="T3" s="2">
        <v>1273</v>
      </c>
      <c r="U3" s="2">
        <v>6.0220000000000003E+23</v>
      </c>
      <c r="V3" s="2">
        <f>1/2*(W3*M3^2+X3*N3^2)</f>
        <v>10940.919037199124</v>
      </c>
      <c r="W3" s="2">
        <f>(1/0.0000457)/2</f>
        <v>10940.919037199124</v>
      </c>
      <c r="X3" s="2">
        <f>(1/0.0000457)/2</f>
        <v>10940.919037199124</v>
      </c>
    </row>
    <row r="4" spans="1:24" x14ac:dyDescent="0.25">
      <c r="A4">
        <v>2.3761422095451499</v>
      </c>
      <c r="B4">
        <v>0.13857974281704999</v>
      </c>
      <c r="C4">
        <v>3.3615069865362699</v>
      </c>
      <c r="D4">
        <v>3.9012163920266199E-2</v>
      </c>
      <c r="E4">
        <v>2.9483217032547202</v>
      </c>
      <c r="F4">
        <v>5.6011008383855199E-2</v>
      </c>
      <c r="G4">
        <f t="shared" ref="G4:G67" si="0">4*$L$4*(($K$3/(A4*0.0000000001))^12-($K$3/(A4*0.0000000001))^6)</f>
        <v>8.7923344975240738</v>
      </c>
      <c r="H4" s="2"/>
      <c r="I4" s="2">
        <f>4*$L$3*(($K$3/(A4*0.0000000001))^12-($K$3/(A4*0.0000000001))^6)+($M$3*$N$3*$Q$3^2)/(4*PI()*$R$3*(A4*0.0000000001))*EXP(-(A4*0.0000000001)/$O$3)</f>
        <v>-9.0854123141082095</v>
      </c>
      <c r="L4">
        <v>7.4999999999999997E-3</v>
      </c>
    </row>
    <row r="5" spans="1:24" x14ac:dyDescent="0.25">
      <c r="A5">
        <v>2.4097998268221801</v>
      </c>
      <c r="B5">
        <v>0.27918842446688602</v>
      </c>
      <c r="C5">
        <v>3.4447715580909701</v>
      </c>
      <c r="D5">
        <v>0.122428745600515</v>
      </c>
      <c r="E5">
        <v>3.0997809810013699</v>
      </c>
      <c r="F5">
        <v>0.134236617515125</v>
      </c>
      <c r="G5">
        <f t="shared" si="0"/>
        <v>7.3874674575497981</v>
      </c>
      <c r="H5" s="2"/>
      <c r="I5" s="2">
        <f>4*$L$3*(($K$3/(A5*0.0000000001))^12-($K$3/(A5*0.0000000001))^6)+($M$3*$N$3*$Q$3^2)/(4*PI()*$R$3*(A5*0.0000000001))*EXP(-(A5*0.0000000001)/$O$3)</f>
        <v>-7.6337163728014588</v>
      </c>
      <c r="K5" t="s">
        <v>30</v>
      </c>
      <c r="L5" t="s">
        <v>31</v>
      </c>
      <c r="Q5" t="s">
        <v>13</v>
      </c>
    </row>
    <row r="6" spans="1:24" x14ac:dyDescent="0.25">
      <c r="A6">
        <v>2.4350430397799601</v>
      </c>
      <c r="B6">
        <v>0.45997101515953098</v>
      </c>
      <c r="C6">
        <v>3.5036723883257701</v>
      </c>
      <c r="D6">
        <v>0.22218490487911499</v>
      </c>
      <c r="E6">
        <v>3.2007538328324698</v>
      </c>
      <c r="F6">
        <v>0.22294495180695201</v>
      </c>
      <c r="G6">
        <f t="shared" si="0"/>
        <v>6.4914263619767167</v>
      </c>
      <c r="H6" s="2"/>
      <c r="I6" s="2">
        <f>4*$L$3*(($K$3/(A6*0.0000000001))^12-($K$3/(A6*0.0000000001))^6)+($M$3*$N$3*$Q$3^2)/(4*PI()*$R$3*(A6*0.0000000001))*EXP(-(A6*0.0000000001)/$O$3)</f>
        <v>-6.7078072407092737</v>
      </c>
      <c r="J6" t="s">
        <v>32</v>
      </c>
      <c r="K6">
        <f>4*L3*((K3/P3)^12-(K3/P3)^6)</f>
        <v>7.7499999999999999E-3</v>
      </c>
      <c r="L6">
        <f>(M3*N3*Q3^2)/(4*PI()*R3*P3)*EXP(-P3/O3)</f>
        <v>-1.0452935101273829E-27</v>
      </c>
    </row>
    <row r="7" spans="1:24" x14ac:dyDescent="0.25">
      <c r="A7">
        <v>2.4602862527377298</v>
      </c>
      <c r="B7">
        <v>0.75801798900416295</v>
      </c>
      <c r="C7">
        <v>3.5541588142413199</v>
      </c>
      <c r="D7">
        <v>0.33872543381411402</v>
      </c>
      <c r="E7">
        <v>3.2764834717058</v>
      </c>
      <c r="F7">
        <v>0.30864024292056702</v>
      </c>
      <c r="G7">
        <f t="shared" si="0"/>
        <v>5.7100245646948089</v>
      </c>
      <c r="H7" s="2"/>
      <c r="I7" s="2">
        <f>4*$L$3*(($K$3/(A7*0.0000000001))^12-($K$3/(A7*0.0000000001))^6)+($M$3*$N$3*$Q$3^2)/(4*PI()*$R$3*(A7*0.0000000001))*EXP(-(A7*0.0000000001)/$O$3)</f>
        <v>-5.9003587168513025</v>
      </c>
    </row>
    <row r="8" spans="1:24" x14ac:dyDescent="0.25">
      <c r="A8">
        <v>2.4602862527377298</v>
      </c>
      <c r="B8">
        <v>0.64021071518943695</v>
      </c>
      <c r="C8">
        <v>3.60464524015687</v>
      </c>
      <c r="D8">
        <v>0.45304915920958799</v>
      </c>
      <c r="E8">
        <v>3.34379870625986</v>
      </c>
      <c r="F8">
        <v>0.40364610890018598</v>
      </c>
      <c r="G8">
        <f t="shared" si="0"/>
        <v>5.7100245646948089</v>
      </c>
      <c r="H8" s="2"/>
      <c r="I8" s="2">
        <f>4*$L$3*(($K$3/(A8*0.0000000001))^12-($K$3/(A8*0.0000000001))^6)+($M$3*$N$3*$Q$3^2)/(4*PI()*$R$3*(A8*0.0000000001))*EXP(-(A8*0.0000000001)/$O$3)</f>
        <v>-5.9003587168513025</v>
      </c>
    </row>
    <row r="9" spans="1:24" x14ac:dyDescent="0.25">
      <c r="A9">
        <v>2.4855294656955098</v>
      </c>
      <c r="B9">
        <v>0.95278001426238201</v>
      </c>
      <c r="C9">
        <v>3.62988845311465</v>
      </c>
      <c r="D9">
        <v>0.55660555312737203</v>
      </c>
      <c r="E9">
        <v>3.4153211429735602</v>
      </c>
      <c r="F9">
        <v>0.50625244415817505</v>
      </c>
      <c r="G9">
        <f t="shared" si="0"/>
        <v>5.0277314535759734</v>
      </c>
      <c r="H9" s="2"/>
      <c r="I9" s="2">
        <f>4*$L$3*(($K$3/(A9*0.0000000001))^12-($K$3/(A9*0.0000000001))^6)+($M$3*$N$3*$Q$3^2)/(4*PI()*$R$3*(A9*0.0000000001))*EXP(-(A9*0.0000000001)/$O$3)</f>
        <v>-5.1953225020285059</v>
      </c>
    </row>
    <row r="10" spans="1:24" x14ac:dyDescent="0.25">
      <c r="A10">
        <v>2.51077267865328</v>
      </c>
      <c r="B10">
        <v>1.21024591106714</v>
      </c>
      <c r="C10">
        <v>3.6685947129832401</v>
      </c>
      <c r="D10">
        <v>0.66301212302454504</v>
      </c>
      <c r="E10">
        <v>3.4531859624102199</v>
      </c>
      <c r="F10">
        <v>0.58447394048139401</v>
      </c>
      <c r="G10">
        <f t="shared" si="0"/>
        <v>4.4312415707725634</v>
      </c>
      <c r="H10" s="2"/>
      <c r="I10" s="2">
        <f>4*$L$3*(($K$3/(A10*0.0000000001))^12-($K$3/(A10*0.0000000001))^6)+($M$3*$N$3*$Q$3^2)/(4*PI()*$R$3*(A10*0.0000000001))*EXP(-(A10*0.0000000001)/$O$3)</f>
        <v>-4.5789496231316491</v>
      </c>
    </row>
    <row r="11" spans="1:24" x14ac:dyDescent="0.25">
      <c r="A11">
        <v>2.5332110901713101</v>
      </c>
      <c r="B11">
        <v>1.65335326999609</v>
      </c>
      <c r="C11">
        <v>3.7056180919879802</v>
      </c>
      <c r="D11">
        <v>0.79982057003519602</v>
      </c>
      <c r="E11">
        <v>3.5036723883257701</v>
      </c>
      <c r="F11">
        <v>0.66586229900393401</v>
      </c>
      <c r="G11">
        <f t="shared" si="0"/>
        <v>3.9637940546277268</v>
      </c>
      <c r="H11" s="2"/>
      <c r="I11" s="2">
        <f>4*$L$3*(($K$3/(A11*0.0000000001))^12-($K$3/(A11*0.0000000001))^6)+($M$3*$N$3*$Q$3^2)/(4*PI()*$R$3*(A11*0.0000000001))*EXP(-(A11*0.0000000001)/$O$3)</f>
        <v>-4.0959205231153177</v>
      </c>
    </row>
    <row r="12" spans="1:24" x14ac:dyDescent="0.25">
      <c r="A12">
        <v>2.54443029593032</v>
      </c>
      <c r="B12">
        <v>1.76127993374893</v>
      </c>
      <c r="C12">
        <v>3.73086130494575</v>
      </c>
      <c r="D12">
        <v>0.91002737457155303</v>
      </c>
      <c r="E12">
        <v>3.5541588142413199</v>
      </c>
      <c r="F12">
        <v>0.76181822364334895</v>
      </c>
      <c r="G12">
        <f t="shared" si="0"/>
        <v>3.7498972006367688</v>
      </c>
      <c r="H12" s="2"/>
      <c r="I12" s="2">
        <f>4*$L$3*(($K$3/(A12*0.0000000001))^12-($K$3/(A12*0.0000000001))^6)+($M$3*$N$3*$Q$3^2)/(4*PI()*$R$3*(A12*0.0000000001))*EXP(-(A12*0.0000000001)/$O$3)</f>
        <v>-3.8748937739913276</v>
      </c>
    </row>
    <row r="13" spans="1:24" x14ac:dyDescent="0.25">
      <c r="A13">
        <v>2.5612591045688302</v>
      </c>
      <c r="B13">
        <v>1.96649260426491</v>
      </c>
      <c r="C13">
        <v>3.7695675648143401</v>
      </c>
      <c r="D13">
        <v>1.01643394446872</v>
      </c>
      <c r="E13">
        <v>3.6186692473556401</v>
      </c>
      <c r="F13">
        <v>0.87392514549929801</v>
      </c>
      <c r="G13">
        <f t="shared" si="0"/>
        <v>3.4516113108078272</v>
      </c>
      <c r="H13" s="2"/>
      <c r="I13" s="2">
        <f>4*$L$3*(($K$3/(A13*0.0000000001))^12-($K$3/(A13*0.0000000001))^6)+($M$3*$N$3*$Q$3^2)/(4*PI()*$R$3*(A13*0.0000000001))*EXP(-(A13*0.0000000001)/$O$3)</f>
        <v>-3.5666650211680881</v>
      </c>
    </row>
    <row r="14" spans="1:24" x14ac:dyDescent="0.25">
      <c r="A14">
        <v>2.5780879132073502</v>
      </c>
      <c r="B14">
        <v>2.42927673365896</v>
      </c>
      <c r="C14">
        <v>3.8065909438190801</v>
      </c>
      <c r="D14">
        <v>1.16179291941754</v>
      </c>
      <c r="E14">
        <v>3.6677532725513098</v>
      </c>
      <c r="F14">
        <v>0.97748153941708205</v>
      </c>
      <c r="G14">
        <f t="shared" si="0"/>
        <v>3.1782496940224996</v>
      </c>
      <c r="H14" s="2"/>
      <c r="I14" s="2">
        <f>4*$L$3*(($K$3/(A14*0.0000000001))^12-($K$3/(A14*0.0000000001))^6)+($M$3*$N$3*$Q$3^2)/(4*PI()*$R$3*(A14*0.0000000001))*EXP(-(A14*0.0000000001)/$O$3)</f>
        <v>-3.2841913504899161</v>
      </c>
    </row>
    <row r="15" spans="1:24" x14ac:dyDescent="0.25">
      <c r="A15">
        <v>2.61174553048438</v>
      </c>
      <c r="B15">
        <v>2.93175220261783</v>
      </c>
      <c r="C15">
        <v>3.8402485610961099</v>
      </c>
      <c r="D15">
        <v>1.29309102620137</v>
      </c>
      <c r="E15">
        <v>3.7056180919879802</v>
      </c>
      <c r="F15">
        <v>1.05950327037948</v>
      </c>
      <c r="G15">
        <f t="shared" si="0"/>
        <v>2.697681538626973</v>
      </c>
      <c r="H15" s="2"/>
      <c r="I15" s="2">
        <f>4*$L$3*(($K$3/(A15*0.0000000001))^12-($K$3/(A15*0.0000000001))^6)+($M$3*$N$3*$Q$3^2)/(4*PI()*$R$3*(A15*0.0000000001))*EXP(-(A15*0.0000000001)/$O$3)</f>
        <v>-2.7876042565812056</v>
      </c>
    </row>
    <row r="16" spans="1:24" x14ac:dyDescent="0.25">
      <c r="A16">
        <v>2.6369887434421599</v>
      </c>
      <c r="B16">
        <v>3.2664103655310401</v>
      </c>
      <c r="C16">
        <v>3.8823205826924001</v>
      </c>
      <c r="D16">
        <v>1.4221089922016901</v>
      </c>
      <c r="E16">
        <v>3.7561045179035299</v>
      </c>
      <c r="F16">
        <v>1.14184168756182</v>
      </c>
      <c r="G16">
        <f t="shared" si="0"/>
        <v>2.3877233422116775</v>
      </c>
      <c r="H16" s="2"/>
      <c r="I16" s="2">
        <f>4*$L$3*(($K$3/(A16*0.0000000001))^12-($K$3/(A16*0.0000000001))^6)+($M$3*$N$3*$Q$3^2)/(4*PI()*$R$3*(A16*0.0000000001))*EXP(-(A16*0.0000000001)/$O$3)</f>
        <v>-2.4673141202854003</v>
      </c>
    </row>
    <row r="17" spans="1:9" x14ac:dyDescent="0.25">
      <c r="A17">
        <v>2.6622319563999302</v>
      </c>
      <c r="B17">
        <v>3.5093878677739099</v>
      </c>
      <c r="C17">
        <v>3.91878300140919</v>
      </c>
      <c r="D17">
        <v>1.51553142708165</v>
      </c>
      <c r="E17">
        <v>3.8192125502979599</v>
      </c>
      <c r="F17">
        <v>1.25964896137655</v>
      </c>
      <c r="G17">
        <f t="shared" si="0"/>
        <v>2.1149164063914454</v>
      </c>
      <c r="H17" s="2"/>
      <c r="I17" s="2">
        <f>4*$L$3*(($K$3/(A17*0.0000000001))^12-($K$3/(A17*0.0000000001))^6)+($M$3*$N$3*$Q$3^2)/(4*PI()*$R$3*(A17*0.0000000001))*EXP(-(A17*0.0000000001)/$O$3)</f>
        <v>-2.1854136199378269</v>
      </c>
    </row>
    <row r="18" spans="1:9" x14ac:dyDescent="0.25">
      <c r="A18">
        <v>2.6846703679179602</v>
      </c>
      <c r="B18">
        <v>3.8248073428262499</v>
      </c>
      <c r="C18">
        <v>3.9580502215657298</v>
      </c>
      <c r="D18">
        <v>1.63333870089638</v>
      </c>
      <c r="E18">
        <v>3.8654917740538801</v>
      </c>
      <c r="F18">
        <v>1.33755377147983</v>
      </c>
      <c r="G18">
        <f t="shared" si="0"/>
        <v>1.899799101567609</v>
      </c>
      <c r="H18" s="2"/>
      <c r="I18" s="2">
        <f>4*$L$3*(($K$3/(A18*0.0000000001))^12-($K$3/(A18*0.0000000001))^6)+($M$3*$N$3*$Q$3^2)/(4*PI()*$R$3*(A18*0.0000000001))*EXP(-(A18*0.0000000001)/$O$3)</f>
        <v>-1.9631257382865295</v>
      </c>
    </row>
    <row r="19" spans="1:9" x14ac:dyDescent="0.25">
      <c r="A19">
        <v>2.7160698823409501</v>
      </c>
      <c r="B19">
        <v>4.0616134894527303</v>
      </c>
      <c r="C19">
        <v>4.0085366474812796</v>
      </c>
      <c r="D19">
        <v>1.7473457400719199</v>
      </c>
      <c r="E19">
        <v>3.9412214129272098</v>
      </c>
      <c r="F19">
        <v>1.4390200363460699</v>
      </c>
      <c r="G19">
        <f t="shared" si="0"/>
        <v>1.636396412904797</v>
      </c>
      <c r="H19" s="2"/>
      <c r="I19" s="2">
        <f>4*$L$3*(($K$3/(A19*0.0000000001))^12-($K$3/(A19*0.0000000001))^6)+($M$3*$N$3*$Q$3^2)/(4*PI()*$R$3*(A19*0.0000000001))*EXP(-(A19*0.0000000001)/$O$3)</f>
        <v>-1.6909429600016235</v>
      </c>
    </row>
    <row r="20" spans="1:9" x14ac:dyDescent="0.25">
      <c r="A20">
        <v>2.7367493505831999</v>
      </c>
      <c r="B20">
        <v>4.2152814520024799</v>
      </c>
      <c r="C20">
        <v>4.0674374777160898</v>
      </c>
      <c r="D20">
        <v>1.8572358583883499</v>
      </c>
      <c r="E20">
        <v>4.0421942647583098</v>
      </c>
      <c r="F20">
        <v>1.5392376526879901</v>
      </c>
      <c r="G20">
        <f t="shared" si="0"/>
        <v>1.483952620369742</v>
      </c>
      <c r="H20" s="2"/>
      <c r="I20" s="2">
        <f>4*$L$3*(($K$3/(A20*0.0000000001))^12-($K$3/(A20*0.0000000001))^6)+($M$3*$N$3*$Q$3^2)/(4*PI()*$R$3*(A20*0.0000000001))*EXP(-(A20*0.0000000001)/$O$3)</f>
        <v>-1.5334177077154001</v>
      </c>
    </row>
    <row r="21" spans="1:9" x14ac:dyDescent="0.25">
      <c r="A21">
        <v>2.7884480211888101</v>
      </c>
      <c r="B21">
        <v>4.30268684870373</v>
      </c>
      <c r="C21">
        <v>4.1684103295471902</v>
      </c>
      <c r="D21">
        <v>1.9536668123576599</v>
      </c>
      <c r="E21">
        <v>4.1936535425049604</v>
      </c>
      <c r="F21">
        <v>1.6068522170475099</v>
      </c>
      <c r="G21">
        <f t="shared" si="0"/>
        <v>1.1639632697807625</v>
      </c>
      <c r="H21" s="2"/>
      <c r="I21" s="2">
        <f>4*$L$3*(($K$3/(A21*0.0000000001))^12-($K$3/(A21*0.0000000001))^6)+($M$3*$N$3*$Q$3^2)/(4*PI()*$R$3*(A21*0.0000000001))*EXP(-(A21*0.0000000001)/$O$3)</f>
        <v>-1.2027620454401213</v>
      </c>
    </row>
    <row r="22" spans="1:9" x14ac:dyDescent="0.25">
      <c r="A22">
        <v>2.8480619365354198</v>
      </c>
      <c r="B22">
        <v>4.1742541004347702</v>
      </c>
      <c r="C22">
        <v>4.3282840116130998</v>
      </c>
      <c r="D22">
        <v>1.96407427313088</v>
      </c>
      <c r="E22">
        <v>4.37877043752865</v>
      </c>
      <c r="F22">
        <v>1.59372413374851</v>
      </c>
      <c r="G22">
        <f t="shared" si="0"/>
        <v>0.88176189107991465</v>
      </c>
      <c r="H22" s="2"/>
      <c r="I22" s="2">
        <f>4*$L$3*(($K$3/(A22*0.0000000001))^12-($K$3/(A22*0.0000000001))^6)+($M$3*$N$3*$Q$3^2)/(4*PI()*$R$3*(A22*0.0000000001))*EXP(-(A22*0.0000000001)/$O$3)</f>
        <v>-0.91115395411591182</v>
      </c>
    </row>
    <row r="23" spans="1:9" x14ac:dyDescent="0.25">
      <c r="A23">
        <v>2.8836448836143198</v>
      </c>
      <c r="B23">
        <v>3.9971061167214899</v>
      </c>
      <c r="C23">
        <v>4.4629144807212304</v>
      </c>
      <c r="D23">
        <v>1.8752869729244701</v>
      </c>
      <c r="E23">
        <v>4.5470585239138099</v>
      </c>
      <c r="F23">
        <v>1.5243986412397501</v>
      </c>
      <c r="G23">
        <f t="shared" si="0"/>
        <v>0.74781823236924205</v>
      </c>
      <c r="H23" s="2"/>
      <c r="I23" s="2">
        <f>4*$L$3*(($K$3/(A23*0.0000000001))^12-($K$3/(A23*0.0000000001))^6)+($M$3*$N$3*$Q$3^2)/(4*PI()*$R$3*(A23*0.0000000001))*EXP(-(A23*0.0000000001)/$O$3)</f>
        <v>-0.77274550678155018</v>
      </c>
    </row>
    <row r="24" spans="1:9" x14ac:dyDescent="0.25">
      <c r="A24">
        <v>2.9164230292534601</v>
      </c>
      <c r="B24">
        <v>3.7895488946653999</v>
      </c>
      <c r="C24">
        <v>4.5470585239138099</v>
      </c>
      <c r="D24">
        <v>1.79396195164592</v>
      </c>
      <c r="E24">
        <v>4.6985178016604703</v>
      </c>
      <c r="F24">
        <v>1.43825998941823</v>
      </c>
      <c r="G24">
        <f t="shared" si="0"/>
        <v>0.64282492947421133</v>
      </c>
      <c r="H24" s="2"/>
      <c r="I24" s="2">
        <f>4*$L$3*(($K$3/(A24*0.0000000001))^12-($K$3/(A24*0.0000000001))^6)+($M$3*$N$3*$Q$3^2)/(4*PI()*$R$3*(A24*0.0000000001))*EXP(-(A24*0.0000000001)/$O$3)</f>
        <v>-0.66425242712335175</v>
      </c>
    </row>
    <row r="25" spans="1:9" x14ac:dyDescent="0.25">
      <c r="A25">
        <v>2.95481077777211</v>
      </c>
      <c r="B25">
        <v>3.53740654689333</v>
      </c>
      <c r="C25">
        <v>4.6312025671064001</v>
      </c>
      <c r="D25">
        <v>1.7027563203054901</v>
      </c>
      <c r="E25">
        <v>4.84156267508786</v>
      </c>
      <c r="F25">
        <v>1.35560488601596</v>
      </c>
      <c r="G25">
        <f t="shared" si="0"/>
        <v>0.53867719401860237</v>
      </c>
      <c r="H25" s="2"/>
      <c r="I25" s="2">
        <f>4*$L$3*(($K$3/(A25*0.0000000001))^12-($K$3/(A25*0.0000000001))^6)+($M$3*$N$3*$Q$3^2)/(4*PI()*$R$3*(A25*0.0000000001))*EXP(-(A25*0.0000000001)/$O$3)</f>
        <v>-0.5566331004858891</v>
      </c>
    </row>
    <row r="26" spans="1:9" x14ac:dyDescent="0.25">
      <c r="A26">
        <v>2.9651505118932402</v>
      </c>
      <c r="B26">
        <v>3.4257827057118502</v>
      </c>
      <c r="C26">
        <v>4.7069322059797196</v>
      </c>
      <c r="D26">
        <v>1.6168710174599099</v>
      </c>
      <c r="E26">
        <v>5.0014363571537697</v>
      </c>
      <c r="F26">
        <v>1.2693222859126501</v>
      </c>
      <c r="G26">
        <f t="shared" si="0"/>
        <v>0.51365901241615908</v>
      </c>
      <c r="H26" s="2"/>
      <c r="I26" s="2">
        <f>4*$L$3*(($K$3/(A26*0.0000000001))^12-($K$3/(A26*0.0000000001))^6)+($M$3*$N$3*$Q$3^2)/(4*PI()*$R$3*(A26*0.0000000001))*EXP(-(A26*0.0000000001)/$O$3)</f>
        <v>-0.53078097949669767</v>
      </c>
    </row>
    <row r="27" spans="1:9" x14ac:dyDescent="0.25">
      <c r="A27">
        <v>2.98758892341126</v>
      </c>
      <c r="B27">
        <v>3.2743363178687801</v>
      </c>
      <c r="C27">
        <v>4.7910762491723098</v>
      </c>
      <c r="D27">
        <v>1.5224985239201601</v>
      </c>
      <c r="E27">
        <v>5.1865532521774496</v>
      </c>
      <c r="F27">
        <v>1.1933175931289599</v>
      </c>
      <c r="G27">
        <f t="shared" si="0"/>
        <v>0.46331056709314089</v>
      </c>
      <c r="H27" s="2"/>
      <c r="I27" s="2">
        <f>4*$L$3*(($K$3/(A27*0.0000000001))^12-($K$3/(A27*0.0000000001))^6)+($M$3*$N$3*$Q$3^2)/(4*PI()*$R$3*(A27*0.0000000001))*EXP(-(A27*0.0000000001)/$O$3)</f>
        <v>-0.47875425266291227</v>
      </c>
    </row>
    <row r="28" spans="1:9" x14ac:dyDescent="0.25">
      <c r="A28">
        <v>3.0156369378087899</v>
      </c>
      <c r="B28">
        <v>3.13696487313381</v>
      </c>
      <c r="C28">
        <v>4.8920491010034102</v>
      </c>
      <c r="D28">
        <v>1.4287594028202699</v>
      </c>
      <c r="E28">
        <v>5.3716701472011401</v>
      </c>
      <c r="F28">
        <v>1.1235314661184701</v>
      </c>
      <c r="G28">
        <f t="shared" si="0"/>
        <v>0.40726538867874884</v>
      </c>
      <c r="H28" s="2"/>
      <c r="I28" s="2">
        <f>4*$L$3*(($K$3/(A28*0.0000000001))^12-($K$3/(A28*0.0000000001))^6)+($M$3*$N$3*$Q$3^2)/(4*PI()*$R$3*(A28*0.0000000001))*EXP(-(A28*0.0000000001)/$O$3)</f>
        <v>-0.42084090163470717</v>
      </c>
    </row>
    <row r="29" spans="1:9" x14ac:dyDescent="0.25">
      <c r="A29">
        <v>3.0408801507665602</v>
      </c>
      <c r="B29">
        <v>2.90705067746313</v>
      </c>
      <c r="C29">
        <v>4.9930219528345097</v>
      </c>
      <c r="D29">
        <v>1.3394538887994201</v>
      </c>
      <c r="E29">
        <v>5.54837263790556</v>
      </c>
      <c r="F29">
        <v>1.05405626739665</v>
      </c>
      <c r="G29">
        <f t="shared" si="0"/>
        <v>0.3626249577423718</v>
      </c>
      <c r="H29" s="2"/>
      <c r="I29" s="2">
        <f>4*$L$3*(($K$3/(A29*0.0000000001))^12-($K$3/(A29*0.0000000001))^6)+($M$3*$N$3*$Q$3^2)/(4*PI()*$R$3*(A29*0.0000000001))*EXP(-(A29*0.0000000001)/$O$3)</f>
        <v>-0.37471245633378425</v>
      </c>
    </row>
    <row r="30" spans="1:9" x14ac:dyDescent="0.25">
      <c r="A30">
        <v>3.0661233637243401</v>
      </c>
      <c r="B30">
        <v>2.7284396494214498</v>
      </c>
      <c r="C30">
        <v>5.10240920898487</v>
      </c>
      <c r="D30">
        <v>1.2498769294472101</v>
      </c>
      <c r="E30">
        <v>5.7250751286099897</v>
      </c>
      <c r="F30">
        <v>0.96599446653045595</v>
      </c>
      <c r="G30">
        <f t="shared" si="0"/>
        <v>0.32283457525294401</v>
      </c>
      <c r="H30" s="2"/>
      <c r="I30" s="2">
        <f>4*$L$3*(($K$3/(A30*0.0000000001))^12-($K$3/(A30*0.0000000001))^6)+($M$3*$N$3*$Q$3^2)/(4*PI()*$R$3*(A30*0.0000000001))*EXP(-(A30*0.0000000001)/$O$3)</f>
        <v>-0.33359572776137547</v>
      </c>
    </row>
    <row r="31" spans="1:9" x14ac:dyDescent="0.25">
      <c r="A31">
        <v>3.08856177524236</v>
      </c>
      <c r="B31">
        <v>2.5500397455263899</v>
      </c>
      <c r="C31">
        <v>5.2258204723339903</v>
      </c>
      <c r="D31">
        <v>1.1659098402766599</v>
      </c>
      <c r="E31">
        <v>5.9017776193144202</v>
      </c>
      <c r="F31">
        <v>0.88114559131375003</v>
      </c>
      <c r="G31">
        <f t="shared" si="0"/>
        <v>0.29109415266568711</v>
      </c>
      <c r="H31" s="2"/>
      <c r="I31" s="2">
        <f>4*$L$3*(($K$3/(A31*0.0000000001))^12-($K$3/(A31*0.0000000001))^6)+($M$3*$N$3*$Q$3^2)/(4*PI()*$R$3*(A31*0.0000000001))*EXP(-(A31*0.0000000001)/$O$3)</f>
        <v>-0.30079729108787673</v>
      </c>
    </row>
    <row r="32" spans="1:9" x14ac:dyDescent="0.25">
      <c r="A32">
        <v>3.1166097896398899</v>
      </c>
      <c r="B32">
        <v>2.39021876653401</v>
      </c>
      <c r="C32">
        <v>5.3464269342433601</v>
      </c>
      <c r="D32">
        <v>1.0905385199328199</v>
      </c>
      <c r="E32">
        <v>6.0784801100188401</v>
      </c>
      <c r="F32">
        <v>0.80845746694243303</v>
      </c>
      <c r="G32">
        <f t="shared" si="0"/>
        <v>0.25568460935127951</v>
      </c>
      <c r="H32" s="2"/>
      <c r="I32" s="2">
        <f>4*$L$3*(($K$3/(A32*0.0000000001))^12-($K$3/(A32*0.0000000001))^6)+($M$3*$N$3*$Q$3^2)/(4*PI()*$R$3*(A32*0.0000000001))*EXP(-(A32*0.0000000001)/$O$3)</f>
        <v>-0.26420742966298882</v>
      </c>
    </row>
    <row r="33" spans="1:9" x14ac:dyDescent="0.25">
      <c r="A33">
        <v>3.1390482011579102</v>
      </c>
      <c r="B33">
        <v>2.2299755392483802</v>
      </c>
      <c r="C33">
        <v>5.4894718076707498</v>
      </c>
      <c r="D33">
        <v>1.0143227030025099</v>
      </c>
      <c r="E33">
        <v>6.2635970050425298</v>
      </c>
      <c r="F33">
        <v>0.75698156137529504</v>
      </c>
      <c r="G33">
        <f t="shared" si="0"/>
        <v>0.23040343362390439</v>
      </c>
      <c r="H33" s="2"/>
      <c r="I33" s="2">
        <f>4*$L$3*(($K$3/(A33*0.0000000001))^12-($K$3/(A33*0.0000000001))^6)+($M$3*$N$3*$Q$3^2)/(4*PI()*$R$3*(A33*0.0000000001))*EXP(-(A33*0.0000000001)/$O$3)</f>
        <v>-0.23808354807803453</v>
      </c>
    </row>
    <row r="34" spans="1:9" x14ac:dyDescent="0.25">
      <c r="A34">
        <v>3.1670962155554401</v>
      </c>
      <c r="B34">
        <v>2.0861999953992298</v>
      </c>
      <c r="C34">
        <v>5.6409310854174102</v>
      </c>
      <c r="D34">
        <v>0.92987304435396201</v>
      </c>
      <c r="E34">
        <v>6.4487139000662097</v>
      </c>
      <c r="F34">
        <v>0.73348920178760701</v>
      </c>
      <c r="G34">
        <f t="shared" si="0"/>
        <v>0.20217426098013094</v>
      </c>
      <c r="H34" s="2"/>
      <c r="I34" s="2">
        <f>4*$L$3*(($K$3/(A34*0.0000000001))^12-($K$3/(A34*0.0000000001))^6)+($M$3*$N$3*$Q$3^2)/(4*PI()*$R$3*(A34*0.0000000001))*EXP(-(A34*0.0000000001)/$O$3)</f>
        <v>-0.20891340301280198</v>
      </c>
    </row>
    <row r="35" spans="1:9" x14ac:dyDescent="0.25">
      <c r="A35">
        <v>3.1923394285132098</v>
      </c>
      <c r="B35">
        <v>1.97409307354328</v>
      </c>
      <c r="C35">
        <v>5.8092191718025701</v>
      </c>
      <c r="D35">
        <v>0.84680528921056997</v>
      </c>
      <c r="E35">
        <v>6.6338307950899003</v>
      </c>
      <c r="F35">
        <v>0.73452562941647503</v>
      </c>
      <c r="G35">
        <f t="shared" si="0"/>
        <v>0.17961988774258328</v>
      </c>
      <c r="H35" s="2"/>
      <c r="I35" s="2">
        <f>4*$L$3*(($K$3/(A35*0.0000000001))^12-($K$3/(A35*0.0000000001))^6)+($M$3*$N$3*$Q$3^2)/(4*PI()*$R$3*(A35*0.0000000001))*EXP(-(A35*0.0000000001)/$O$3)</f>
        <v>-0.18560721733400273</v>
      </c>
    </row>
    <row r="36" spans="1:9" x14ac:dyDescent="0.25">
      <c r="A36">
        <v>3.2175826414709898</v>
      </c>
      <c r="B36">
        <v>1.8296841572542599</v>
      </c>
      <c r="C36">
        <v>5.9943360668262597</v>
      </c>
      <c r="D36">
        <v>0.76941869292171805</v>
      </c>
      <c r="E36">
        <v>6.8189476901135802</v>
      </c>
      <c r="F36">
        <v>0.75767251312787398</v>
      </c>
      <c r="G36">
        <f t="shared" si="0"/>
        <v>0.15946135933956326</v>
      </c>
      <c r="H36" s="2"/>
      <c r="I36" s="2">
        <f>4*$L$3*(($K$3/(A36*0.0000000001))^12-($K$3/(A36*0.0000000001))^6)+($M$3*$N$3*$Q$3^2)/(4*PI()*$R$3*(A36*0.0000000001))*EXP(-(A36*0.0000000001)/$O$3)</f>
        <v>-0.16477673798421538</v>
      </c>
    </row>
    <row r="37" spans="1:9" x14ac:dyDescent="0.25">
      <c r="A37">
        <v>3.24282585442876</v>
      </c>
      <c r="B37">
        <v>1.73087805663545</v>
      </c>
      <c r="C37">
        <v>6.1794529618499396</v>
      </c>
      <c r="D37">
        <v>0.71586993209684202</v>
      </c>
      <c r="E37">
        <v>7.0040645851372698</v>
      </c>
      <c r="F37">
        <v>0.80223890116922203</v>
      </c>
      <c r="G37">
        <f t="shared" si="0"/>
        <v>0.14143825617261499</v>
      </c>
      <c r="H37" s="2"/>
      <c r="I37" s="2">
        <f>4*$L$3*(($K$3/(A37*0.0000000001))^12-($K$3/(A37*0.0000000001))^6)+($M$3*$N$3*$Q$3^2)/(4*PI()*$R$3*(A37*0.0000000001))*EXP(-(A37*0.0000000001)/$O$3)</f>
        <v>-0.14615286471170216</v>
      </c>
    </row>
    <row r="38" spans="1:9" x14ac:dyDescent="0.25">
      <c r="A38">
        <v>3.26806906738654</v>
      </c>
      <c r="B38">
        <v>1.6016700789031699</v>
      </c>
      <c r="C38">
        <v>6.3645698568736302</v>
      </c>
      <c r="D38">
        <v>0.68132234446788897</v>
      </c>
      <c r="E38">
        <v>7.1891814801609497</v>
      </c>
      <c r="F38">
        <v>0.86338813127246805</v>
      </c>
      <c r="G38">
        <f t="shared" si="0"/>
        <v>0.12531969578829383</v>
      </c>
      <c r="H38" s="2"/>
      <c r="I38" s="2">
        <f>4*$L$3*(($K$3/(A38*0.0000000001))^12-($K$3/(A38*0.0000000001))^6)+($M$3*$N$3*$Q$3^2)/(4*PI()*$R$3*(A38*0.0000000001))*EXP(-(A38*0.0000000001)/$O$3)</f>
        <v>-0.12949701898123694</v>
      </c>
    </row>
    <row r="39" spans="1:9" x14ac:dyDescent="0.25">
      <c r="A39">
        <v>3.28489787602506</v>
      </c>
      <c r="B39">
        <v>1.5218651514802899</v>
      </c>
      <c r="C39">
        <v>6.5496867518973101</v>
      </c>
      <c r="D39">
        <v>0.67614020632354699</v>
      </c>
      <c r="E39">
        <v>7.3742983751846296</v>
      </c>
      <c r="F39">
        <v>0.93144687890150402</v>
      </c>
      <c r="G39">
        <f t="shared" si="0"/>
        <v>0.11552992746027811</v>
      </c>
      <c r="H39" s="2"/>
      <c r="I39" s="2">
        <f>4*$L$3*(($K$3/(A39*0.0000000001))^12-($K$3/(A39*0.0000000001))^6)+($M$3*$N$3*$Q$3^2)/(4*PI()*$R$3*(A39*0.0000000001))*EXP(-(A39*0.0000000001)/$O$3)</f>
        <v>-0.11938092504228738</v>
      </c>
    </row>
    <row r="40" spans="1:9" x14ac:dyDescent="0.25">
      <c r="A40">
        <v>3.3185554933020902</v>
      </c>
      <c r="B40">
        <v>1.4344597547790401</v>
      </c>
      <c r="C40">
        <v>6.7348036469209998</v>
      </c>
      <c r="D40">
        <v>0.69583233127205002</v>
      </c>
      <c r="E40">
        <v>7.5594152702083202</v>
      </c>
      <c r="F40">
        <v>0.99777824714909102</v>
      </c>
      <c r="G40">
        <f t="shared" si="0"/>
        <v>9.7999711298744588E-2</v>
      </c>
      <c r="H40" s="2"/>
      <c r="I40" s="2">
        <f>4*$L$3*(($K$3/(A40*0.0000000001))^12-($K$3/(A40*0.0000000001))^6)+($M$3*$N$3*$Q$3^2)/(4*PI()*$R$3*(A40*0.0000000001))*EXP(-(A40*0.0000000001)/$O$3)</f>
        <v>-0.10126636834203608</v>
      </c>
    </row>
    <row r="41" spans="1:9" x14ac:dyDescent="0.25">
      <c r="A41">
        <v>3.3353843019406102</v>
      </c>
      <c r="B41">
        <v>1.3508545927169799</v>
      </c>
      <c r="C41">
        <v>6.9199205419446796</v>
      </c>
      <c r="D41">
        <v>0.73314372591131804</v>
      </c>
      <c r="E41">
        <v>7.7445321652320001</v>
      </c>
      <c r="F41">
        <v>1.0599639048812</v>
      </c>
      <c r="G41">
        <f t="shared" si="0"/>
        <v>9.016158685063852E-2</v>
      </c>
      <c r="H41" s="2"/>
      <c r="I41" s="2">
        <f>4*$L$3*(($K$3/(A41*0.0000000001))^12-($K$3/(A41*0.0000000001))^6)+($M$3*$N$3*$Q$3^2)/(4*PI()*$R$3*(A41*0.0000000001))*EXP(-(A41*0.0000000001)/$O$3)</f>
        <v>-9.3166973078993146E-2</v>
      </c>
    </row>
    <row r="42" spans="1:9" x14ac:dyDescent="0.25">
      <c r="A42">
        <v>3.3774563235369</v>
      </c>
      <c r="B42">
        <v>1.22544684962388</v>
      </c>
      <c r="C42">
        <v>7.1050374369683702</v>
      </c>
      <c r="D42">
        <v>0.79360200426198402</v>
      </c>
      <c r="E42">
        <v>7.9296490602556897</v>
      </c>
      <c r="F42">
        <v>1.11178528632463</v>
      </c>
      <c r="G42">
        <f t="shared" si="0"/>
        <v>7.292471621997075E-2</v>
      </c>
      <c r="H42" s="2"/>
      <c r="I42" s="2">
        <f>4*$L$3*(($K$3/(A42*0.0000000001))^12-($K$3/(A42*0.0000000001))^6)+($M$3*$N$3*$Q$3^2)/(4*PI()*$R$3*(A42*0.0000000001))*EXP(-(A42*0.0000000001)/$O$3)</f>
        <v>-7.5355540093969775E-2</v>
      </c>
    </row>
    <row r="43" spans="1:9" x14ac:dyDescent="0.25">
      <c r="A43">
        <v>3.4111139408139302</v>
      </c>
      <c r="B43">
        <v>1.1456419222009999</v>
      </c>
      <c r="C43">
        <v>7.2817399276727901</v>
      </c>
      <c r="D43">
        <v>0.86746474661268402</v>
      </c>
      <c r="E43">
        <v>8.1147659552793705</v>
      </c>
      <c r="F43">
        <v>1.1435690669432701</v>
      </c>
      <c r="G43">
        <f t="shared" si="0"/>
        <v>6.1253923342487561E-2</v>
      </c>
      <c r="H43" s="2"/>
      <c r="I43" s="2">
        <f>4*$L$3*(($K$3/(A43*0.0000000001))^12-($K$3/(A43*0.0000000001))^6)+($M$3*$N$3*$Q$3^2)/(4*PI()*$R$3*(A43*0.0000000001))*EXP(-(A43*0.0000000001)/$O$3)</f>
        <v>-6.329572078723715E-2</v>
      </c>
    </row>
    <row r="44" spans="1:9" x14ac:dyDescent="0.25">
      <c r="A44">
        <v>3.4531859624102199</v>
      </c>
      <c r="B44">
        <v>1.0430355869430199</v>
      </c>
      <c r="C44">
        <v>7.4295930321397599</v>
      </c>
      <c r="D44">
        <v>0.93554323572036502</v>
      </c>
      <c r="E44">
        <v>8.2998828503030602</v>
      </c>
      <c r="F44">
        <v>1.15946095725258</v>
      </c>
      <c r="G44">
        <f t="shared" si="0"/>
        <v>4.8894493126582138E-2</v>
      </c>
      <c r="H44" s="2"/>
      <c r="I44" s="2">
        <f>4*$L$3*(($K$3/(A44*0.0000000001))^12-($K$3/(A44*0.0000000001))^6)+($M$3*$N$3*$Q$3^2)/(4*PI()*$R$3*(A44*0.0000000001))*EXP(-(A44*0.0000000001)/$O$3)</f>
        <v>-5.0524309564134874E-2</v>
      </c>
    </row>
    <row r="45" spans="1:9" x14ac:dyDescent="0.25">
      <c r="A45">
        <v>3.5036723883257701</v>
      </c>
      <c r="B45">
        <v>0.936629017045847</v>
      </c>
      <c r="C45">
        <v>7.6603881220394197</v>
      </c>
      <c r="D45">
        <v>1.05754557374717</v>
      </c>
      <c r="E45">
        <v>8.4849997453267392</v>
      </c>
      <c r="F45">
        <v>1.15946095725258</v>
      </c>
      <c r="G45">
        <f t="shared" si="0"/>
        <v>3.6787720452760526E-2</v>
      </c>
      <c r="H45" s="2"/>
      <c r="I45" s="2">
        <f>4*$L$3*(($K$3/(A45*0.0000000001))^12-($K$3/(A45*0.0000000001))^6)+($M$3*$N$3*$Q$3^2)/(4*PI()*$R$3*(A45*0.0000000001))*EXP(-(A45*0.0000000001)/$O$3)</f>
        <v>-3.8013977801185879E-2</v>
      </c>
    </row>
    <row r="46" spans="1:9" x14ac:dyDescent="0.25">
      <c r="A46">
        <v>3.5373300056028101</v>
      </c>
      <c r="B46">
        <v>0.87202502817970595</v>
      </c>
      <c r="C46">
        <v>7.8455050170631004</v>
      </c>
      <c r="D46">
        <v>1.1314774112731301</v>
      </c>
      <c r="E46">
        <v>8.6701166403504306</v>
      </c>
      <c r="F46">
        <v>1.14495097044842</v>
      </c>
      <c r="G46">
        <f t="shared" si="0"/>
        <v>3.0091900129687342E-2</v>
      </c>
      <c r="H46" s="2"/>
      <c r="I46" s="2">
        <f>4*$L$3*(($K$3/(A46*0.0000000001))^12-($K$3/(A46*0.0000000001))^6)+($M$3*$N$3*$Q$3^2)/(4*PI()*$R$3*(A46*0.0000000001))*EXP(-(A46*0.0000000001)/$O$3)</f>
        <v>-3.1094963467343587E-2</v>
      </c>
    </row>
    <row r="47" spans="1:9" x14ac:dyDescent="0.25">
      <c r="A47">
        <v>3.61305964447613</v>
      </c>
      <c r="B47">
        <v>0.77036875158151397</v>
      </c>
      <c r="C47">
        <v>8.0306219120867901</v>
      </c>
      <c r="D47">
        <v>1.1905537861186399</v>
      </c>
      <c r="E47">
        <v>8.8552335353741096</v>
      </c>
      <c r="F47">
        <v>1.1204221832318699</v>
      </c>
      <c r="G47">
        <f t="shared" si="0"/>
        <v>1.8231236415978676E-2</v>
      </c>
      <c r="H47" s="2"/>
      <c r="I47" s="2">
        <f>4*$L$3*(($K$3/(A47*0.0000000001))^12-($K$3/(A47*0.0000000001))^6)+($M$3*$N$3*$Q$3^2)/(4*PI()*$R$3*(A47*0.0000000001))*EXP(-(A47*0.0000000001)/$O$3)</f>
        <v>-1.8838944296511301E-2</v>
      </c>
    </row>
    <row r="48" spans="1:9" x14ac:dyDescent="0.25">
      <c r="A48">
        <v>3.74769011358427</v>
      </c>
      <c r="B48">
        <v>0.63973568585953799</v>
      </c>
      <c r="C48">
        <v>8.2157388071104709</v>
      </c>
      <c r="D48">
        <v>1.22026471147954</v>
      </c>
      <c r="E48">
        <v>9.0403504303977993</v>
      </c>
      <c r="F48">
        <v>1.08932935436581</v>
      </c>
      <c r="G48">
        <f t="shared" si="0"/>
        <v>4.9828840125498066E-3</v>
      </c>
      <c r="H48" s="2"/>
      <c r="I48" s="2">
        <f>4*$L$3*(($K$3/(A48*0.0000000001))^12-($K$3/(A48*0.0000000001))^6)+($M$3*$N$3*$Q$3^2)/(4*PI()*$R$3*(A48*0.0000000001))*EXP(-(A48*0.0000000001)/$O$3)</f>
        <v>-5.1489801463014667E-3</v>
      </c>
    </row>
    <row r="49" spans="1:9" x14ac:dyDescent="0.25">
      <c r="A49">
        <v>3.8907349870116601</v>
      </c>
      <c r="B49">
        <v>0.54647159408954504</v>
      </c>
      <c r="C49">
        <v>8.4008557021341606</v>
      </c>
      <c r="D49">
        <v>1.22233756673728</v>
      </c>
      <c r="E49">
        <v>9.2254673254214801</v>
      </c>
      <c r="F49">
        <v>1.0513270079739601</v>
      </c>
      <c r="G49">
        <f t="shared" si="0"/>
        <v>-2.343868399829664E-3</v>
      </c>
      <c r="H49" s="2"/>
      <c r="I49" s="2">
        <f>4*$L$3*(($K$3/(A49*0.0000000001))^12-($K$3/(A49*0.0000000001))^6)+($M$3*$N$3*$Q$3^2)/(4*PI()*$R$3*(A49*0.0000000001))*EXP(-(A49*0.0000000001)/$O$3)</f>
        <v>2.4219973464906525E-3</v>
      </c>
    </row>
    <row r="50" spans="1:9" x14ac:dyDescent="0.25">
      <c r="A50">
        <v>4.0539744308052699</v>
      </c>
      <c r="B50">
        <v>0.48858135308596501</v>
      </c>
      <c r="C50">
        <v>8.5859725971578396</v>
      </c>
      <c r="D50">
        <v>1.2029909176650599</v>
      </c>
      <c r="E50">
        <v>9.4105842204451697</v>
      </c>
      <c r="F50">
        <v>1.0126337098295399</v>
      </c>
      <c r="G50">
        <f t="shared" si="0"/>
        <v>-6.1171464333045142E-3</v>
      </c>
      <c r="H50" s="2"/>
      <c r="I50" s="2">
        <f>4*$L$3*(($K$3/(A50*0.0000000001))^12-($K$3/(A50*0.0000000001))^6)+($M$3*$N$3*$Q$3^2)/(4*PI()*$R$3*(A50*0.0000000001))*EXP(-(A50*0.0000000001)/$O$3)</f>
        <v>6.3210513144146647E-3</v>
      </c>
    </row>
    <row r="51" spans="1:9" x14ac:dyDescent="0.25">
      <c r="A51">
        <v>4.2441399684205097</v>
      </c>
      <c r="B51">
        <v>0.46056325951888499</v>
      </c>
      <c r="C51">
        <v>8.7710894921815292</v>
      </c>
      <c r="D51">
        <v>1.1663704747783701</v>
      </c>
      <c r="E51">
        <v>9.5957011154688505</v>
      </c>
      <c r="F51">
        <v>0.97601326694285095</v>
      </c>
      <c r="G51">
        <f t="shared" si="0"/>
        <v>-7.4449471461020874E-3</v>
      </c>
      <c r="H51" s="2"/>
      <c r="I51" s="2">
        <f>4*$L$3*(($K$3/(A51*0.0000000001))^12-($K$3/(A51*0.0000000001))^6)+($M$3*$N$3*$Q$3^2)/(4*PI()*$R$3*(A51*0.0000000001))*EXP(-(A51*0.0000000001)/$O$3)</f>
        <v>7.6931120509721573E-3</v>
      </c>
    </row>
    <row r="52" spans="1:9" x14ac:dyDescent="0.25">
      <c r="A52">
        <v>4.4292568634442002</v>
      </c>
      <c r="B52">
        <v>0.46401801828178002</v>
      </c>
      <c r="C52">
        <v>8.9393775785667007</v>
      </c>
      <c r="D52">
        <v>1.1236850109523799</v>
      </c>
      <c r="E52">
        <v>9.7808180104925402</v>
      </c>
      <c r="F52">
        <v>0.94561138982937398</v>
      </c>
      <c r="G52">
        <f t="shared" si="0"/>
        <v>-7.3088067795322375E-3</v>
      </c>
      <c r="H52" s="2"/>
      <c r="I52" s="2">
        <f>4*$L$3*(($K$3/(A52*0.0000000001))^12-($K$3/(A52*0.0000000001))^6)+($M$3*$N$3*$Q$3^2)/(4*PI()*$R$3*(A52*0.0000000001))*EXP(-(A52*0.0000000001)/$O$3)</f>
        <v>7.5524336721833124E-3</v>
      </c>
    </row>
    <row r="53" spans="1:9" x14ac:dyDescent="0.25">
      <c r="A53">
        <v>4.6143737584678801</v>
      </c>
      <c r="B53">
        <v>0.486819426116889</v>
      </c>
      <c r="C53">
        <v>9.2759537513370294</v>
      </c>
      <c r="D53">
        <v>1.0281801242625599</v>
      </c>
      <c r="E53">
        <v>9.9659349055162192</v>
      </c>
      <c r="F53">
        <v>0.92177355436539699</v>
      </c>
      <c r="G53">
        <f t="shared" si="0"/>
        <v>-6.6191612340243955E-3</v>
      </c>
      <c r="H53" s="2"/>
      <c r="I53" s="2">
        <f>4*$L$3*(($K$3/(A53*0.0000000001))^12-($K$3/(A53*0.0000000001))^6)+($M$3*$N$3*$Q$3^2)/(4*PI()*$R$3*(A53*0.0000000001))*EXP(-(A53*0.0000000001)/$O$3)</f>
        <v>6.8397999418252087E-3</v>
      </c>
    </row>
    <row r="54" spans="1:9" x14ac:dyDescent="0.25">
      <c r="A54">
        <v>4.8045392960831199</v>
      </c>
      <c r="B54">
        <v>0.535704262611856</v>
      </c>
      <c r="C54">
        <v>9.4610706463607208</v>
      </c>
      <c r="D54">
        <v>0.98361373622122095</v>
      </c>
      <c r="E54">
        <v>10.1510518005399</v>
      </c>
      <c r="F54">
        <v>0.90588166405607895</v>
      </c>
      <c r="G54">
        <f t="shared" si="0"/>
        <v>-5.7420296561351541E-3</v>
      </c>
      <c r="H54" s="2"/>
      <c r="I54" s="2">
        <f>4*$L$3*(($K$3/(A54*0.0000000001))^12-($K$3/(A54*0.0000000001))^6)+($M$3*$N$3*$Q$3^2)/(4*PI()*$R$3*(A54*0.0000000001))*EXP(-(A54*0.0000000001)/$O$3)</f>
        <v>5.9334306446729929E-3</v>
      </c>
    </row>
    <row r="55" spans="1:9" x14ac:dyDescent="0.25">
      <c r="A55">
        <v>4.9846075485152497</v>
      </c>
      <c r="B55">
        <v>0.59668075477695603</v>
      </c>
      <c r="C55">
        <v>9.6461875413843998</v>
      </c>
      <c r="D55">
        <v>0.94630234158195303</v>
      </c>
      <c r="E55">
        <v>10.336168695563501</v>
      </c>
      <c r="F55">
        <v>0.90104500178802605</v>
      </c>
      <c r="G55">
        <f t="shared" si="0"/>
        <v>-4.9216166155068714E-3</v>
      </c>
      <c r="H55" s="2"/>
      <c r="I55" s="2">
        <f>4*$L$3*(($K$3/(A55*0.0000000001))^12-($K$3/(A55*0.0000000001))^6)+($M$3*$N$3*$Q$3^2)/(4*PI()*$R$3*(A55*0.0000000001))*EXP(-(A55*0.0000000001)/$O$3)</f>
        <v>5.085670502690434E-3</v>
      </c>
    </row>
    <row r="56" spans="1:9" x14ac:dyDescent="0.25">
      <c r="A56">
        <v>5.1486884327407898</v>
      </c>
      <c r="B56">
        <v>0.66633732833383097</v>
      </c>
      <c r="C56">
        <v>9.8313044364080895</v>
      </c>
      <c r="D56">
        <v>0.91140927807671102</v>
      </c>
      <c r="E56">
        <v>10.521285590587199</v>
      </c>
      <c r="F56">
        <v>0.90208142941689395</v>
      </c>
      <c r="G56">
        <f t="shared" si="0"/>
        <v>-4.2390468345146898E-3</v>
      </c>
      <c r="H56" s="2"/>
      <c r="I56" s="2">
        <f>4*$L$3*(($K$3/(A56*0.0000000001))^12-($K$3/(A56*0.0000000001))^6)+($M$3*$N$3*$Q$3^2)/(4*PI()*$R$3*(A56*0.0000000001))*EXP(-(A56*0.0000000001)/$O$3)</f>
        <v>4.3803483956651795E-3</v>
      </c>
    </row>
    <row r="57" spans="1:9" x14ac:dyDescent="0.25">
      <c r="A57">
        <v>5.3043549126470699</v>
      </c>
      <c r="B57">
        <v>0.75379550607173595</v>
      </c>
      <c r="C57">
        <v>10.016421331431699</v>
      </c>
      <c r="D57">
        <v>0.88929882199418198</v>
      </c>
      <c r="E57">
        <v>10.7064024856109</v>
      </c>
      <c r="F57">
        <v>0.91417308508702799</v>
      </c>
      <c r="G57">
        <f t="shared" si="0"/>
        <v>-3.6643918770350296E-3</v>
      </c>
      <c r="H57" s="2"/>
      <c r="I57" s="2">
        <f>4*$L$3*(($K$3/(A57*0.0000000001))^12-($K$3/(A57*0.0000000001))^6)+($M$3*$N$3*$Q$3^2)/(4*PI()*$R$3*(A57*0.0000000001))*EXP(-(A57*0.0000000001)/$O$3)</f>
        <v>3.7865382729361974E-3</v>
      </c>
    </row>
    <row r="58" spans="1:9" x14ac:dyDescent="0.25">
      <c r="A58">
        <v>5.4417901831949598</v>
      </c>
      <c r="B58">
        <v>0.83718954398717904</v>
      </c>
      <c r="C58">
        <v>10.2015382264554</v>
      </c>
      <c r="D58">
        <v>0.87893454570549601</v>
      </c>
      <c r="E58">
        <v>10.8915193806346</v>
      </c>
      <c r="F58">
        <v>0.93386521003553002</v>
      </c>
      <c r="G58">
        <f t="shared" si="0"/>
        <v>-3.2172907813803058E-3</v>
      </c>
      <c r="H58" s="2"/>
      <c r="I58" s="2">
        <f>4*$L$3*(($K$3/(A58*0.0000000001))^12-($K$3/(A58*0.0000000001))^6)+($M$3*$N$3*$Q$3^2)/(4*PI()*$R$3*(A58*0.0000000001))*EXP(-(A58*0.0000000001)/$O$3)</f>
        <v>3.3245338074263161E-3</v>
      </c>
    </row>
    <row r="59" spans="1:9" x14ac:dyDescent="0.25">
      <c r="A59">
        <v>5.5680062479838304</v>
      </c>
      <c r="B59">
        <v>0.92142807848910802</v>
      </c>
      <c r="C59">
        <v>10.3866551214791</v>
      </c>
      <c r="D59">
        <v>0.87582526281889095</v>
      </c>
      <c r="E59">
        <v>11.0766362756583</v>
      </c>
      <c r="F59">
        <v>0.95609082474349005</v>
      </c>
      <c r="G59">
        <f t="shared" si="0"/>
        <v>-2.8539251971519998E-3</v>
      </c>
      <c r="H59" s="2"/>
      <c r="I59" s="2">
        <f>4*$L$3*(($K$3/(A59*0.0000000001))^12-($K$3/(A59*0.0000000001))^6)+($M$3*$N$3*$Q$3^2)/(4*PI()*$R$3*(A59*0.0000000001))*EXP(-(A59*0.0000000001)/$O$3)</f>
        <v>2.9490560370570669E-3</v>
      </c>
    </row>
    <row r="60" spans="1:9" x14ac:dyDescent="0.25">
      <c r="A60">
        <v>5.6947832730606596</v>
      </c>
      <c r="B60">
        <v>1.00731338133468</v>
      </c>
      <c r="C60">
        <v>10.5717720165028</v>
      </c>
      <c r="D60">
        <v>0.886535014983866</v>
      </c>
      <c r="E60">
        <v>11.261753170682001</v>
      </c>
      <c r="F60">
        <v>0.97843159807687896</v>
      </c>
      <c r="G60">
        <f t="shared" si="0"/>
        <v>-2.5308557305481205E-3</v>
      </c>
      <c r="H60" s="2"/>
      <c r="I60" s="2">
        <f>4*$L$3*(($K$3/(A60*0.0000000001))^12-($K$3/(A60*0.0000000001))^6)+($M$3*$N$3*$Q$3^2)/(4*PI()*$R$3*(A60*0.0000000001))*EXP(-(A60*0.0000000001)/$O$3)</f>
        <v>2.6152175882330582E-3</v>
      </c>
    </row>
    <row r="61" spans="1:9" x14ac:dyDescent="0.25">
      <c r="A61">
        <v>5.8092191718025701</v>
      </c>
      <c r="B61">
        <v>1.0908099652641901</v>
      </c>
      <c r="C61">
        <v>10.756888911526501</v>
      </c>
      <c r="D61">
        <v>0.90208142941689395</v>
      </c>
      <c r="E61">
        <v>11.446870065705699</v>
      </c>
      <c r="F61">
        <v>1.0049180819257399</v>
      </c>
      <c r="G61">
        <f t="shared" si="0"/>
        <v>-2.2719925107594604E-3</v>
      </c>
      <c r="H61" s="2"/>
      <c r="I61" s="2">
        <f>4*$L$3*(($K$3/(A61*0.0000000001))^12-($K$3/(A61*0.0000000001))^6)+($M$3*$N$3*$Q$3^2)/(4*PI()*$R$3*(A61*0.0000000001))*EXP(-(A61*0.0000000001)/$O$3)</f>
        <v>2.3477255944514427E-3</v>
      </c>
    </row>
    <row r="62" spans="1:9" x14ac:dyDescent="0.25">
      <c r="A62">
        <v>5.9438496409107104</v>
      </c>
      <c r="B62">
        <v>1.1768882959009701</v>
      </c>
      <c r="C62">
        <v>10.9420058065501</v>
      </c>
      <c r="D62">
        <v>0.92557378900458098</v>
      </c>
      <c r="E62">
        <v>11.6319869607293</v>
      </c>
      <c r="F62">
        <v>1.02403441374709</v>
      </c>
      <c r="G62">
        <f t="shared" si="0"/>
        <v>-2.0030714817845991E-3</v>
      </c>
      <c r="H62" s="2"/>
      <c r="I62" s="2">
        <f>4*$L$3*(($K$3/(A62*0.0000000001))^12-($K$3/(A62*0.0000000001))^6)+($M$3*$N$3*$Q$3^2)/(4*PI()*$R$3*(A62*0.0000000001))*EXP(-(A62*0.0000000001)/$O$3)</f>
        <v>2.0698405311774192E-3</v>
      </c>
    </row>
    <row r="63" spans="1:9" x14ac:dyDescent="0.25">
      <c r="A63">
        <v>6.1037233229766201</v>
      </c>
      <c r="B63">
        <v>1.2683895010466699</v>
      </c>
      <c r="C63">
        <v>11.107889777415499</v>
      </c>
      <c r="D63">
        <v>0.94911550228888197</v>
      </c>
      <c r="E63">
        <v>11.817103855753</v>
      </c>
      <c r="F63">
        <v>1.04199915931415</v>
      </c>
      <c r="G63">
        <f t="shared" si="0"/>
        <v>-1.7276776688752351E-3</v>
      </c>
      <c r="H63" s="2"/>
      <c r="I63" s="2">
        <f>4*$L$3*(($K$3/(A63*0.0000000001))^12-($K$3/(A63*0.0000000001))^6)+($M$3*$N$3*$Q$3^2)/(4*PI()*$R$3*(A63*0.0000000001))*EXP(-(A63*0.0000000001)/$O$3)</f>
        <v>1.7852669245044096E-3</v>
      </c>
    </row>
    <row r="64" spans="1:9" x14ac:dyDescent="0.25">
      <c r="A64">
        <v>6.28042581368104</v>
      </c>
      <c r="B64">
        <v>1.3342717506550801</v>
      </c>
      <c r="C64">
        <v>11.389171293230699</v>
      </c>
      <c r="D64">
        <v>1.00557613121391</v>
      </c>
      <c r="E64">
        <v>12.002220750776701</v>
      </c>
      <c r="F64">
        <v>1.0558181943657301</v>
      </c>
      <c r="G64">
        <f t="shared" si="0"/>
        <v>-1.4707600066040645E-3</v>
      </c>
      <c r="H64" s="2"/>
      <c r="I64" s="2">
        <f>4*$L$3*(($K$3/(A64*0.0000000001))^12-($K$3/(A64*0.0000000001))^6)+($M$3*$N$3*$Q$3^2)/(4*PI()*$R$3*(A64*0.0000000001))*EXP(-(A64*0.0000000001)/$O$3)</f>
        <v>1.5197853401575333E-3</v>
      </c>
    </row>
    <row r="65" spans="1:9" x14ac:dyDescent="0.25">
      <c r="A65">
        <v>6.4705913512962798</v>
      </c>
      <c r="B65">
        <v>1.36263532009845</v>
      </c>
      <c r="C65">
        <v>11.5646717261753</v>
      </c>
      <c r="D65">
        <v>1.0302529795202999</v>
      </c>
      <c r="E65">
        <v>12.187337645800399</v>
      </c>
      <c r="F65">
        <v>1.0610003325100701</v>
      </c>
      <c r="G65">
        <f t="shared" si="0"/>
        <v>-1.2407241665055016E-3</v>
      </c>
      <c r="H65" s="2"/>
      <c r="I65" s="2">
        <f>4*$L$3*(($K$3/(A65*0.0000000001))^12-($K$3/(A65*0.0000000001))^6)+($M$3*$N$3*$Q$3^2)/(4*PI()*$R$3*(A65*0.0000000001))*EXP(-(A65*0.0000000001)/$O$3)</f>
        <v>1.2820816387223515E-3</v>
      </c>
    </row>
    <row r="66" spans="1:9" x14ac:dyDescent="0.25">
      <c r="A66">
        <v>6.6543993389814204</v>
      </c>
      <c r="B66">
        <v>1.33734264733321</v>
      </c>
      <c r="C66">
        <v>11.749788621199</v>
      </c>
      <c r="D66">
        <v>1.0537453391079901</v>
      </c>
      <c r="E66">
        <v>12.3724545408241</v>
      </c>
      <c r="F66">
        <v>1.0610003325100701</v>
      </c>
      <c r="G66">
        <f t="shared" si="0"/>
        <v>-1.0561138210964654E-3</v>
      </c>
      <c r="H66" s="2"/>
      <c r="I66" s="2">
        <f>4*$L$3*(($K$3/(A66*0.0000000001))^12-($K$3/(A66*0.0000000001))^6)+($M$3*$N$3*$Q$3^2)/(4*PI()*$R$3*(A66*0.0000000001))*EXP(-(A66*0.0000000001)/$O$3)</f>
        <v>1.0913176151330143E-3</v>
      </c>
    </row>
    <row r="67" spans="1:9" x14ac:dyDescent="0.25">
      <c r="A67">
        <v>6.8357764987521001</v>
      </c>
      <c r="B67">
        <v>1.2776137069436</v>
      </c>
      <c r="C67">
        <v>11.934905516222599</v>
      </c>
      <c r="D67">
        <v>1.07171008467504</v>
      </c>
      <c r="E67">
        <v>12.5575714358478</v>
      </c>
      <c r="F67">
        <v>1.0558181943657301</v>
      </c>
      <c r="G67">
        <f t="shared" si="0"/>
        <v>-9.0382439594341002E-4</v>
      </c>
      <c r="H67" s="2"/>
      <c r="I67" s="2">
        <f>4*$L$3*(($K$3/(A67*0.0000000001))^12-($K$3/(A67*0.0000000001))^6)+($M$3*$N$3*$Q$3^2)/(4*PI()*$R$3*(A67*0.0000000001))*EXP(-(A67*0.0000000001)/$O$3)</f>
        <v>9.3395187580819043E-4</v>
      </c>
    </row>
    <row r="68" spans="1:9" x14ac:dyDescent="0.25">
      <c r="A68">
        <v>7.02089339377578</v>
      </c>
      <c r="B68">
        <v>1.19953615890217</v>
      </c>
      <c r="C68">
        <v>12.1200224112463</v>
      </c>
      <c r="D68">
        <v>1.0806924574585699</v>
      </c>
      <c r="E68">
        <v>12.742688330871401</v>
      </c>
      <c r="F68">
        <v>1.04222947656501</v>
      </c>
      <c r="G68">
        <f t="shared" ref="G68:G107" si="1">4*$L$4*(($K$3/(A68*0.0000000001))^12-($K$3/(A68*0.0000000001))^6)</f>
        <v>-7.7360023802831824E-4</v>
      </c>
      <c r="H68" s="2"/>
      <c r="I68" s="2">
        <f>4*$L$3*(($K$3/(A68*0.0000000001))^12-($K$3/(A68*0.0000000001))^6)+($M$3*$N$3*$Q$3^2)/(4*PI()*$R$3*(A68*0.0000000001))*EXP(-(A68*0.0000000001)/$O$3)</f>
        <v>7.9938691262926222E-4</v>
      </c>
    </row>
    <row r="69" spans="1:9" x14ac:dyDescent="0.25">
      <c r="A69">
        <v>7.1891814801609497</v>
      </c>
      <c r="B69">
        <v>1.1194625280199499</v>
      </c>
      <c r="C69">
        <v>12.30513930627</v>
      </c>
      <c r="D69">
        <v>1.0810379333348601</v>
      </c>
      <c r="E69">
        <v>12.927805225895099</v>
      </c>
      <c r="F69">
        <v>1.03163488302546</v>
      </c>
      <c r="G69">
        <f t="shared" si="1"/>
        <v>-6.7352992480551035E-4</v>
      </c>
      <c r="H69" s="2"/>
      <c r="I69" s="2">
        <f>4*$L$3*(($K$3/(A69*0.0000000001))^12-($K$3/(A69*0.0000000001))^6)+($M$3*$N$3*$Q$3^2)/(4*PI()*$R$3*(A69*0.0000000001))*EXP(-(A69*0.0000000001)/$O$3)</f>
        <v>6.9598092229902742E-4</v>
      </c>
    </row>
    <row r="70" spans="1:9" x14ac:dyDescent="0.25">
      <c r="A70">
        <v>7.3742983751846296</v>
      </c>
      <c r="B70">
        <v>1.03474416591207</v>
      </c>
      <c r="C70">
        <v>12.4902562012937</v>
      </c>
      <c r="D70">
        <v>1.0730919881801999</v>
      </c>
      <c r="E70">
        <v>13.1129221209188</v>
      </c>
      <c r="F70">
        <v>1.01643394446872</v>
      </c>
      <c r="G70">
        <f t="shared" si="1"/>
        <v>-5.8016567890368381E-4</v>
      </c>
      <c r="H70" s="2"/>
      <c r="I70" s="2">
        <f>4*$L$3*(($K$3/(A70*0.0000000001))^12-($K$3/(A70*0.0000000001))^6)+($M$3*$N$3*$Q$3^2)/(4*PI()*$R$3*(A70*0.0000000001))*EXP(-(A70*0.0000000001)/$O$3)</f>
        <v>5.9950453486714E-4</v>
      </c>
    </row>
    <row r="71" spans="1:9" x14ac:dyDescent="0.25">
      <c r="A71">
        <v>7.56876460834083</v>
      </c>
      <c r="B71">
        <v>0.96280841122689698</v>
      </c>
      <c r="C71">
        <v>12.675373096317401</v>
      </c>
      <c r="D71">
        <v>1.06169128426265</v>
      </c>
      <c r="E71">
        <v>13.2980390159425</v>
      </c>
      <c r="F71">
        <v>1.0028452266679999</v>
      </c>
      <c r="G71">
        <f t="shared" si="1"/>
        <v>-4.9772354952976375E-4</v>
      </c>
      <c r="H71" s="2"/>
      <c r="I71" s="2">
        <f>4*$L$3*(($K$3/(A71*0.0000000001))^12-($K$3/(A71*0.0000000001))^6)+($M$3*$N$3*$Q$3^2)/(4*PI()*$R$3*(A71*0.0000000001))*EXP(-(A71*0.0000000001)/$O$3)</f>
        <v>5.1431433451408926E-4</v>
      </c>
    </row>
    <row r="72" spans="1:9" x14ac:dyDescent="0.25">
      <c r="A72">
        <v>7.7445321652320001</v>
      </c>
      <c r="B72">
        <v>0.90760904343752602</v>
      </c>
      <c r="C72">
        <v>12.826832374064001</v>
      </c>
      <c r="D72">
        <v>1.0487359389017901</v>
      </c>
      <c r="E72">
        <v>13.4831559109662</v>
      </c>
      <c r="F72">
        <v>0.98741397086040605</v>
      </c>
      <c r="G72">
        <f t="shared" si="1"/>
        <v>-4.3463556358598322E-4</v>
      </c>
      <c r="H72" s="2"/>
      <c r="I72" s="2">
        <f>4*$L$3*(($K$3/(A72*0.0000000001))^12-($K$3/(A72*0.0000000001))^6)+($M$3*$N$3*$Q$3^2)/(4*PI()*$R$3*(A72*0.0000000001))*EXP(-(A72*0.0000000001)/$O$3)</f>
        <v>4.4912341570551602E-4</v>
      </c>
    </row>
    <row r="73" spans="1:9" x14ac:dyDescent="0.25">
      <c r="A73">
        <v>7.9330148219833898</v>
      </c>
      <c r="B73">
        <v>0.86594465275701005</v>
      </c>
      <c r="C73">
        <v>13.225915550348899</v>
      </c>
      <c r="D73">
        <v>0.99797566193554299</v>
      </c>
      <c r="E73">
        <v>13.668272805989901</v>
      </c>
      <c r="F73">
        <v>0.97589810831742096</v>
      </c>
      <c r="G73">
        <f t="shared" si="1"/>
        <v>-3.7699594483379798E-4</v>
      </c>
      <c r="H73" s="2"/>
      <c r="I73" s="2">
        <f>4*$L$3*(($K$3/(A73*0.0000000001))^12-($K$3/(A73*0.0000000001))^6)+($M$3*$N$3*$Q$3^2)/(4*PI()*$R$3*(A73*0.0000000001))*EXP(-(A73*0.0000000001)/$O$3)</f>
        <v>3.8956247632825796E-4</v>
      </c>
    </row>
    <row r="74" spans="1:9" x14ac:dyDescent="0.25">
      <c r="A74">
        <v>8.1332776447817405</v>
      </c>
      <c r="B74">
        <v>0.83706286949920605</v>
      </c>
      <c r="C74">
        <v>13.415840676412101</v>
      </c>
      <c r="D74">
        <v>0.982774723378804</v>
      </c>
      <c r="E74">
        <v>13.853389701013599</v>
      </c>
      <c r="F74">
        <v>0.96703089415932397</v>
      </c>
      <c r="G74">
        <f t="shared" si="1"/>
        <v>-3.2519953371444756E-4</v>
      </c>
      <c r="H74" s="2"/>
      <c r="I74" s="2">
        <f>4*$L$3*(($K$3/(A74*0.0000000001))^12-($K$3/(A74*0.0000000001))^6)+($M$3*$N$3*$Q$3^2)/(4*PI()*$R$3*(A74*0.0000000001))*EXP(-(A74*0.0000000001)/$O$3)</f>
        <v>3.360395181715958E-4</v>
      </c>
    </row>
    <row r="75" spans="1:9" x14ac:dyDescent="0.25">
      <c r="A75">
        <v>8.2325676157489909</v>
      </c>
      <c r="B75">
        <v>0.83402268178785899</v>
      </c>
      <c r="C75">
        <v>13.595908928844199</v>
      </c>
      <c r="D75">
        <v>0.96969105840675396</v>
      </c>
      <c r="E75">
        <v>14.0385065960372</v>
      </c>
      <c r="F75">
        <v>0.96081232838611197</v>
      </c>
      <c r="G75">
        <f t="shared" si="1"/>
        <v>-3.026003750499454E-4</v>
      </c>
      <c r="H75" s="2"/>
      <c r="I75" s="2">
        <f>4*$L$3*(($K$3/(A75*0.0000000001))^12-($K$3/(A75*0.0000000001))^6)+($M$3*$N$3*$Q$3^2)/(4*PI()*$R$3*(A75*0.0000000001))*EXP(-(A75*0.0000000001)/$O$3)</f>
        <v>3.1268705421827692E-4</v>
      </c>
    </row>
    <row r="76" spans="1:9" x14ac:dyDescent="0.25">
      <c r="A76">
        <v>8.6179473335710295</v>
      </c>
      <c r="B76">
        <v>0.83706286949920605</v>
      </c>
      <c r="C76">
        <v>13.7860744664595</v>
      </c>
      <c r="D76">
        <v>0.95701209374692797</v>
      </c>
      <c r="E76">
        <v>14.2236234910609</v>
      </c>
      <c r="F76">
        <v>0.960466852509823</v>
      </c>
      <c r="G76">
        <f t="shared" si="1"/>
        <v>-2.305314896324268E-4</v>
      </c>
      <c r="H76" s="2"/>
      <c r="I76" s="2">
        <f>4*$L$3*(($K$3/(A76*0.0000000001))^12-($K$3/(A76*0.0000000001))^6)+($M$3*$N$3*$Q$3^2)/(4*PI()*$R$3*(A76*0.0000000001))*EXP(-(A76*0.0000000001)/$O$3)</f>
        <v>2.3821587262017437E-4</v>
      </c>
    </row>
    <row r="77" spans="1:9" x14ac:dyDescent="0.25">
      <c r="A77">
        <v>8.8178361828440792</v>
      </c>
      <c r="B77">
        <v>0.85893533108918096</v>
      </c>
      <c r="C77">
        <v>13.9711913614832</v>
      </c>
      <c r="D77">
        <v>0.94872067271598004</v>
      </c>
      <c r="E77">
        <v>14.408740386084601</v>
      </c>
      <c r="F77">
        <v>0.96184875601498199</v>
      </c>
      <c r="G77">
        <f t="shared" si="1"/>
        <v>-2.0110208271874831E-4</v>
      </c>
      <c r="H77" s="2"/>
      <c r="I77" s="2">
        <f>4*$L$3*(($K$3/(A77*0.0000000001))^12-($K$3/(A77*0.0000000001))^6)+($M$3*$N$3*$Q$3^2)/(4*PI()*$R$3*(A77*0.0000000001))*EXP(-(A77*0.0000000001)/$O$3)</f>
        <v>2.0780548547603991E-4</v>
      </c>
    </row>
    <row r="78" spans="1:9" x14ac:dyDescent="0.25">
      <c r="A78">
        <v>8.98986400448225</v>
      </c>
      <c r="B78">
        <v>0.88791691848902499</v>
      </c>
      <c r="C78">
        <v>14.1563082565069</v>
      </c>
      <c r="D78">
        <v>0.94561138982937398</v>
      </c>
      <c r="E78">
        <v>14.593857281108299</v>
      </c>
      <c r="F78">
        <v>0.96633994240674603</v>
      </c>
      <c r="G78">
        <f t="shared" si="1"/>
        <v>-1.7922264614574746E-4</v>
      </c>
      <c r="H78" s="2"/>
      <c r="I78" s="2">
        <f>4*$L$3*(($K$3/(A78*0.0000000001))^12-($K$3/(A78*0.0000000001))^6)+($M$3*$N$3*$Q$3^2)/(4*PI()*$R$3*(A78*0.0000000001))*EXP(-(A78*0.0000000001)/$O$3)</f>
        <v>1.8519673435060571E-4</v>
      </c>
    </row>
    <row r="79" spans="1:9" x14ac:dyDescent="0.25">
      <c r="A79">
        <v>9.1699322569143806</v>
      </c>
      <c r="B79">
        <v>0.92750845391180203</v>
      </c>
      <c r="C79">
        <v>14.341425151530499</v>
      </c>
      <c r="D79">
        <v>0.94802972096340099</v>
      </c>
      <c r="E79">
        <v>14.778974176131999</v>
      </c>
      <c r="F79">
        <v>0.97359493580882595</v>
      </c>
      <c r="G79">
        <f t="shared" si="1"/>
        <v>-1.5922430127441448E-4</v>
      </c>
      <c r="H79" s="2"/>
      <c r="I79" s="2">
        <f>4*$L$3*(($K$3/(A79*0.0000000001))^12-($K$3/(A79*0.0000000001))^6)+($M$3*$N$3*$Q$3^2)/(4*PI()*$R$3*(A79*0.0000000001))*EXP(-(A79*0.0000000001)/$O$3)</f>
        <v>1.6453177798356162E-4</v>
      </c>
    </row>
    <row r="80" spans="1:9" x14ac:dyDescent="0.25">
      <c r="A80">
        <v>9.33906178373147</v>
      </c>
      <c r="B80">
        <v>0.96513077683973203</v>
      </c>
      <c r="C80">
        <v>14.5315906891458</v>
      </c>
      <c r="D80">
        <v>0.95335004945825996</v>
      </c>
      <c r="E80">
        <v>14.930433453878599</v>
      </c>
      <c r="F80">
        <v>0.98006027006509999</v>
      </c>
      <c r="G80">
        <f t="shared" si="1"/>
        <v>-1.4276722687110187E-4</v>
      </c>
      <c r="H80" s="2"/>
      <c r="I80" s="2">
        <f>4*$L$3*(($K$3/(A80*0.0000000001))^12-($K$3/(A80*0.0000000001))^6)+($M$3*$N$3*$Q$3^2)/(4*PI()*$R$3*(A80*0.0000000001))*EXP(-(A80*0.0000000001)/$O$3)</f>
        <v>1.4752613443347193E-4</v>
      </c>
    </row>
    <row r="81" spans="1:9" x14ac:dyDescent="0.25">
      <c r="A81">
        <v>9.6108470432435098</v>
      </c>
      <c r="B81">
        <v>1.0285946953141101</v>
      </c>
      <c r="C81">
        <v>14.6611725156624</v>
      </c>
      <c r="D81">
        <v>0.95563019024177098</v>
      </c>
      <c r="G81">
        <f t="shared" si="1"/>
        <v>-1.2028399522054512E-4</v>
      </c>
      <c r="H81" s="2"/>
      <c r="I81" s="2">
        <f>4*$L$3*(($K$3/(A81*0.0000000001))^12-($K$3/(A81*0.0000000001))^6)+($M$3*$N$3*$Q$3^2)/(4*PI()*$R$3*(A81*0.0000000001))*EXP(-(A81*0.0000000001)/$O$3)</f>
        <v>1.2429346172789662E-4</v>
      </c>
    </row>
    <row r="82" spans="1:9" x14ac:dyDescent="0.25">
      <c r="A82">
        <v>9.8043783425864603</v>
      </c>
      <c r="B82">
        <v>1.0677371120977199</v>
      </c>
      <c r="C82">
        <v>14.941142695739501</v>
      </c>
      <c r="D82">
        <v>0.98499563972637905</v>
      </c>
      <c r="G82">
        <f t="shared" si="1"/>
        <v>-1.0677149621361302E-4</v>
      </c>
      <c r="H82" s="2"/>
      <c r="I82" s="2">
        <f>4*$L$3*(($K$3/(A82*0.0000000001))^12-($K$3/(A82*0.0000000001))^6)+($M$3*$N$3*$Q$3^2)/(4*PI()*$R$3*(A82*0.0000000001))*EXP(-(A82*0.0000000001)/$O$3)</f>
        <v>1.1033054608740012E-4</v>
      </c>
    </row>
    <row r="83" spans="1:9" x14ac:dyDescent="0.25">
      <c r="A83">
        <v>9.97645291091529</v>
      </c>
      <c r="B83">
        <v>1.09433875457201</v>
      </c>
      <c r="G83">
        <f t="shared" si="1"/>
        <v>-9.6221705407282797E-5</v>
      </c>
      <c r="H83" s="2"/>
      <c r="I83" s="2">
        <f>4*$L$3*(($K$3/(A83*0.0000000001))^12-($K$3/(A83*0.0000000001))^6)+($M$3*$N$3*$Q$3^2)/(4*PI()*$R$3*(A83*0.0000000001))*EXP(-(A83*0.0000000001)/$O$3)</f>
        <v>9.9429095587525565E-5</v>
      </c>
    </row>
    <row r="84" spans="1:9" x14ac:dyDescent="0.25">
      <c r="A84">
        <v>10.169563490042201</v>
      </c>
      <c r="B84">
        <v>1.11219985737618</v>
      </c>
      <c r="G84">
        <f t="shared" si="1"/>
        <v>-8.5796274698815008E-5</v>
      </c>
      <c r="H84" s="2"/>
      <c r="I84" s="2">
        <f>4*$L$3*(($K$3/(A84*0.0000000001))^12-($K$3/(A84*0.0000000001))^6)+($M$3*$N$3*$Q$3^2)/(4*PI()*$R$3*(A84*0.0000000001))*EXP(-(A84*0.0000000001)/$O$3)</f>
        <v>8.8656150522108842E-5</v>
      </c>
    </row>
    <row r="85" spans="1:9" x14ac:dyDescent="0.25">
      <c r="A85">
        <v>10.352997504202101</v>
      </c>
      <c r="B85">
        <v>1.1152400450875299</v>
      </c>
      <c r="G85">
        <f t="shared" si="1"/>
        <v>-7.7092597996619548E-5</v>
      </c>
      <c r="H85" s="2"/>
      <c r="I85" s="2">
        <f>4*$L$3*(($K$3/(A85*0.0000000001))^12-($K$3/(A85*0.0000000001))^6)+($M$3*$N$3*$Q$3^2)/(4*PI()*$R$3*(A85*0.0000000001))*EXP(-(A85*0.0000000001)/$O$3)</f>
        <v>7.9662351263173534E-5</v>
      </c>
    </row>
    <row r="86" spans="1:9" x14ac:dyDescent="0.25">
      <c r="A86">
        <v>10.533306168186201</v>
      </c>
      <c r="B86">
        <v>1.10872535713464</v>
      </c>
      <c r="G86">
        <f t="shared" si="1"/>
        <v>-6.9523475477137038E-5</v>
      </c>
      <c r="H86" s="2"/>
      <c r="I86" s="2">
        <f>4*$L$3*(($K$3/(A86*0.0000000001))^12-($K$3/(A86*0.0000000001))^6)+($M$3*$N$3*$Q$3^2)/(4*PI()*$R$3*(A86*0.0000000001))*EXP(-(A86*0.0000000001)/$O$3)</f>
        <v>7.1840924659708275E-5</v>
      </c>
    </row>
    <row r="87" spans="1:9" x14ac:dyDescent="0.25">
      <c r="A87">
        <v>10.716018947690101</v>
      </c>
      <c r="B87">
        <v>1.09026707460145</v>
      </c>
      <c r="G87">
        <f t="shared" si="1"/>
        <v>-6.2721726705023236E-5</v>
      </c>
      <c r="H87" s="2"/>
      <c r="I87" s="2">
        <f>4*$L$3*(($K$3/(A87*0.0000000001))^12-($K$3/(A87*0.0000000001))^6)+($M$3*$N$3*$Q$3^2)/(4*PI()*$R$3*(A87*0.0000000001))*EXP(-(A87*0.0000000001)/$O$3)</f>
        <v>6.4812450928524015E-5</v>
      </c>
    </row>
    <row r="88" spans="1:9" x14ac:dyDescent="0.25">
      <c r="A88">
        <v>10.9195673950321</v>
      </c>
      <c r="B88">
        <v>1.06372575331191</v>
      </c>
      <c r="G88">
        <f t="shared" si="1"/>
        <v>-5.6038122692122935E-5</v>
      </c>
      <c r="H88" s="2"/>
      <c r="I88" s="2">
        <f>4*$L$3*(($K$3/(A88*0.0000000001))^12-($K$3/(A88*0.0000000001))^6)+($M$3*$N$3*$Q$3^2)/(4*PI()*$R$3*(A88*0.0000000001))*EXP(-(A88*0.0000000001)/$O$3)</f>
        <v>5.7906060115193704E-5</v>
      </c>
    </row>
    <row r="89" spans="1:9" x14ac:dyDescent="0.25">
      <c r="A89">
        <v>11.105245250343801</v>
      </c>
      <c r="B89">
        <v>1.0377152584481599</v>
      </c>
      <c r="G89">
        <f t="shared" si="1"/>
        <v>-5.0655381840420714E-5</v>
      </c>
      <c r="H89" s="2"/>
      <c r="I89" s="2">
        <f>4*$L$3*(($K$3/(A89*0.0000000001))^12-($K$3/(A89*0.0000000001))^6)+($M$3*$N$3*$Q$3^2)/(4*PI()*$R$3*(A89*0.0000000001))*EXP(-(A89*0.0000000001)/$O$3)</f>
        <v>5.234389456843474E-5</v>
      </c>
    </row>
    <row r="90" spans="1:9" x14ac:dyDescent="0.25">
      <c r="A90">
        <v>11.2757771778807</v>
      </c>
      <c r="B90">
        <v>1.01136696494981</v>
      </c>
      <c r="G90">
        <f t="shared" si="1"/>
        <v>-4.6235961782920741E-5</v>
      </c>
      <c r="H90" s="2"/>
      <c r="I90" s="2">
        <f>4*$L$3*(($K$3/(A90*0.0000000001))^12-($K$3/(A90*0.0000000001))^6)+($M$3*$N$3*$Q$3^2)/(4*PI()*$R$3*(A90*0.0000000001))*EXP(-(A90*0.0000000001)/$O$3)</f>
        <v>4.7777160509018105E-5</v>
      </c>
    </row>
    <row r="91" spans="1:9" x14ac:dyDescent="0.25">
      <c r="A91">
        <v>11.5571922556693</v>
      </c>
      <c r="B91">
        <v>0.97420911514445097</v>
      </c>
      <c r="G91">
        <f t="shared" si="1"/>
        <v>-3.9887524158601335E-5</v>
      </c>
      <c r="H91" s="2"/>
      <c r="I91" s="2">
        <f>4*$L$3*(($K$3/(A91*0.0000000001))^12-($K$3/(A91*0.0000000001))^6)+($M$3*$N$3*$Q$3^2)/(4*PI()*$R$3*(A91*0.0000000001))*EXP(-(A91*0.0000000001)/$O$3)</f>
        <v>4.1217108297221378E-5</v>
      </c>
    </row>
    <row r="92" spans="1:9" x14ac:dyDescent="0.25">
      <c r="A92">
        <v>11.7890558413555</v>
      </c>
      <c r="B92">
        <v>0.95056321072285699</v>
      </c>
      <c r="G92">
        <f t="shared" si="1"/>
        <v>-3.5411310827937997E-5</v>
      </c>
      <c r="H92" s="2"/>
      <c r="I92" s="2">
        <f>4*$L$3*(($K$3/(A92*0.0000000001))^12-($K$3/(A92*0.0000000001))^6)+($M$3*$N$3*$Q$3^2)/(4*PI()*$R$3*(A92*0.0000000001))*EXP(-(A92*0.0000000001)/$O$3)</f>
        <v>3.6591687855535933E-5</v>
      </c>
    </row>
    <row r="93" spans="1:9" x14ac:dyDescent="0.25">
      <c r="A93">
        <v>12.0527071766923</v>
      </c>
      <c r="B93">
        <v>0.93282878240666101</v>
      </c>
      <c r="G93">
        <f t="shared" si="1"/>
        <v>-3.1015042074368078E-5</v>
      </c>
      <c r="H93" s="2"/>
      <c r="I93" s="2">
        <f>4*$L$3*(($K$3/(A93*0.0000000001))^12-($K$3/(A93*0.0000000001))^6)+($M$3*$N$3*$Q$3^2)/(4*PI()*$R$3*(A93*0.0000000001))*EXP(-(A93*0.0000000001)/$O$3)</f>
        <v>3.2048876810180351E-5</v>
      </c>
    </row>
    <row r="94" spans="1:9" x14ac:dyDescent="0.25">
      <c r="A94">
        <v>12.1957520501196</v>
      </c>
      <c r="B94">
        <v>0.93282878240666101</v>
      </c>
      <c r="G94">
        <f t="shared" si="1"/>
        <v>-2.8897431139422572E-5</v>
      </c>
      <c r="H94" s="2"/>
      <c r="I94" s="2">
        <f>4*$L$3*(($K$3/(A94*0.0000000001))^12-($K$3/(A94*0.0000000001))^6)+($M$3*$N$3*$Q$3^2)/(4*PI()*$R$3*(A94*0.0000000001))*EXP(-(A94*0.0000000001)/$O$3)</f>
        <v>2.9860678844069992E-5</v>
      </c>
    </row>
    <row r="95" spans="1:9" x14ac:dyDescent="0.25">
      <c r="A95">
        <v>12.4633301074721</v>
      </c>
      <c r="B95">
        <v>0.93282878240666101</v>
      </c>
      <c r="G95">
        <f t="shared" si="1"/>
        <v>-2.537215402245533E-5</v>
      </c>
      <c r="H95" s="2"/>
      <c r="I95" s="2">
        <f>4*$L$3*(($K$3/(A95*0.0000000001))^12-($K$3/(A95*0.0000000001))^6)+($M$3*$N$3*$Q$3^2)/(4*PI()*$R$3*(A95*0.0000000001))*EXP(-(A95*0.0000000001)/$O$3)</f>
        <v>2.6217892489870507E-5</v>
      </c>
    </row>
    <row r="96" spans="1:9" x14ac:dyDescent="0.25">
      <c r="A96">
        <v>12.648927825599699</v>
      </c>
      <c r="B96">
        <v>0.94368659566147595</v>
      </c>
      <c r="G96">
        <f t="shared" si="1"/>
        <v>-2.3220462466232089E-5</v>
      </c>
      <c r="H96" s="2"/>
      <c r="I96" s="2">
        <f>4*$L$3*(($K$3/(A96*0.0000000001))^12-($K$3/(A96*0.0000000001))^6)+($M$3*$N$3*$Q$3^2)/(4*PI()*$R$3*(A96*0.0000000001))*EXP(-(A96*0.0000000001)/$O$3)</f>
        <v>2.3994477881773159E-5</v>
      </c>
    </row>
    <row r="97" spans="1:9" x14ac:dyDescent="0.25">
      <c r="A97">
        <v>12.8287022416905</v>
      </c>
      <c r="B97">
        <v>0.95225220389582799</v>
      </c>
      <c r="G97">
        <f t="shared" si="1"/>
        <v>-2.133654689842121E-5</v>
      </c>
      <c r="H97" s="2"/>
      <c r="I97" s="2">
        <f>4*$L$3*(($K$3/(A97*0.0000000001))^12-($K$3/(A97*0.0000000001))^6)+($M$3*$N$3*$Q$3^2)/(4*PI()*$R$3*(A97*0.0000000001))*EXP(-(A97*0.0000000001)/$O$3)</f>
        <v>2.2047765128368582E-5</v>
      </c>
    </row>
    <row r="98" spans="1:9" x14ac:dyDescent="0.25">
      <c r="A98">
        <v>13.070850099322501</v>
      </c>
      <c r="B98">
        <v>0.97387131650985703</v>
      </c>
      <c r="G98">
        <f t="shared" si="1"/>
        <v>-1.907349625890105E-5</v>
      </c>
      <c r="H98" s="2"/>
      <c r="I98" s="2">
        <f>4*$L$3*(($K$3/(A98*0.0000000001))^12-($K$3/(A98*0.0000000001))^6)+($M$3*$N$3*$Q$3^2)/(4*PI()*$R$3*(A98*0.0000000001))*EXP(-(A98*0.0000000001)/$O$3)</f>
        <v>1.9709279467531084E-5</v>
      </c>
    </row>
    <row r="99" spans="1:9" x14ac:dyDescent="0.25">
      <c r="A99">
        <v>13.2223093770692</v>
      </c>
      <c r="B99">
        <v>0.99363253663361795</v>
      </c>
      <c r="G99">
        <f t="shared" si="1"/>
        <v>-1.7800323299094211E-5</v>
      </c>
      <c r="H99" s="2"/>
      <c r="I99" s="2">
        <f>4*$L$3*(($K$3/(A99*0.0000000001))^12-($K$3/(A99*0.0000000001))^6)+($M$3*$N$3*$Q$3^2)/(4*PI()*$R$3*(A99*0.0000000001))*EXP(-(A99*0.0000000001)/$O$3)</f>
        <v>1.8393667409064017E-5</v>
      </c>
    </row>
    <row r="100" spans="1:9" x14ac:dyDescent="0.25">
      <c r="A100">
        <v>13.5487882646564</v>
      </c>
      <c r="B100">
        <v>1.01947413218007</v>
      </c>
      <c r="G100">
        <f t="shared" si="1"/>
        <v>-1.5378152584338963E-5</v>
      </c>
      <c r="H100" s="2"/>
      <c r="I100" s="2">
        <f>4*$L$3*(($K$3/(A100*0.0000000001))^12-($K$3/(A100*0.0000000001))^6)+($M$3*$N$3*$Q$3^2)/(4*PI()*$R$3*(A100*0.0000000001))*EXP(-(A100*0.0000000001)/$O$3)</f>
        <v>1.5890757670483596E-5</v>
      </c>
    </row>
    <row r="101" spans="1:9" x14ac:dyDescent="0.25">
      <c r="A101">
        <v>13.740396271583499</v>
      </c>
      <c r="B101">
        <v>1.0327206643509399</v>
      </c>
      <c r="G101">
        <f t="shared" si="1"/>
        <v>-1.4136091920599867E-5</v>
      </c>
      <c r="H101" s="2"/>
      <c r="I101" s="2">
        <f>4*$L$3*(($K$3/(A101*0.0000000001))^12-($K$3/(A101*0.0000000001))^6)+($M$3*$N$3*$Q$3^2)/(4*PI()*$R$3*(A101*0.0000000001))*EXP(-(A101*0.0000000001)/$O$3)</f>
        <v>1.4607294984619863E-5</v>
      </c>
    </row>
    <row r="102" spans="1:9" x14ac:dyDescent="0.25">
      <c r="A102">
        <v>13.9038761269291</v>
      </c>
      <c r="B102">
        <v>1.03923535230383</v>
      </c>
      <c r="G102">
        <f t="shared" si="1"/>
        <v>-1.3168114699201388E-5</v>
      </c>
      <c r="H102" s="2"/>
      <c r="I102" s="2">
        <f>4*$L$3*(($K$3/(A102*0.0000000001))^12-($K$3/(A102*0.0000000001))^6)+($M$3*$N$3*$Q$3^2)/(4*PI()*$R$3*(A102*0.0000000001))*EXP(-(A102*0.0000000001)/$O$3)</f>
        <v>1.3607051855841434E-5</v>
      </c>
    </row>
    <row r="103" spans="1:9" x14ac:dyDescent="0.25">
      <c r="A103">
        <v>14.1394794478683</v>
      </c>
      <c r="B103">
        <v>1.0468358215822</v>
      </c>
      <c r="G103">
        <f t="shared" si="1"/>
        <v>-1.1905748707218983E-5</v>
      </c>
      <c r="H103" s="2"/>
      <c r="I103" s="2">
        <f>4*$L$3*(($K$3/(A103*0.0000000001))^12-($K$3/(A103*0.0000000001))^6)+($M$3*$N$3*$Q$3^2)/(4*PI()*$R$3*(A103*0.0000000001))*EXP(-(A103*0.0000000001)/$O$3)</f>
        <v>1.2302606997459617E-5</v>
      </c>
    </row>
    <row r="104" spans="1:9" x14ac:dyDescent="0.25">
      <c r="A104">
        <v>14.290938725615</v>
      </c>
      <c r="B104">
        <v>1.0468358215822</v>
      </c>
      <c r="G104">
        <f t="shared" si="1"/>
        <v>-1.1168719317417393E-5</v>
      </c>
      <c r="H104" s="2"/>
      <c r="I104" s="2">
        <f>4*$L$3*(($K$3/(A104*0.0000000001))^12-($K$3/(A104*0.0000000001))^6)+($M$3*$N$3*$Q$3^2)/(4*PI()*$R$3*(A104*0.0000000001))*EXP(-(A104*0.0000000001)/$O$3)</f>
        <v>1.1541009961331307E-5</v>
      </c>
    </row>
    <row r="105" spans="1:9" x14ac:dyDescent="0.25">
      <c r="A105">
        <v>14.5265420465542</v>
      </c>
      <c r="B105">
        <v>1.03888987642754</v>
      </c>
      <c r="G105">
        <f t="shared" si="1"/>
        <v>-1.0125338877281021E-5</v>
      </c>
      <c r="H105" s="2"/>
      <c r="I105" s="2">
        <f>4*$L$3*(($K$3/(A105*0.0000000001))^12-($K$3/(A105*0.0000000001))^6)+($M$3*$N$3*$Q$3^2)/(4*PI()*$R$3*(A105*0.0000000001))*EXP(-(A105*0.0000000001)/$O$3)</f>
        <v>1.0462850173190388E-5</v>
      </c>
    </row>
    <row r="106" spans="1:9" x14ac:dyDescent="0.25">
      <c r="A106">
        <v>14.725682948776701</v>
      </c>
      <c r="B106">
        <v>1.029101393266</v>
      </c>
      <c r="G106">
        <f t="shared" si="1"/>
        <v>-9.3312939867604754E-6</v>
      </c>
      <c r="H106" s="2"/>
      <c r="I106" s="2">
        <f>4*$L$3*(($K$3/(A106*0.0000000001))^12-($K$3/(A106*0.0000000001))^6)+($M$3*$N$3*$Q$3^2)/(4*PI()*$R$3*(A106*0.0000000001))*EXP(-(A106*0.0000000001)/$O$3)</f>
        <v>9.6423371196524911E-6</v>
      </c>
    </row>
    <row r="107" spans="1:9" x14ac:dyDescent="0.25">
      <c r="A107">
        <v>14.8986457042281</v>
      </c>
      <c r="B107">
        <v>1.01812293764169</v>
      </c>
      <c r="G107">
        <f t="shared" si="1"/>
        <v>-8.700073805907991E-6</v>
      </c>
      <c r="H107" s="2"/>
      <c r="I107" s="2">
        <f>4*$L$3*(($K$3/(A107*0.0000000001))^12-($K$3/(A107*0.0000000001))^6)+($M$3*$N$3*$Q$3^2)/(4*PI()*$R$3*(A107*0.0000000001))*EXP(-(A107*0.0000000001)/$O$3)</f>
        <v>8.9900762661049243E-6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PDF_CsF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2025-05-23T09:53:49Z</dcterms:created>
  <dcterms:modified xsi:type="dcterms:W3CDTF">2025-05-23T09:53:49Z</dcterms:modified>
</cp:coreProperties>
</file>