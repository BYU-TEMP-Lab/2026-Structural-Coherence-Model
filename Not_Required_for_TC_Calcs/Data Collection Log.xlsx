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en\Documents\TC_Comparison_Code\Not_Required_for_TC_Calcs\"/>
    </mc:Choice>
  </mc:AlternateContent>
  <xr:revisionPtr revIDLastSave="0" documentId="13_ncr:1_{7197B50C-9FFF-463A-8F55-B0ACCAD60DCF}" xr6:coauthVersionLast="47" xr6:coauthVersionMax="47" xr10:uidLastSave="{00000000-0000-0000-0000-000000000000}"/>
  <bookViews>
    <workbookView xWindow="13575" yWindow="375" windowWidth="13155" windowHeight="11925" activeTab="1" xr2:uid="{B26E2F0A-875B-473F-A6FA-522A4D07EEA9}"/>
  </bookViews>
  <sheets>
    <sheet name="Log" sheetId="1" r:id="rId1"/>
    <sheet name="Sheet1" sheetId="3" r:id="rId2"/>
    <sheet name="k_Dat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" l="1"/>
  <c r="E12" i="3"/>
  <c r="E13" i="3"/>
  <c r="D3" i="3"/>
  <c r="D4" i="3"/>
  <c r="D5" i="3"/>
  <c r="D6" i="3"/>
  <c r="D7" i="3"/>
  <c r="D8" i="3"/>
  <c r="D9" i="3"/>
  <c r="D2" i="3"/>
  <c r="E2" i="3"/>
  <c r="E3" i="3"/>
</calcChain>
</file>

<file path=xl/sharedStrings.xml><?xml version="1.0" encoding="utf-8"?>
<sst xmlns="http://schemas.openxmlformats.org/spreadsheetml/2006/main" count="198" uniqueCount="91">
  <si>
    <t>Molten Salt</t>
  </si>
  <si>
    <t>RDF?</t>
  </si>
  <si>
    <t>Thermal conductivity measurement?</t>
  </si>
  <si>
    <t>MgCl2-NaCl-KCl</t>
  </si>
  <si>
    <t>Author</t>
  </si>
  <si>
    <t>Data Extracted</t>
  </si>
  <si>
    <t>Chao Jiang</t>
  </si>
  <si>
    <t>Yes</t>
  </si>
  <si>
    <t>Link</t>
  </si>
  <si>
    <t>https://www.sciencedirect.com/science/article/pii/S0167732224009103</t>
  </si>
  <si>
    <t>https://asmedigitalcollection.asme.org/solarenergyengineering/article/143/4/041005/1091929/Thermophysical-Properties-Experimentally-Tested</t>
  </si>
  <si>
    <t>Xiaoxin Wang</t>
  </si>
  <si>
    <t>Dataset ID</t>
  </si>
  <si>
    <t>Source</t>
  </si>
  <si>
    <t>Formula</t>
  </si>
  <si>
    <t>Temp (K)</t>
  </si>
  <si>
    <t>lambda_T (W/mK)</t>
  </si>
  <si>
    <t>Reported Uncertainty</t>
  </si>
  <si>
    <t>Uncertainty Units</t>
  </si>
  <si>
    <t>Exp or MD</t>
  </si>
  <si>
    <t>0.73LiF-0.27BeF2 (Bobrova)</t>
  </si>
  <si>
    <t>0.73LiF-0.27BeF2</t>
  </si>
  <si>
    <t>Exp</t>
  </si>
  <si>
    <t>Venkateswara Rao Manga</t>
  </si>
  <si>
    <t>https://pubs.aip.org/aip/jcp/article/144/9/094501/194748/Interplay-between-structure-and-transport</t>
  </si>
  <si>
    <t>https://asmedigitalcollection.asme.org/solarenergyengineering/article/138/5/054501/383681/Thermal-and-Transport-Properties-of-NaCl-KCl-ZnCl2</t>
  </si>
  <si>
    <t>.186NaCl-.219KCl-.595ZnCl2</t>
  </si>
  <si>
    <t>Peiwen Li</t>
  </si>
  <si>
    <t>.19NaCl-.18KCl-.63ZnCl2</t>
  </si>
  <si>
    <t>.2NaCl-.2KCl-.6ZnCl2</t>
  </si>
  <si>
    <t>https://www.sciencedirect.com/science/article/pii/S0927025620305462?via%3Dihub</t>
  </si>
  <si>
    <t>Gechuanqi Pan</t>
  </si>
  <si>
    <t>https://link.springer.com/article/10.1134/S0036023624602642</t>
  </si>
  <si>
    <t>Yekai Zhang</t>
  </si>
  <si>
    <t> 0.4NaF–0.186KF–0.414AlF3</t>
  </si>
  <si>
    <t>https://link.springer.com/article/10.1007/s10953-018-0817-x#Fig9</t>
  </si>
  <si>
    <t>0.5CuCl-0.5CuCl2</t>
  </si>
  <si>
    <t>A.A Raskovalov</t>
  </si>
  <si>
    <t>yes</t>
  </si>
  <si>
    <t>LiCa-CaCl2</t>
  </si>
  <si>
    <t>Jinglong Liang</t>
  </si>
  <si>
    <t>https://www.degruyter.com/document/doi/10.1515/ijcre-2023-0221/html</t>
  </si>
  <si>
    <t>https://link.springer.com/article/10.1134/S0036029524701532#Tab1</t>
  </si>
  <si>
    <t>K. O. Kesler</t>
  </si>
  <si>
    <t>FLiNaK-CeF3</t>
  </si>
  <si>
    <t>0.67NaCl-0.33UCl3</t>
  </si>
  <si>
    <t>Measurement</t>
  </si>
  <si>
    <t>MD Simulations</t>
  </si>
  <si>
    <t>https://www.sciencedirect.com/science/article/pii/S0022311524006731</t>
  </si>
  <si>
    <t>Questionable use of Gheribi's KT</t>
  </si>
  <si>
    <t>Sudipta Pauli</t>
  </si>
  <si>
    <t>MgCl2</t>
  </si>
  <si>
    <t>ZnCl2</t>
  </si>
  <si>
    <t>https://pubs.acs.org/doi/suppl/10.1021/acs.jpcb.1c03786/suppl_file/jp1c03786_si_001.pdf</t>
  </si>
  <si>
    <t>Santanu Roy</t>
  </si>
  <si>
    <t>https://pubs.acs.org/doi/10.1021/acs.jpcb.1c03786</t>
  </si>
  <si>
    <t>NaCl-CaCl2</t>
  </si>
  <si>
    <t>KCl-CaCl2</t>
  </si>
  <si>
    <t>NaCl-CaCl2-MgCl2</t>
  </si>
  <si>
    <t>NaCl-CaCl2-KCl</t>
  </si>
  <si>
    <t>https://www.mdpi.com/1996-1073/15/23/8878?</t>
  </si>
  <si>
    <t>Xiaolan Wei</t>
  </si>
  <si>
    <t>Not yet</t>
  </si>
  <si>
    <t>0.6NaCl-0.4ZnCl2</t>
  </si>
  <si>
    <t>0.6KCl-0.4ZnCl2</t>
  </si>
  <si>
    <t>0.5NaCl-0.5KCl</t>
  </si>
  <si>
    <t>https://www.sciencedirect.com/science/article/pii/S036459161400042X?utm_source=chatgpt.com#f0005</t>
  </si>
  <si>
    <t>Venkateswara Rao Manga</t>
  </si>
  <si>
    <t xml:space="preserve">LiCl-(10-90%)KCl </t>
  </si>
  <si>
    <t>0.618LiCl-0.352KCl-0.029CeCl3</t>
  </si>
  <si>
    <t>Jiang Tao</t>
  </si>
  <si>
    <t>https://www.researchgate.net/publication/298846670_Molecular_Dynamics_Simulation_on_the_Structure_and_Thermodynamics_of_Molten_LiCl-KCl-CeCl3?utm_source=chatgpt.com</t>
  </si>
  <si>
    <t>LiCl-KCl</t>
  </si>
  <si>
    <t>LiCl-KCl-CeCl3</t>
  </si>
  <si>
    <t>LiCl-KCl-SmCl3</t>
  </si>
  <si>
    <t>LiCl-KCl-EuCl3</t>
  </si>
  <si>
    <t>No, but density and cp</t>
  </si>
  <si>
    <t>Jon Fuller</t>
  </si>
  <si>
    <t>https://pubs.rsc.org/en/content/articlelanding/2022/cp/d1cp03056f</t>
  </si>
  <si>
    <t>NaCl</t>
  </si>
  <si>
    <t>Jiangfeng Lu</t>
  </si>
  <si>
    <t>https://www.mdpi.com/1996-1073/14/3/746</t>
  </si>
  <si>
    <t>https://www.mdpi.com/1996-1073/14/3/747</t>
  </si>
  <si>
    <t>https://www.mdpi.com/1996-1073/14/3/748</t>
  </si>
  <si>
    <t>RDF Temp</t>
  </si>
  <si>
    <t>Year</t>
  </si>
  <si>
    <t>Priority</t>
  </si>
  <si>
    <t>g/cm^3</t>
  </si>
  <si>
    <t>Wei, 2022</t>
  </si>
  <si>
    <t>J/g*K</t>
  </si>
  <si>
    <t>Wei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</si>
</sst>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F1F1F"/>
      <name val="Calibri"/>
      <family val="2"/>
      <scheme val="minor"/>
    </font>
    <font>
      <sz val="10"/>
      <color rgb="FF000000"/>
      <name val="Calibri"/>
      <family val="2"/>
    </font>
    <font>
      <u/>
      <sz val="10"/>
      <color rgb="FF000000"/>
      <name val="Calibri"/>
      <family val="2"/>
    </font>
    <font>
      <sz val="10"/>
      <color theme="1"/>
      <name val="Calibri"/>
      <family val="2"/>
    </font>
    <font>
      <sz val="12"/>
      <color rgb="FF1F1F1F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3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4" fontId="4" fillId="0" borderId="0" xfId="0" applyNumberFormat="1" applyFont="1" applyAlignment="1">
      <alignment horizontal="left"/>
    </xf>
    <xf numFmtId="3" fontId="4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4" fontId="4" fillId="0" borderId="0" xfId="0" applyNumberFormat="1" applyFont="1" applyAlignment="1">
      <alignment horizontal="right"/>
    </xf>
    <xf numFmtId="4" fontId="0" fillId="0" borderId="0" xfId="0" applyNumberFormat="1"/>
    <xf numFmtId="0" fontId="6" fillId="0" borderId="0" xfId="0" applyFont="1" applyAlignment="1">
      <alignment horizontal="left"/>
    </xf>
    <xf numFmtId="0" fontId="2" fillId="0" borderId="0" xfId="1"/>
    <xf numFmtId="0" fontId="7" fillId="0" borderId="0" xfId="0" applyFont="1"/>
    <xf numFmtId="0" fontId="8" fillId="0" borderId="0" xfId="1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123825</xdr:colOff>
      <xdr:row>26</xdr:row>
      <xdr:rowOff>95250</xdr:rowOff>
    </xdr:from>
    <xdr:to>
      <xdr:col>28</xdr:col>
      <xdr:colOff>542925</xdr:colOff>
      <xdr:row>42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CEF3BD2-F6AD-4483-9C68-41D507CF9688}"/>
            </a:ext>
          </a:extLst>
        </xdr:cNvPr>
        <xdr:cNvSpPr txBox="1"/>
      </xdr:nvSpPr>
      <xdr:spPr>
        <a:xfrm>
          <a:off x="8943975" y="5057775"/>
          <a:ext cx="12620625" cy="3114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Other papers to check:</a:t>
          </a:r>
          <a:br>
            <a:rPr lang="en-US" sz="1100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https://www.sciencedirect.com/science/article/pii/S036459161400042X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https://www.sciencedirect.com/science/article/pii/S0927025620305462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https://www.researchgate.net/publication/348934354_Thermal_and_Transport_Properties_of_Molten_Chloride_Salts_with_Polarization_Effect_on_Microstructure/figures?lo=1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https://www.energy-proceedings.org/wp-content/uploads/2020/03/692_Paper_0525042222-1.pdf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https://www.sciencedirect.com/science/article/pii/S0927024824004033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https://repository.arizona.edu/handle/10150/656762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https://www.osti.gov/servlets/purl/1866380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ubs.aip.org/aip/jcp/article/144/9/094501/194748/Interplay-between-structure-and-transport" TargetMode="External"/><Relationship Id="rId13" Type="http://schemas.openxmlformats.org/officeDocument/2006/relationships/hyperlink" Target="https://www.researchgate.net/publication/298846670_Molecular_Dynamics_Simulation_on_the_Structure_and_Thermodynamics_of_Molten_LiCl-KCl-CeCl3?utm_source=chatgpt.com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javascript:;" TargetMode="External"/><Relationship Id="rId7" Type="http://schemas.openxmlformats.org/officeDocument/2006/relationships/hyperlink" Target="https://link.springer.com/article/10.1134/S0036023624602642" TargetMode="External"/><Relationship Id="rId12" Type="http://schemas.openxmlformats.org/officeDocument/2006/relationships/hyperlink" Target="https://www.sciencedirect.com/science/article/pii/S036459161400042X?utm_source=chatgpt.com" TargetMode="External"/><Relationship Id="rId17" Type="http://schemas.openxmlformats.org/officeDocument/2006/relationships/hyperlink" Target="https://www.mdpi.com/1996-1073/15/23/8878?" TargetMode="External"/><Relationship Id="rId2" Type="http://schemas.openxmlformats.org/officeDocument/2006/relationships/hyperlink" Target="javascript:;" TargetMode="External"/><Relationship Id="rId16" Type="http://schemas.openxmlformats.org/officeDocument/2006/relationships/hyperlink" Target="https://www.mdpi.com/1996-1073/15/23/8878?" TargetMode="External"/><Relationship Id="rId1" Type="http://schemas.openxmlformats.org/officeDocument/2006/relationships/hyperlink" Target="javascript:;" TargetMode="External"/><Relationship Id="rId6" Type="http://schemas.openxmlformats.org/officeDocument/2006/relationships/hyperlink" Target="https://www.degruyter.com/document/doi/10.1515/ijcre-2023-0221/html" TargetMode="External"/><Relationship Id="rId11" Type="http://schemas.openxmlformats.org/officeDocument/2006/relationships/hyperlink" Target="https://pubs.rsc.org/en/content/articlelanding/2022/cp/d1cp03056f" TargetMode="External"/><Relationship Id="rId5" Type="http://schemas.openxmlformats.org/officeDocument/2006/relationships/hyperlink" Target="https://www.sciencedirect.com/science/article/pii/S0167732224009103" TargetMode="External"/><Relationship Id="rId15" Type="http://schemas.openxmlformats.org/officeDocument/2006/relationships/hyperlink" Target="https://pubs.acs.org/doi/suppl/10.1021/acs.jpcb.1c03786/suppl_file/jp1c03786_si_001.pdf" TargetMode="External"/><Relationship Id="rId10" Type="http://schemas.openxmlformats.org/officeDocument/2006/relationships/hyperlink" Target="https://www.mdpi.com/1996-1073/15/23/8878?" TargetMode="External"/><Relationship Id="rId19" Type="http://schemas.openxmlformats.org/officeDocument/2006/relationships/drawing" Target="../drawings/drawing1.xml"/><Relationship Id="rId4" Type="http://schemas.openxmlformats.org/officeDocument/2006/relationships/hyperlink" Target="https://link.springer.com/article/10.1007/s10953-018-0817-x" TargetMode="External"/><Relationship Id="rId9" Type="http://schemas.openxmlformats.org/officeDocument/2006/relationships/hyperlink" Target="https://www.sciencedirect.com/science/article/pii/S0927025620305462?via%3Dihub" TargetMode="External"/><Relationship Id="rId14" Type="http://schemas.openxmlformats.org/officeDocument/2006/relationships/hyperlink" Target="https://www.sciencedirect.com/science/article/pii/S002231152400673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5CA3B-4077-456B-BB8A-4092398A2A82}">
  <dimension ref="A1:K30"/>
  <sheetViews>
    <sheetView topLeftCell="E1" workbookViewId="0">
      <selection activeCell="J17" sqref="J17"/>
    </sheetView>
  </sheetViews>
  <sheetFormatPr defaultColWidth="9.140625" defaultRowHeight="15" x14ac:dyDescent="0.25"/>
  <cols>
    <col min="1" max="1" width="4" customWidth="1"/>
    <col min="2" max="2" width="25.85546875" customWidth="1"/>
    <col min="3" max="4" width="16.42578125" customWidth="1"/>
    <col min="5" max="7" width="13.42578125" customWidth="1"/>
    <col min="8" max="8" width="16.140625" customWidth="1"/>
    <col min="9" max="9" width="15.28515625" customWidth="1"/>
    <col min="14" max="14" width="45.85546875" customWidth="1"/>
  </cols>
  <sheetData>
    <row r="1" spans="1:11" x14ac:dyDescent="0.25">
      <c r="B1" s="13" t="s">
        <v>0</v>
      </c>
      <c r="C1" s="13" t="s">
        <v>4</v>
      </c>
      <c r="D1" s="13" t="s">
        <v>85</v>
      </c>
      <c r="E1" s="13" t="s">
        <v>1</v>
      </c>
      <c r="F1" s="13" t="s">
        <v>84</v>
      </c>
      <c r="G1" s="14" t="s">
        <v>2</v>
      </c>
      <c r="H1" s="14"/>
      <c r="I1" s="13" t="s">
        <v>5</v>
      </c>
      <c r="J1" s="13" t="s">
        <v>8</v>
      </c>
    </row>
    <row r="2" spans="1:11" x14ac:dyDescent="0.25">
      <c r="A2" t="s">
        <v>86</v>
      </c>
      <c r="B2" s="13"/>
      <c r="C2" s="13"/>
      <c r="D2" s="13"/>
      <c r="E2" s="13"/>
      <c r="F2" s="13"/>
      <c r="G2" t="s">
        <v>46</v>
      </c>
      <c r="H2" t="s">
        <v>47</v>
      </c>
      <c r="I2" s="13"/>
      <c r="J2" s="13"/>
    </row>
    <row r="3" spans="1:11" x14ac:dyDescent="0.25">
      <c r="B3" t="s">
        <v>3</v>
      </c>
      <c r="C3" s="1" t="s">
        <v>6</v>
      </c>
      <c r="D3" s="1"/>
      <c r="E3" t="s">
        <v>7</v>
      </c>
      <c r="I3" t="s">
        <v>38</v>
      </c>
      <c r="J3" s="10" t="s">
        <v>9</v>
      </c>
    </row>
    <row r="4" spans="1:11" x14ac:dyDescent="0.25">
      <c r="B4" t="s">
        <v>3</v>
      </c>
      <c r="C4" s="10" t="s">
        <v>11</v>
      </c>
      <c r="D4" s="10"/>
      <c r="G4" t="s">
        <v>7</v>
      </c>
      <c r="J4" t="s">
        <v>10</v>
      </c>
    </row>
    <row r="5" spans="1:11" x14ac:dyDescent="0.25">
      <c r="A5">
        <v>1</v>
      </c>
      <c r="B5" t="s">
        <v>28</v>
      </c>
      <c r="C5" s="10" t="s">
        <v>23</v>
      </c>
      <c r="D5" s="10"/>
      <c r="E5" t="s">
        <v>7</v>
      </c>
      <c r="J5" s="10" t="s">
        <v>24</v>
      </c>
    </row>
    <row r="6" spans="1:11" x14ac:dyDescent="0.25">
      <c r="B6" t="s">
        <v>26</v>
      </c>
      <c r="C6" s="10" t="s">
        <v>27</v>
      </c>
      <c r="D6" s="10"/>
      <c r="G6" t="s">
        <v>7</v>
      </c>
      <c r="J6" t="s">
        <v>25</v>
      </c>
    </row>
    <row r="7" spans="1:11" ht="15.75" x14ac:dyDescent="0.25">
      <c r="B7" t="s">
        <v>29</v>
      </c>
      <c r="C7" s="11" t="s">
        <v>31</v>
      </c>
      <c r="D7" s="11"/>
      <c r="E7" t="s">
        <v>7</v>
      </c>
      <c r="J7" s="10" t="s">
        <v>30</v>
      </c>
    </row>
    <row r="8" spans="1:11" x14ac:dyDescent="0.25">
      <c r="B8" t="s">
        <v>34</v>
      </c>
      <c r="C8" t="s">
        <v>33</v>
      </c>
      <c r="E8" t="s">
        <v>7</v>
      </c>
      <c r="I8" t="s">
        <v>38</v>
      </c>
      <c r="J8" s="10" t="s">
        <v>32</v>
      </c>
    </row>
    <row r="9" spans="1:11" x14ac:dyDescent="0.25">
      <c r="B9" t="s">
        <v>36</v>
      </c>
      <c r="C9" t="s">
        <v>37</v>
      </c>
      <c r="E9" t="s">
        <v>7</v>
      </c>
      <c r="I9" t="s">
        <v>38</v>
      </c>
      <c r="J9" s="12" t="s">
        <v>35</v>
      </c>
    </row>
    <row r="10" spans="1:11" x14ac:dyDescent="0.25">
      <c r="B10" t="s">
        <v>39</v>
      </c>
      <c r="C10" t="s">
        <v>40</v>
      </c>
      <c r="E10" t="s">
        <v>7</v>
      </c>
      <c r="I10" t="s">
        <v>38</v>
      </c>
      <c r="J10" s="12" t="s">
        <v>41</v>
      </c>
    </row>
    <row r="11" spans="1:11" x14ac:dyDescent="0.25">
      <c r="B11" t="s">
        <v>44</v>
      </c>
      <c r="C11" t="s">
        <v>43</v>
      </c>
      <c r="G11" t="s">
        <v>7</v>
      </c>
      <c r="J11" t="s">
        <v>42</v>
      </c>
    </row>
    <row r="12" spans="1:11" x14ac:dyDescent="0.25">
      <c r="A12" t="s">
        <v>49</v>
      </c>
      <c r="B12" t="s">
        <v>45</v>
      </c>
      <c r="C12" t="s">
        <v>50</v>
      </c>
      <c r="H12" t="s">
        <v>7</v>
      </c>
      <c r="J12" s="10" t="s">
        <v>48</v>
      </c>
    </row>
    <row r="13" spans="1:11" x14ac:dyDescent="0.25">
      <c r="B13" t="s">
        <v>51</v>
      </c>
      <c r="C13" t="s">
        <v>54</v>
      </c>
      <c r="E13" t="s">
        <v>7</v>
      </c>
      <c r="G13" t="s">
        <v>7</v>
      </c>
      <c r="H13" t="s">
        <v>7</v>
      </c>
      <c r="I13" t="s">
        <v>7</v>
      </c>
      <c r="J13" s="10" t="s">
        <v>53</v>
      </c>
      <c r="K13" t="s">
        <v>55</v>
      </c>
    </row>
    <row r="14" spans="1:11" x14ac:dyDescent="0.25">
      <c r="B14" t="s">
        <v>52</v>
      </c>
      <c r="C14" t="s">
        <v>54</v>
      </c>
      <c r="E14" t="s">
        <v>7</v>
      </c>
      <c r="G14" t="s">
        <v>7</v>
      </c>
      <c r="H14" t="s">
        <v>7</v>
      </c>
      <c r="I14" t="s">
        <v>7</v>
      </c>
      <c r="J14" t="s">
        <v>53</v>
      </c>
      <c r="K14" t="s">
        <v>55</v>
      </c>
    </row>
    <row r="15" spans="1:11" x14ac:dyDescent="0.25">
      <c r="B15" t="s">
        <v>56</v>
      </c>
      <c r="C15" t="s">
        <v>61</v>
      </c>
      <c r="E15" t="s">
        <v>7</v>
      </c>
      <c r="G15" t="s">
        <v>7</v>
      </c>
      <c r="H15" t="s">
        <v>7</v>
      </c>
      <c r="I15" t="s">
        <v>7</v>
      </c>
      <c r="J15" s="10" t="s">
        <v>60</v>
      </c>
    </row>
    <row r="16" spans="1:11" x14ac:dyDescent="0.25">
      <c r="B16" t="s">
        <v>57</v>
      </c>
      <c r="C16" t="s">
        <v>61</v>
      </c>
      <c r="E16" t="s">
        <v>7</v>
      </c>
      <c r="G16" t="s">
        <v>7</v>
      </c>
      <c r="H16" t="s">
        <v>7</v>
      </c>
      <c r="I16" t="s">
        <v>7</v>
      </c>
      <c r="J16" s="10" t="s">
        <v>60</v>
      </c>
    </row>
    <row r="17" spans="2:10" x14ac:dyDescent="0.25">
      <c r="B17" t="s">
        <v>58</v>
      </c>
      <c r="C17" t="s">
        <v>61</v>
      </c>
      <c r="E17" t="s">
        <v>7</v>
      </c>
      <c r="G17" t="s">
        <v>7</v>
      </c>
      <c r="H17" t="s">
        <v>7</v>
      </c>
      <c r="I17" t="s">
        <v>7</v>
      </c>
      <c r="J17" s="10" t="s">
        <v>60</v>
      </c>
    </row>
    <row r="18" spans="2:10" x14ac:dyDescent="0.25">
      <c r="B18" t="s">
        <v>59</v>
      </c>
      <c r="C18" t="s">
        <v>61</v>
      </c>
      <c r="E18" t="s">
        <v>7</v>
      </c>
      <c r="G18" t="s">
        <v>7</v>
      </c>
      <c r="H18" t="s">
        <v>7</v>
      </c>
      <c r="I18" t="s">
        <v>7</v>
      </c>
      <c r="J18" t="s">
        <v>60</v>
      </c>
    </row>
    <row r="19" spans="2:10" x14ac:dyDescent="0.25">
      <c r="B19" t="s">
        <v>63</v>
      </c>
      <c r="C19" t="s">
        <v>67</v>
      </c>
      <c r="E19" t="s">
        <v>7</v>
      </c>
      <c r="I19" t="s">
        <v>62</v>
      </c>
      <c r="J19" s="10" t="s">
        <v>66</v>
      </c>
    </row>
    <row r="20" spans="2:10" x14ac:dyDescent="0.25">
      <c r="B20" t="s">
        <v>64</v>
      </c>
      <c r="C20" t="s">
        <v>67</v>
      </c>
      <c r="E20" t="s">
        <v>7</v>
      </c>
      <c r="I20" t="s">
        <v>62</v>
      </c>
      <c r="J20" t="s">
        <v>66</v>
      </c>
    </row>
    <row r="21" spans="2:10" x14ac:dyDescent="0.25">
      <c r="B21" t="s">
        <v>65</v>
      </c>
      <c r="C21" t="s">
        <v>67</v>
      </c>
      <c r="E21" t="s">
        <v>7</v>
      </c>
      <c r="I21" t="s">
        <v>7</v>
      </c>
      <c r="J21" t="s">
        <v>66</v>
      </c>
    </row>
    <row r="22" spans="2:10" x14ac:dyDescent="0.25">
      <c r="B22" t="s">
        <v>68</v>
      </c>
      <c r="C22" t="s">
        <v>70</v>
      </c>
      <c r="E22" t="s">
        <v>7</v>
      </c>
      <c r="I22" t="s">
        <v>62</v>
      </c>
      <c r="J22" s="10" t="s">
        <v>71</v>
      </c>
    </row>
    <row r="23" spans="2:10" x14ac:dyDescent="0.25">
      <c r="B23" t="s">
        <v>69</v>
      </c>
      <c r="C23" t="s">
        <v>70</v>
      </c>
      <c r="E23" t="s">
        <v>7</v>
      </c>
      <c r="I23" t="s">
        <v>62</v>
      </c>
      <c r="J23" t="s">
        <v>71</v>
      </c>
    </row>
    <row r="24" spans="2:10" x14ac:dyDescent="0.25">
      <c r="B24" t="s">
        <v>72</v>
      </c>
      <c r="C24" t="s">
        <v>77</v>
      </c>
      <c r="E24" t="s">
        <v>7</v>
      </c>
      <c r="G24" t="s">
        <v>76</v>
      </c>
      <c r="I24" t="s">
        <v>62</v>
      </c>
      <c r="J24" s="10" t="s">
        <v>78</v>
      </c>
    </row>
    <row r="25" spans="2:10" x14ac:dyDescent="0.25">
      <c r="B25" t="s">
        <v>73</v>
      </c>
      <c r="C25" t="s">
        <v>77</v>
      </c>
      <c r="E25" t="s">
        <v>7</v>
      </c>
      <c r="G25" t="s">
        <v>76</v>
      </c>
      <c r="I25" t="s">
        <v>62</v>
      </c>
      <c r="J25" t="s">
        <v>78</v>
      </c>
    </row>
    <row r="26" spans="2:10" x14ac:dyDescent="0.25">
      <c r="B26" t="s">
        <v>75</v>
      </c>
      <c r="C26" t="s">
        <v>77</v>
      </c>
      <c r="E26" t="s">
        <v>7</v>
      </c>
      <c r="G26" t="s">
        <v>76</v>
      </c>
      <c r="I26" t="s">
        <v>62</v>
      </c>
      <c r="J26" t="s">
        <v>78</v>
      </c>
    </row>
    <row r="27" spans="2:10" x14ac:dyDescent="0.25">
      <c r="B27" t="s">
        <v>74</v>
      </c>
      <c r="C27" t="s">
        <v>77</v>
      </c>
      <c r="E27" t="s">
        <v>7</v>
      </c>
      <c r="G27" t="s">
        <v>76</v>
      </c>
      <c r="I27" t="s">
        <v>62</v>
      </c>
      <c r="J27" t="s">
        <v>78</v>
      </c>
    </row>
    <row r="28" spans="2:10" x14ac:dyDescent="0.25">
      <c r="B28" t="s">
        <v>79</v>
      </c>
      <c r="C28" t="s">
        <v>80</v>
      </c>
      <c r="E28" t="s">
        <v>7</v>
      </c>
      <c r="H28" t="s">
        <v>7</v>
      </c>
      <c r="I28" t="s">
        <v>7</v>
      </c>
      <c r="J28" t="s">
        <v>81</v>
      </c>
    </row>
    <row r="29" spans="2:10" x14ac:dyDescent="0.25">
      <c r="B29" t="s">
        <v>51</v>
      </c>
      <c r="C29" t="s">
        <v>80</v>
      </c>
      <c r="E29" t="s">
        <v>7</v>
      </c>
      <c r="H29" t="s">
        <v>7</v>
      </c>
      <c r="I29" t="s">
        <v>7</v>
      </c>
      <c r="J29" t="s">
        <v>82</v>
      </c>
    </row>
    <row r="30" spans="2:10" x14ac:dyDescent="0.25">
      <c r="B30" t="s">
        <v>52</v>
      </c>
      <c r="C30" t="s">
        <v>80</v>
      </c>
      <c r="E30" t="s">
        <v>7</v>
      </c>
      <c r="H30" t="s">
        <v>7</v>
      </c>
      <c r="I30" t="s">
        <v>62</v>
      </c>
      <c r="J30" t="s">
        <v>83</v>
      </c>
    </row>
  </sheetData>
  <mergeCells count="8">
    <mergeCell ref="J1:J2"/>
    <mergeCell ref="G1:H1"/>
    <mergeCell ref="E1:E2"/>
    <mergeCell ref="C1:C2"/>
    <mergeCell ref="B1:B2"/>
    <mergeCell ref="I1:I2"/>
    <mergeCell ref="D1:D2"/>
    <mergeCell ref="F1:F2"/>
  </mergeCells>
  <hyperlinks>
    <hyperlink ref="C4" r:id="rId1" display="javascript:;" xr:uid="{231B6895-767A-4426-9806-0CD7C9DF8B52}"/>
    <hyperlink ref="C5" r:id="rId2" display="javascript:;" xr:uid="{E8780C95-3999-4010-9E93-303956259330}"/>
    <hyperlink ref="C6" r:id="rId3" display="javascript:;" xr:uid="{87892CFB-FC6C-4C0E-8C08-EFE735922A0E}"/>
    <hyperlink ref="J9" r:id="rId4" location="Fig9" xr:uid="{574257B3-0092-41F6-ACDE-4581D789C217}"/>
    <hyperlink ref="J3" r:id="rId5" xr:uid="{58F6F0BA-CDAD-4C57-8768-A9A0583F4CAE}"/>
    <hyperlink ref="J10" r:id="rId6" xr:uid="{97B777E6-A8BB-4440-9BB5-19B73E2DCB7D}"/>
    <hyperlink ref="J8" r:id="rId7" xr:uid="{D5A77480-456D-42B4-A13D-3ED26CC74E24}"/>
    <hyperlink ref="J5" r:id="rId8" xr:uid="{50EC33A1-AD6E-42BD-9FD4-2DC532312871}"/>
    <hyperlink ref="J7" r:id="rId9" xr:uid="{8AB8941B-BCAD-4F7D-9239-78E1B4328ED6}"/>
    <hyperlink ref="J15" r:id="rId10" xr:uid="{79D4BB18-575C-4577-AA39-85176B6BC3F4}"/>
    <hyperlink ref="J24" r:id="rId11" xr:uid="{B99FF0A5-7CCB-164A-85EB-49E581572E93}"/>
    <hyperlink ref="J19" r:id="rId12" location="f0005" xr:uid="{7CB877FC-15E1-0048-89CA-448E61EBAC5A}"/>
    <hyperlink ref="J22" r:id="rId13" xr:uid="{F085AB62-99CE-D742-8A32-E00DCD861460}"/>
    <hyperlink ref="J12" r:id="rId14" xr:uid="{3239A6F2-BDC4-4D04-AF81-DEF692EF9728}"/>
    <hyperlink ref="J13" r:id="rId15" xr:uid="{DBD2171D-67F8-4EF1-A5DB-FDA2DD405E10}"/>
    <hyperlink ref="J16" r:id="rId16" xr:uid="{F3B095A6-65A4-4E8E-9808-E420C1BE9443}"/>
    <hyperlink ref="J17" r:id="rId17" xr:uid="{4F769198-BCB7-4529-8B90-2B55D542A10E}"/>
  </hyperlinks>
  <pageMargins left="0.7" right="0.7" top="0.75" bottom="0.75" header="0.3" footer="0.3"/>
  <pageSetup orientation="portrait" r:id="rId18"/>
  <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5F4E7-5193-42ED-BA2F-8020CC21D0DD}">
  <dimension ref="A1:E26"/>
  <sheetViews>
    <sheetView tabSelected="1" topLeftCell="A6" workbookViewId="0">
      <selection activeCell="C26" sqref="C26"/>
    </sheetView>
  </sheetViews>
  <sheetFormatPr defaultRowHeight="15" x14ac:dyDescent="0.25"/>
  <sheetData>
    <row r="1" spans="1:5" x14ac:dyDescent="0.25">
      <c r="A1" t="s">
        <v>88</v>
      </c>
      <c r="B1" t="s">
        <v>56</v>
      </c>
      <c r="C1" t="s">
        <v>87</v>
      </c>
    </row>
    <row r="2" spans="1:5" x14ac:dyDescent="0.25">
      <c r="B2">
        <v>570</v>
      </c>
      <c r="C2">
        <v>1965.9999999999998</v>
      </c>
      <c r="D2">
        <f>C2/1000*100^3</f>
        <v>1965999.9999999998</v>
      </c>
      <c r="E2">
        <f>INTERCEPT(C2:C9,B2:B9)</f>
        <v>2163.2142857142844</v>
      </c>
    </row>
    <row r="3" spans="1:5" x14ac:dyDescent="0.25">
      <c r="B3">
        <v>580</v>
      </c>
      <c r="C3">
        <v>1963</v>
      </c>
      <c r="D3">
        <f t="shared" ref="D3:D9" si="0">C3/1000*100^3</f>
        <v>1963000</v>
      </c>
      <c r="E3">
        <f>SLOPE(C2:C9,B2:B9)</f>
        <v>-0.34642857142856925</v>
      </c>
    </row>
    <row r="4" spans="1:5" x14ac:dyDescent="0.25">
      <c r="B4">
        <v>590</v>
      </c>
      <c r="C4">
        <v>1958</v>
      </c>
      <c r="D4">
        <f t="shared" si="0"/>
        <v>1958000</v>
      </c>
    </row>
    <row r="5" spans="1:5" x14ac:dyDescent="0.25">
      <c r="B5">
        <v>600</v>
      </c>
      <c r="C5">
        <v>1955.0000000000002</v>
      </c>
      <c r="D5">
        <f t="shared" si="0"/>
        <v>1955000.0000000002</v>
      </c>
    </row>
    <row r="6" spans="1:5" x14ac:dyDescent="0.25">
      <c r="B6">
        <v>610</v>
      </c>
      <c r="C6">
        <v>1952</v>
      </c>
      <c r="D6">
        <f t="shared" si="0"/>
        <v>1952000</v>
      </c>
    </row>
    <row r="7" spans="1:5" x14ac:dyDescent="0.25">
      <c r="B7">
        <v>620</v>
      </c>
      <c r="C7">
        <v>1947.9999999999998</v>
      </c>
      <c r="D7">
        <f t="shared" si="0"/>
        <v>1947999.9999999998</v>
      </c>
    </row>
    <row r="8" spans="1:5" x14ac:dyDescent="0.25">
      <c r="B8">
        <v>630</v>
      </c>
      <c r="C8">
        <v>1945.0000000000002</v>
      </c>
      <c r="D8">
        <f t="shared" si="0"/>
        <v>1945000.0000000002</v>
      </c>
    </row>
    <row r="9" spans="1:5" x14ac:dyDescent="0.25">
      <c r="B9">
        <v>640</v>
      </c>
      <c r="C9">
        <v>1942</v>
      </c>
      <c r="D9">
        <f t="shared" si="0"/>
        <v>1942000</v>
      </c>
    </row>
    <row r="11" spans="1:5" x14ac:dyDescent="0.25">
      <c r="A11" t="s">
        <v>88</v>
      </c>
      <c r="B11" t="s">
        <v>58</v>
      </c>
    </row>
    <row r="12" spans="1:5" x14ac:dyDescent="0.25">
      <c r="B12">
        <v>500</v>
      </c>
      <c r="C12">
        <v>1802</v>
      </c>
      <c r="E12">
        <f>INTERCEPT(C12:C17,B12:B17)</f>
        <v>1935.8571428571429</v>
      </c>
    </row>
    <row r="13" spans="1:5" x14ac:dyDescent="0.25">
      <c r="B13">
        <v>520</v>
      </c>
      <c r="C13">
        <v>1798</v>
      </c>
      <c r="E13">
        <f>SLOPE(C12:C20,B12:B20)</f>
        <v>-7.9228125654615145</v>
      </c>
    </row>
    <row r="14" spans="1:5" x14ac:dyDescent="0.25">
      <c r="B14">
        <v>540</v>
      </c>
      <c r="C14">
        <v>1795</v>
      </c>
    </row>
    <row r="15" spans="1:5" x14ac:dyDescent="0.25">
      <c r="B15">
        <v>560</v>
      </c>
      <c r="C15">
        <v>1791</v>
      </c>
    </row>
    <row r="16" spans="1:5" x14ac:dyDescent="0.25">
      <c r="B16">
        <v>580</v>
      </c>
      <c r="C16">
        <v>1781</v>
      </c>
    </row>
    <row r="17" spans="1:3" x14ac:dyDescent="0.25">
      <c r="B17">
        <v>600</v>
      </c>
      <c r="C17">
        <v>1776</v>
      </c>
    </row>
    <row r="19" spans="1:3" x14ac:dyDescent="0.25">
      <c r="A19" t="s">
        <v>90</v>
      </c>
      <c r="B19" t="s">
        <v>58</v>
      </c>
      <c r="C19" t="s">
        <v>89</v>
      </c>
    </row>
    <row r="20" spans="1:3" x14ac:dyDescent="0.25">
      <c r="B20">
        <v>732.64044943820204</v>
      </c>
      <c r="C20">
        <v>1.0271604938271599</v>
      </c>
    </row>
    <row r="21" spans="1:3" x14ac:dyDescent="0.25">
      <c r="B21">
        <v>752.69662921348299</v>
      </c>
      <c r="C21">
        <v>1.0395061728395001</v>
      </c>
    </row>
    <row r="22" spans="1:3" x14ac:dyDescent="0.25">
      <c r="B22">
        <v>772.75280898876395</v>
      </c>
      <c r="C22">
        <v>1.0444444444444401</v>
      </c>
    </row>
    <row r="23" spans="1:3" x14ac:dyDescent="0.25">
      <c r="B23">
        <v>822.69662921348299</v>
      </c>
      <c r="C23">
        <v>1.0444444444444401</v>
      </c>
    </row>
    <row r="24" spans="1:3" x14ac:dyDescent="0.25">
      <c r="B24">
        <v>873.03370786516803</v>
      </c>
      <c r="C24">
        <v>1.05308641975308</v>
      </c>
    </row>
    <row r="25" spans="1:3" x14ac:dyDescent="0.25">
      <c r="B25">
        <v>922.97752808988696</v>
      </c>
      <c r="C25">
        <v>1.05802469135802</v>
      </c>
    </row>
    <row r="26" spans="1:3" x14ac:dyDescent="0.25">
      <c r="C26">
        <f>AVERAGE(C20:C25)</f>
        <v>1.0444444444444401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D0321-54BC-4010-BF1E-168F7A869EE6}">
  <dimension ref="A1:H6"/>
  <sheetViews>
    <sheetView workbookViewId="0">
      <selection activeCell="E1" sqref="E1"/>
    </sheetView>
  </sheetViews>
  <sheetFormatPr defaultColWidth="8.85546875" defaultRowHeight="15" x14ac:dyDescent="0.25"/>
  <cols>
    <col min="2" max="2" width="24.7109375" customWidth="1"/>
    <col min="3" max="3" width="15.42578125" customWidth="1"/>
  </cols>
  <sheetData>
    <row r="1" spans="1:8" x14ac:dyDescent="0.25">
      <c r="A1" s="2" t="s">
        <v>12</v>
      </c>
      <c r="B1" s="3" t="s">
        <v>13</v>
      </c>
      <c r="C1" s="3" t="s">
        <v>14</v>
      </c>
      <c r="D1" s="4" t="s">
        <v>15</v>
      </c>
      <c r="E1" s="4" t="s">
        <v>16</v>
      </c>
      <c r="F1" s="4" t="s">
        <v>17</v>
      </c>
      <c r="G1" s="3" t="s">
        <v>18</v>
      </c>
      <c r="H1" s="3" t="s">
        <v>19</v>
      </c>
    </row>
    <row r="2" spans="1:8" x14ac:dyDescent="0.25">
      <c r="A2" s="5">
        <v>1</v>
      </c>
      <c r="B2" s="6" t="s">
        <v>20</v>
      </c>
      <c r="C2" s="3" t="s">
        <v>21</v>
      </c>
      <c r="D2" s="5">
        <v>884</v>
      </c>
      <c r="E2" s="7">
        <v>0.97399999999999998</v>
      </c>
      <c r="F2" s="8"/>
      <c r="H2" s="3" t="s">
        <v>22</v>
      </c>
    </row>
    <row r="3" spans="1:8" x14ac:dyDescent="0.25">
      <c r="A3" s="5">
        <v>1</v>
      </c>
      <c r="B3" s="9" t="s">
        <v>20</v>
      </c>
      <c r="C3" s="3" t="s">
        <v>21</v>
      </c>
      <c r="D3" s="5">
        <v>933</v>
      </c>
      <c r="E3" s="7">
        <v>1.03</v>
      </c>
      <c r="F3" s="8"/>
      <c r="H3" s="3" t="s">
        <v>22</v>
      </c>
    </row>
    <row r="4" spans="1:8" x14ac:dyDescent="0.25">
      <c r="A4" s="5">
        <v>1</v>
      </c>
      <c r="B4" s="9" t="s">
        <v>20</v>
      </c>
      <c r="C4" s="3" t="s">
        <v>21</v>
      </c>
      <c r="D4" s="5">
        <v>979</v>
      </c>
      <c r="E4" s="7">
        <v>1.028</v>
      </c>
      <c r="F4" s="8"/>
      <c r="H4" s="3" t="s">
        <v>22</v>
      </c>
    </row>
    <row r="5" spans="1:8" x14ac:dyDescent="0.25">
      <c r="A5" s="5">
        <v>1</v>
      </c>
      <c r="B5" s="9" t="s">
        <v>20</v>
      </c>
      <c r="C5" s="3" t="s">
        <v>21</v>
      </c>
      <c r="D5" s="5">
        <v>1032</v>
      </c>
      <c r="E5" s="7">
        <v>1.0580000000000001</v>
      </c>
      <c r="F5" s="8"/>
      <c r="H5" s="3" t="s">
        <v>22</v>
      </c>
    </row>
    <row r="6" spans="1:8" x14ac:dyDescent="0.25">
      <c r="A6" s="5">
        <v>1</v>
      </c>
      <c r="B6" s="9" t="s">
        <v>20</v>
      </c>
      <c r="C6" s="3" t="s">
        <v>21</v>
      </c>
      <c r="D6" s="5">
        <v>1078</v>
      </c>
      <c r="E6" s="7">
        <v>1.08</v>
      </c>
      <c r="F6" s="8"/>
      <c r="H6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</vt:lpstr>
      <vt:lpstr>Sheet1</vt:lpstr>
      <vt:lpstr>k_Data</vt:lpstr>
    </vt:vector>
  </TitlesOfParts>
  <Company>Brigham Young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Numbers</dc:creator>
  <cp:lastModifiedBy>Jacob Numbers</cp:lastModifiedBy>
  <dcterms:created xsi:type="dcterms:W3CDTF">2025-02-12T17:09:15Z</dcterms:created>
  <dcterms:modified xsi:type="dcterms:W3CDTF">2025-09-04T13:41:56Z</dcterms:modified>
</cp:coreProperties>
</file>