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cn2\Documents\Code\TC_Comparison_Code\RDF_Plots\RDF_CSV\"/>
    </mc:Choice>
  </mc:AlternateContent>
  <xr:revisionPtr revIDLastSave="0" documentId="8_{ABF5AD79-EAA2-426B-AA6A-D5F115D01442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PDF_CsF" sheetId="1" r:id="rId1"/>
    <sheet name="PDF_CsF (2)" sheetId="2" r:id="rId2"/>
  </sheets>
  <calcPr calcId="191029"/>
</workbook>
</file>

<file path=xl/calcChain.xml><?xml version="1.0" encoding="utf-8"?>
<calcChain xmlns="http://schemas.openxmlformats.org/spreadsheetml/2006/main">
  <c r="K9" i="2" l="1"/>
  <c r="K8" i="2"/>
  <c r="O20" i="2"/>
  <c r="Q20" i="2"/>
  <c r="O21" i="2"/>
  <c r="Q21" i="2" s="1"/>
  <c r="O22" i="2"/>
  <c r="Q22" i="2" s="1"/>
  <c r="O23" i="2"/>
  <c r="Q23" i="2" s="1"/>
  <c r="O24" i="2"/>
  <c r="Q24" i="2" s="1"/>
  <c r="O25" i="2"/>
  <c r="Q25" i="2" s="1"/>
  <c r="O19" i="2"/>
  <c r="Q19" i="2" s="1"/>
  <c r="J27" i="2"/>
  <c r="T19" i="2"/>
  <c r="U19" i="2" s="1"/>
  <c r="J1" i="2"/>
  <c r="P11" i="2"/>
  <c r="L26" i="2" s="1"/>
  <c r="P12" i="2"/>
  <c r="P13" i="2"/>
  <c r="G22" i="2"/>
  <c r="H23" i="2"/>
  <c r="M20" i="2"/>
  <c r="M21" i="2"/>
  <c r="M22" i="2"/>
  <c r="M23" i="2"/>
  <c r="M24" i="2"/>
  <c r="M25" i="2"/>
  <c r="M26" i="2"/>
  <c r="M19" i="2"/>
  <c r="G105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106" i="2"/>
  <c r="G107" i="2"/>
  <c r="G10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K10" i="2" l="1"/>
  <c r="J10" i="2" s="1"/>
  <c r="L10" i="2" s="1"/>
  <c r="L23" i="2" s="1"/>
  <c r="J2" i="2"/>
  <c r="K13" i="2"/>
  <c r="J13" i="2" s="1"/>
  <c r="L13" i="2" s="1"/>
  <c r="K12" i="2"/>
  <c r="J12" i="2" s="1"/>
  <c r="L12" i="2" s="1"/>
  <c r="K11" i="2"/>
  <c r="J11" i="2" s="1"/>
  <c r="L11" i="2" s="1"/>
  <c r="O10" i="2"/>
  <c r="N10" i="2" s="1"/>
  <c r="P10" i="2" s="1"/>
  <c r="O9" i="2"/>
  <c r="N9" i="2" s="1"/>
  <c r="P9" i="2" s="1"/>
  <c r="O8" i="2"/>
  <c r="N8" i="2" s="1"/>
  <c r="P8" i="2" s="1"/>
  <c r="L20" i="2" s="1"/>
  <c r="N20" i="2" s="1"/>
  <c r="P20" i="2" s="1"/>
  <c r="R20" i="2" s="1"/>
  <c r="S20" i="2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3" i="1"/>
  <c r="P3" i="1"/>
  <c r="K3" i="1" s="1"/>
  <c r="X3" i="1"/>
  <c r="W3" i="1"/>
  <c r="T20" i="2" l="1"/>
  <c r="U20" i="2" s="1"/>
  <c r="L25" i="2"/>
  <c r="N25" i="2" s="1"/>
  <c r="P25" i="2" s="1"/>
  <c r="R25" i="2" s="1"/>
  <c r="S25" i="2" s="1"/>
  <c r="J8" i="2"/>
  <c r="J9" i="2"/>
  <c r="L9" i="2" s="1"/>
  <c r="L21" i="2" s="1"/>
  <c r="L22" i="2"/>
  <c r="N22" i="2" s="1"/>
  <c r="P22" i="2" s="1"/>
  <c r="R22" i="2" s="1"/>
  <c r="S22" i="2" s="1"/>
  <c r="L24" i="2"/>
  <c r="N24" i="2" s="1"/>
  <c r="P24" i="2" s="1"/>
  <c r="R24" i="2" s="1"/>
  <c r="S24" i="2" s="1"/>
  <c r="N23" i="2"/>
  <c r="P23" i="2" s="1"/>
  <c r="R23" i="2" s="1"/>
  <c r="S23" i="2" s="1"/>
  <c r="V3" i="1"/>
  <c r="O3" i="1" s="1"/>
  <c r="L6" i="1" s="1"/>
  <c r="L3" i="1" s="1"/>
  <c r="N21" i="2" l="1"/>
  <c r="P21" i="2" s="1"/>
  <c r="R21" i="2" s="1"/>
  <c r="S21" i="2" s="1"/>
  <c r="L8" i="2"/>
  <c r="L19" i="2" s="1"/>
  <c r="N19" i="2" s="1"/>
  <c r="P19" i="2" s="1"/>
  <c r="R19" i="2" s="1"/>
  <c r="J3" i="2"/>
  <c r="J4" i="2" s="1"/>
  <c r="I4" i="1"/>
  <c r="I10" i="1"/>
  <c r="I16" i="1"/>
  <c r="I22" i="1"/>
  <c r="I28" i="1"/>
  <c r="I34" i="1"/>
  <c r="I40" i="1"/>
  <c r="I46" i="1"/>
  <c r="I52" i="1"/>
  <c r="I58" i="1"/>
  <c r="I64" i="1"/>
  <c r="I70" i="1"/>
  <c r="I76" i="1"/>
  <c r="I82" i="1"/>
  <c r="I88" i="1"/>
  <c r="I94" i="1"/>
  <c r="I100" i="1"/>
  <c r="I106" i="1"/>
  <c r="I11" i="1"/>
  <c r="I17" i="1"/>
  <c r="I23" i="1"/>
  <c r="I29" i="1"/>
  <c r="I35" i="1"/>
  <c r="I41" i="1"/>
  <c r="I47" i="1"/>
  <c r="I53" i="1"/>
  <c r="I59" i="1"/>
  <c r="I65" i="1"/>
  <c r="I71" i="1"/>
  <c r="I77" i="1"/>
  <c r="I83" i="1"/>
  <c r="I89" i="1"/>
  <c r="I95" i="1"/>
  <c r="I101" i="1"/>
  <c r="I107" i="1"/>
  <c r="I5" i="1"/>
  <c r="I6" i="1"/>
  <c r="I7" i="1"/>
  <c r="I13" i="1"/>
  <c r="I19" i="1"/>
  <c r="I25" i="1"/>
  <c r="I31" i="1"/>
  <c r="I37" i="1"/>
  <c r="I43" i="1"/>
  <c r="I49" i="1"/>
  <c r="I55" i="1"/>
  <c r="I61" i="1"/>
  <c r="I67" i="1"/>
  <c r="I73" i="1"/>
  <c r="I79" i="1"/>
  <c r="I85" i="1"/>
  <c r="I91" i="1"/>
  <c r="I97" i="1"/>
  <c r="I103" i="1"/>
  <c r="K6" i="1"/>
  <c r="I14" i="1"/>
  <c r="I20" i="1"/>
  <c r="I26" i="1"/>
  <c r="I32" i="1"/>
  <c r="I38" i="1"/>
  <c r="I50" i="1"/>
  <c r="I56" i="1"/>
  <c r="I68" i="1"/>
  <c r="I80" i="1"/>
  <c r="I92" i="1"/>
  <c r="I104" i="1"/>
  <c r="I8" i="1"/>
  <c r="I9" i="1"/>
  <c r="I15" i="1"/>
  <c r="I21" i="1"/>
  <c r="I27" i="1"/>
  <c r="I33" i="1"/>
  <c r="I39" i="1"/>
  <c r="I45" i="1"/>
  <c r="I51" i="1"/>
  <c r="I57" i="1"/>
  <c r="I63" i="1"/>
  <c r="I69" i="1"/>
  <c r="I75" i="1"/>
  <c r="I81" i="1"/>
  <c r="I87" i="1"/>
  <c r="I93" i="1"/>
  <c r="I99" i="1"/>
  <c r="I105" i="1"/>
  <c r="I12" i="1"/>
  <c r="I18" i="1"/>
  <c r="I24" i="1"/>
  <c r="I30" i="1"/>
  <c r="I36" i="1"/>
  <c r="I42" i="1"/>
  <c r="I48" i="1"/>
  <c r="I54" i="1"/>
  <c r="I60" i="1"/>
  <c r="I66" i="1"/>
  <c r="I72" i="1"/>
  <c r="I78" i="1"/>
  <c r="I84" i="1"/>
  <c r="I90" i="1"/>
  <c r="I96" i="1"/>
  <c r="I102" i="1"/>
  <c r="I3" i="1"/>
  <c r="I44" i="1"/>
  <c r="I62" i="1"/>
  <c r="I74" i="1"/>
  <c r="I86" i="1"/>
  <c r="I98" i="1"/>
  <c r="T21" i="2" l="1"/>
  <c r="U21" i="2" s="1"/>
  <c r="T24" i="2"/>
  <c r="U24" i="2" s="1"/>
  <c r="T22" i="2"/>
  <c r="U22" i="2" s="1"/>
  <c r="T23" i="2"/>
  <c r="U23" i="2" s="1"/>
  <c r="T25" i="2"/>
  <c r="U25" i="2" s="1"/>
  <c r="T27" i="2" l="1"/>
  <c r="V19" i="2" s="1"/>
  <c r="W19" i="2" s="1"/>
  <c r="X19" i="2" l="1"/>
</calcChain>
</file>

<file path=xl/sharedStrings.xml><?xml version="1.0" encoding="utf-8"?>
<sst xmlns="http://schemas.openxmlformats.org/spreadsheetml/2006/main" count="89" uniqueCount="58">
  <si>
    <t>Cs-F</t>
  </si>
  <si>
    <t>Cs-Cs</t>
  </si>
  <si>
    <t>F-F</t>
  </si>
  <si>
    <t>X</t>
  </si>
  <si>
    <t>Y</t>
  </si>
  <si>
    <t>U(r )</t>
  </si>
  <si>
    <t>sigma</t>
  </si>
  <si>
    <t>epsilon</t>
  </si>
  <si>
    <t>Z_c</t>
  </si>
  <si>
    <t>Z_a</t>
  </si>
  <si>
    <t>lambda_D</t>
  </si>
  <si>
    <t>e</t>
  </si>
  <si>
    <t>Coulomb</t>
  </si>
  <si>
    <t xml:space="preserve"> </t>
  </si>
  <si>
    <t>epsilon_0</t>
  </si>
  <si>
    <t>F/m</t>
  </si>
  <si>
    <t>k_B</t>
  </si>
  <si>
    <t>J/K</t>
  </si>
  <si>
    <t>T</t>
  </si>
  <si>
    <t>K</t>
  </si>
  <si>
    <t>N_A</t>
  </si>
  <si>
    <t>mol^-1</t>
  </si>
  <si>
    <t>mol/m^3</t>
  </si>
  <si>
    <t>I (Ionic strength)</t>
  </si>
  <si>
    <t>c_c</t>
  </si>
  <si>
    <t>c_a</t>
  </si>
  <si>
    <t>r_ideal</t>
  </si>
  <si>
    <t>m</t>
  </si>
  <si>
    <t>U(r_0)</t>
  </si>
  <si>
    <t>eV</t>
  </si>
  <si>
    <t>LJ term</t>
  </si>
  <si>
    <t>C potential term</t>
  </si>
  <si>
    <t>at r_ideal</t>
  </si>
  <si>
    <t>LJ</t>
  </si>
  <si>
    <t>Cp</t>
  </si>
  <si>
    <t>Peak</t>
  </si>
  <si>
    <t>w(r )</t>
  </si>
  <si>
    <t>r</t>
  </si>
  <si>
    <t>Constructed Sequence</t>
  </si>
  <si>
    <t>+-</t>
  </si>
  <si>
    <t>++</t>
  </si>
  <si>
    <t>b_SRO</t>
  </si>
  <si>
    <t>b_NI</t>
  </si>
  <si>
    <t>Ideal</t>
  </si>
  <si>
    <t>Total</t>
  </si>
  <si>
    <t>w(r ) Non-ideal</t>
  </si>
  <si>
    <t>x_i</t>
  </si>
  <si>
    <t>w_m,i</t>
  </si>
  <si>
    <t>r_m,i</t>
  </si>
  <si>
    <t>c_i</t>
  </si>
  <si>
    <t>Beta_NI</t>
  </si>
  <si>
    <t>Area_Interval</t>
  </si>
  <si>
    <t>P(r )</t>
  </si>
  <si>
    <t>P_i*r_i</t>
  </si>
  <si>
    <t>lambda</t>
  </si>
  <si>
    <t>⟨P⟩</t>
  </si>
  <si>
    <t>Beta_SRO</t>
  </si>
  <si>
    <t>Beta_TOTAL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</si>
</sst>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"/>
    <numFmt numFmtId="178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11" fontId="0" fillId="0" borderId="0" xfId="0" applyNumberFormat="1"/>
    <xf numFmtId="2" fontId="0" fillId="0" borderId="0" xfId="0" applyNumberFormat="1"/>
    <xf numFmtId="172" fontId="0" fillId="0" borderId="0" xfId="0" applyNumberFormat="1"/>
    <xf numFmtId="17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PDF_CsF!$A$1</c:f>
              <c:strCache>
                <c:ptCount val="1"/>
                <c:pt idx="0">
                  <c:v>Cs-F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PDF_CsF!$A$3:$A$107</c:f>
              <c:numCache>
                <c:formatCode>General</c:formatCode>
                <c:ptCount val="105"/>
                <c:pt idx="0">
                  <c:v>2.3172413793103401</c:v>
                </c:pt>
                <c:pt idx="1">
                  <c:v>2.3761422095451499</c:v>
                </c:pt>
                <c:pt idx="2">
                  <c:v>2.4097998268221801</c:v>
                </c:pt>
                <c:pt idx="3">
                  <c:v>2.4350430397799601</c:v>
                </c:pt>
                <c:pt idx="4">
                  <c:v>2.4602862527377298</c:v>
                </c:pt>
                <c:pt idx="5">
                  <c:v>2.4602862527377298</c:v>
                </c:pt>
                <c:pt idx="6">
                  <c:v>2.4855294656955098</c:v>
                </c:pt>
                <c:pt idx="7">
                  <c:v>2.51077267865328</c:v>
                </c:pt>
                <c:pt idx="8">
                  <c:v>2.5332110901713101</c:v>
                </c:pt>
                <c:pt idx="9">
                  <c:v>2.54443029593032</c:v>
                </c:pt>
                <c:pt idx="10">
                  <c:v>2.5612591045688302</c:v>
                </c:pt>
                <c:pt idx="11">
                  <c:v>2.5780879132073502</c:v>
                </c:pt>
                <c:pt idx="12">
                  <c:v>2.61174553048438</c:v>
                </c:pt>
                <c:pt idx="13">
                  <c:v>2.6369887434421599</c:v>
                </c:pt>
                <c:pt idx="14">
                  <c:v>2.6622319563999302</c:v>
                </c:pt>
                <c:pt idx="15">
                  <c:v>2.6846703679179602</c:v>
                </c:pt>
                <c:pt idx="16">
                  <c:v>2.7160698823409501</c:v>
                </c:pt>
                <c:pt idx="17">
                  <c:v>2.7367493505831999</c:v>
                </c:pt>
                <c:pt idx="18">
                  <c:v>2.7884480211888101</c:v>
                </c:pt>
                <c:pt idx="19">
                  <c:v>2.8480619365354198</c:v>
                </c:pt>
                <c:pt idx="20">
                  <c:v>2.8836448836143198</c:v>
                </c:pt>
                <c:pt idx="21">
                  <c:v>2.9164230292534601</c:v>
                </c:pt>
                <c:pt idx="22">
                  <c:v>2.95481077777211</c:v>
                </c:pt>
                <c:pt idx="23">
                  <c:v>2.9651505118932402</c:v>
                </c:pt>
                <c:pt idx="24">
                  <c:v>2.98758892341126</c:v>
                </c:pt>
                <c:pt idx="25">
                  <c:v>3.0156369378087899</c:v>
                </c:pt>
                <c:pt idx="26">
                  <c:v>3.0408801507665602</c:v>
                </c:pt>
                <c:pt idx="27">
                  <c:v>3.0661233637243401</c:v>
                </c:pt>
                <c:pt idx="28">
                  <c:v>3.08856177524236</c:v>
                </c:pt>
                <c:pt idx="29">
                  <c:v>3.1166097896398899</c:v>
                </c:pt>
                <c:pt idx="30">
                  <c:v>3.1390482011579102</c:v>
                </c:pt>
                <c:pt idx="31">
                  <c:v>3.1670962155554401</c:v>
                </c:pt>
                <c:pt idx="32">
                  <c:v>3.1923394285132098</c:v>
                </c:pt>
                <c:pt idx="33">
                  <c:v>3.2175826414709898</c:v>
                </c:pt>
                <c:pt idx="34">
                  <c:v>3.24282585442876</c:v>
                </c:pt>
                <c:pt idx="35">
                  <c:v>3.26806906738654</c:v>
                </c:pt>
                <c:pt idx="36">
                  <c:v>3.28489787602506</c:v>
                </c:pt>
                <c:pt idx="37">
                  <c:v>3.3185554933020902</c:v>
                </c:pt>
                <c:pt idx="38">
                  <c:v>3.3353843019406102</c:v>
                </c:pt>
                <c:pt idx="39">
                  <c:v>3.3774563235369</c:v>
                </c:pt>
                <c:pt idx="40">
                  <c:v>3.4111139408139302</c:v>
                </c:pt>
                <c:pt idx="41">
                  <c:v>3.4531859624102199</c:v>
                </c:pt>
                <c:pt idx="42">
                  <c:v>3.5036723883257701</c:v>
                </c:pt>
                <c:pt idx="43">
                  <c:v>3.5373300056028101</c:v>
                </c:pt>
                <c:pt idx="44">
                  <c:v>3.61305964447613</c:v>
                </c:pt>
                <c:pt idx="45">
                  <c:v>3.74769011358427</c:v>
                </c:pt>
                <c:pt idx="46">
                  <c:v>3.8907349870116601</c:v>
                </c:pt>
                <c:pt idx="47">
                  <c:v>4.0539744308052699</c:v>
                </c:pt>
                <c:pt idx="48">
                  <c:v>4.2441399684205097</c:v>
                </c:pt>
                <c:pt idx="49">
                  <c:v>4.4292568634442002</c:v>
                </c:pt>
                <c:pt idx="50">
                  <c:v>4.6143737584678801</c:v>
                </c:pt>
                <c:pt idx="51">
                  <c:v>4.8045392960831199</c:v>
                </c:pt>
                <c:pt idx="52">
                  <c:v>4.9846075485152497</c:v>
                </c:pt>
                <c:pt idx="53">
                  <c:v>5.1486884327407898</c:v>
                </c:pt>
                <c:pt idx="54">
                  <c:v>5.3043549126470699</c:v>
                </c:pt>
                <c:pt idx="55">
                  <c:v>5.4417901831949598</c:v>
                </c:pt>
                <c:pt idx="56">
                  <c:v>5.5680062479838304</c:v>
                </c:pt>
                <c:pt idx="57">
                  <c:v>5.6947832730606596</c:v>
                </c:pt>
                <c:pt idx="58">
                  <c:v>5.8092191718025701</c:v>
                </c:pt>
                <c:pt idx="59">
                  <c:v>5.9438496409107104</c:v>
                </c:pt>
                <c:pt idx="60">
                  <c:v>6.1037233229766201</c:v>
                </c:pt>
                <c:pt idx="61">
                  <c:v>6.28042581368104</c:v>
                </c:pt>
                <c:pt idx="62">
                  <c:v>6.4705913512962798</c:v>
                </c:pt>
                <c:pt idx="63">
                  <c:v>6.6543993389814204</c:v>
                </c:pt>
                <c:pt idx="64">
                  <c:v>6.8357764987521001</c:v>
                </c:pt>
                <c:pt idx="65">
                  <c:v>7.02089339377578</c:v>
                </c:pt>
                <c:pt idx="66">
                  <c:v>7.1891814801609497</c:v>
                </c:pt>
                <c:pt idx="67">
                  <c:v>7.3742983751846296</c:v>
                </c:pt>
                <c:pt idx="68">
                  <c:v>7.56876460834083</c:v>
                </c:pt>
                <c:pt idx="69">
                  <c:v>7.7445321652320001</c:v>
                </c:pt>
                <c:pt idx="70">
                  <c:v>7.9330148219833898</c:v>
                </c:pt>
                <c:pt idx="71">
                  <c:v>8.1332776447817405</c:v>
                </c:pt>
                <c:pt idx="72">
                  <c:v>8.2325676157489909</c:v>
                </c:pt>
                <c:pt idx="73">
                  <c:v>8.6179473335710295</c:v>
                </c:pt>
                <c:pt idx="74">
                  <c:v>8.8178361828440792</c:v>
                </c:pt>
                <c:pt idx="75">
                  <c:v>8.98986400448225</c:v>
                </c:pt>
                <c:pt idx="76">
                  <c:v>9.1699322569143806</c:v>
                </c:pt>
                <c:pt idx="77">
                  <c:v>9.33906178373147</c:v>
                </c:pt>
                <c:pt idx="78">
                  <c:v>9.6108470432435098</c:v>
                </c:pt>
                <c:pt idx="79">
                  <c:v>9.8043783425864603</c:v>
                </c:pt>
                <c:pt idx="80">
                  <c:v>9.97645291091529</c:v>
                </c:pt>
                <c:pt idx="81">
                  <c:v>10.169563490042201</c:v>
                </c:pt>
                <c:pt idx="82">
                  <c:v>10.352997504202101</c:v>
                </c:pt>
                <c:pt idx="83">
                  <c:v>10.533306168186201</c:v>
                </c:pt>
                <c:pt idx="84">
                  <c:v>10.716018947690101</c:v>
                </c:pt>
                <c:pt idx="85">
                  <c:v>10.9195673950321</c:v>
                </c:pt>
                <c:pt idx="86">
                  <c:v>11.105245250343801</c:v>
                </c:pt>
                <c:pt idx="87">
                  <c:v>11.2757771778807</c:v>
                </c:pt>
                <c:pt idx="88">
                  <c:v>11.5571922556693</c:v>
                </c:pt>
                <c:pt idx="89">
                  <c:v>11.7890558413555</c:v>
                </c:pt>
                <c:pt idx="90">
                  <c:v>12.0527071766923</c:v>
                </c:pt>
                <c:pt idx="91">
                  <c:v>12.1957520501196</c:v>
                </c:pt>
                <c:pt idx="92">
                  <c:v>12.4633301074721</c:v>
                </c:pt>
                <c:pt idx="93">
                  <c:v>12.648927825599699</c:v>
                </c:pt>
                <c:pt idx="94">
                  <c:v>12.8287022416905</c:v>
                </c:pt>
                <c:pt idx="95">
                  <c:v>13.070850099322501</c:v>
                </c:pt>
                <c:pt idx="96">
                  <c:v>13.2223093770692</c:v>
                </c:pt>
                <c:pt idx="97">
                  <c:v>13.5487882646564</c:v>
                </c:pt>
                <c:pt idx="98">
                  <c:v>13.740396271583499</c:v>
                </c:pt>
                <c:pt idx="99">
                  <c:v>13.9038761269291</c:v>
                </c:pt>
                <c:pt idx="100">
                  <c:v>14.1394794478683</c:v>
                </c:pt>
                <c:pt idx="101">
                  <c:v>14.290938725615</c:v>
                </c:pt>
                <c:pt idx="102">
                  <c:v>14.5265420465542</c:v>
                </c:pt>
                <c:pt idx="103">
                  <c:v>14.725682948776701</c:v>
                </c:pt>
                <c:pt idx="104">
                  <c:v>14.8986457042281</c:v>
                </c:pt>
              </c:numCache>
            </c:numRef>
          </c:xVal>
          <c:yVal>
            <c:numRef>
              <c:f>PDF_CsF!$B$3:$B$107</c:f>
              <c:numCache>
                <c:formatCode>General</c:formatCode>
                <c:ptCount val="105"/>
                <c:pt idx="0">
                  <c:v>3.0273055600285401E-2</c:v>
                </c:pt>
                <c:pt idx="1">
                  <c:v>0.13857974281704999</c:v>
                </c:pt>
                <c:pt idx="2">
                  <c:v>0.27918842446688602</c:v>
                </c:pt>
                <c:pt idx="3">
                  <c:v>0.45997101515953098</c:v>
                </c:pt>
                <c:pt idx="4">
                  <c:v>0.75801798900416295</c:v>
                </c:pt>
                <c:pt idx="5">
                  <c:v>0.64021071518943695</c:v>
                </c:pt>
                <c:pt idx="6">
                  <c:v>0.95278001426238201</c:v>
                </c:pt>
                <c:pt idx="7">
                  <c:v>1.21024591106714</c:v>
                </c:pt>
                <c:pt idx="8">
                  <c:v>1.65335326999609</c:v>
                </c:pt>
                <c:pt idx="9">
                  <c:v>1.76127993374893</c:v>
                </c:pt>
                <c:pt idx="10">
                  <c:v>1.96649260426491</c:v>
                </c:pt>
                <c:pt idx="11">
                  <c:v>2.42927673365896</c:v>
                </c:pt>
                <c:pt idx="12">
                  <c:v>2.93175220261783</c:v>
                </c:pt>
                <c:pt idx="13">
                  <c:v>3.2664103655310401</c:v>
                </c:pt>
                <c:pt idx="14">
                  <c:v>3.5093878677739099</c:v>
                </c:pt>
                <c:pt idx="15">
                  <c:v>3.8248073428262499</c:v>
                </c:pt>
                <c:pt idx="16">
                  <c:v>4.0616134894527303</c:v>
                </c:pt>
                <c:pt idx="17">
                  <c:v>4.2152814520024799</c:v>
                </c:pt>
                <c:pt idx="18">
                  <c:v>4.30268684870373</c:v>
                </c:pt>
                <c:pt idx="19">
                  <c:v>4.1742541004347702</c:v>
                </c:pt>
                <c:pt idx="20">
                  <c:v>3.9971061167214899</c:v>
                </c:pt>
                <c:pt idx="21">
                  <c:v>3.7895488946653999</c:v>
                </c:pt>
                <c:pt idx="22">
                  <c:v>3.53740654689333</c:v>
                </c:pt>
                <c:pt idx="23">
                  <c:v>3.4257827057118502</c:v>
                </c:pt>
                <c:pt idx="24">
                  <c:v>3.2743363178687801</c:v>
                </c:pt>
                <c:pt idx="25">
                  <c:v>3.13696487313381</c:v>
                </c:pt>
                <c:pt idx="26">
                  <c:v>2.90705067746313</c:v>
                </c:pt>
                <c:pt idx="27">
                  <c:v>2.7284396494214498</c:v>
                </c:pt>
                <c:pt idx="28">
                  <c:v>2.5500397455263899</c:v>
                </c:pt>
                <c:pt idx="29">
                  <c:v>2.39021876653401</c:v>
                </c:pt>
                <c:pt idx="30">
                  <c:v>2.2299755392483802</c:v>
                </c:pt>
                <c:pt idx="31">
                  <c:v>2.0861999953992298</c:v>
                </c:pt>
                <c:pt idx="32">
                  <c:v>1.97409307354328</c:v>
                </c:pt>
                <c:pt idx="33">
                  <c:v>1.8296841572542599</c:v>
                </c:pt>
                <c:pt idx="34">
                  <c:v>1.73087805663545</c:v>
                </c:pt>
                <c:pt idx="35">
                  <c:v>1.6016700789031699</c:v>
                </c:pt>
                <c:pt idx="36">
                  <c:v>1.5218651514802899</c:v>
                </c:pt>
                <c:pt idx="37">
                  <c:v>1.4344597547790401</c:v>
                </c:pt>
                <c:pt idx="38">
                  <c:v>1.3508545927169799</c:v>
                </c:pt>
                <c:pt idx="39">
                  <c:v>1.22544684962388</c:v>
                </c:pt>
                <c:pt idx="40">
                  <c:v>1.1456419222009999</c:v>
                </c:pt>
                <c:pt idx="41">
                  <c:v>1.0430355869430199</c:v>
                </c:pt>
                <c:pt idx="42">
                  <c:v>0.936629017045847</c:v>
                </c:pt>
                <c:pt idx="43">
                  <c:v>0.87202502817970595</c:v>
                </c:pt>
                <c:pt idx="44">
                  <c:v>0.77036875158151397</c:v>
                </c:pt>
                <c:pt idx="45">
                  <c:v>0.63973568585953799</c:v>
                </c:pt>
                <c:pt idx="46">
                  <c:v>0.54647159408954504</c:v>
                </c:pt>
                <c:pt idx="47">
                  <c:v>0.48858135308596501</c:v>
                </c:pt>
                <c:pt idx="48">
                  <c:v>0.46056325951888499</c:v>
                </c:pt>
                <c:pt idx="49">
                  <c:v>0.46401801828178002</c:v>
                </c:pt>
                <c:pt idx="50">
                  <c:v>0.486819426116889</c:v>
                </c:pt>
                <c:pt idx="51">
                  <c:v>0.535704262611856</c:v>
                </c:pt>
                <c:pt idx="52">
                  <c:v>0.59668075477695603</c:v>
                </c:pt>
                <c:pt idx="53">
                  <c:v>0.66633732833383097</c:v>
                </c:pt>
                <c:pt idx="54">
                  <c:v>0.75379550607173595</c:v>
                </c:pt>
                <c:pt idx="55">
                  <c:v>0.83718954398717904</c:v>
                </c:pt>
                <c:pt idx="56">
                  <c:v>0.92142807848910802</c:v>
                </c:pt>
                <c:pt idx="57">
                  <c:v>1.00731338133468</c:v>
                </c:pt>
                <c:pt idx="58">
                  <c:v>1.0908099652641901</c:v>
                </c:pt>
                <c:pt idx="59">
                  <c:v>1.1768882959009701</c:v>
                </c:pt>
                <c:pt idx="60">
                  <c:v>1.2683895010466699</c:v>
                </c:pt>
                <c:pt idx="61">
                  <c:v>1.3342717506550801</c:v>
                </c:pt>
                <c:pt idx="62">
                  <c:v>1.36263532009845</c:v>
                </c:pt>
                <c:pt idx="63">
                  <c:v>1.33734264733321</c:v>
                </c:pt>
                <c:pt idx="64">
                  <c:v>1.2776137069436</c:v>
                </c:pt>
                <c:pt idx="65">
                  <c:v>1.19953615890217</c:v>
                </c:pt>
                <c:pt idx="66">
                  <c:v>1.1194625280199499</c:v>
                </c:pt>
                <c:pt idx="67">
                  <c:v>1.03474416591207</c:v>
                </c:pt>
                <c:pt idx="68">
                  <c:v>0.96280841122689698</c:v>
                </c:pt>
                <c:pt idx="69">
                  <c:v>0.90760904343752602</c:v>
                </c:pt>
                <c:pt idx="70">
                  <c:v>0.86594465275701005</c:v>
                </c:pt>
                <c:pt idx="71">
                  <c:v>0.83706286949920605</c:v>
                </c:pt>
                <c:pt idx="72">
                  <c:v>0.83402268178785899</c:v>
                </c:pt>
                <c:pt idx="73">
                  <c:v>0.83706286949920605</c:v>
                </c:pt>
                <c:pt idx="74">
                  <c:v>0.85893533108918096</c:v>
                </c:pt>
                <c:pt idx="75">
                  <c:v>0.88791691848902499</c:v>
                </c:pt>
                <c:pt idx="76">
                  <c:v>0.92750845391180203</c:v>
                </c:pt>
                <c:pt idx="77">
                  <c:v>0.96513077683973203</c:v>
                </c:pt>
                <c:pt idx="78">
                  <c:v>1.0285946953141101</c:v>
                </c:pt>
                <c:pt idx="79">
                  <c:v>1.0677371120977199</c:v>
                </c:pt>
                <c:pt idx="80">
                  <c:v>1.09433875457201</c:v>
                </c:pt>
                <c:pt idx="81">
                  <c:v>1.11219985737618</c:v>
                </c:pt>
                <c:pt idx="82">
                  <c:v>1.1152400450875299</c:v>
                </c:pt>
                <c:pt idx="83">
                  <c:v>1.10872535713464</c:v>
                </c:pt>
                <c:pt idx="84">
                  <c:v>1.09026707460145</c:v>
                </c:pt>
                <c:pt idx="85">
                  <c:v>1.06372575331191</c:v>
                </c:pt>
                <c:pt idx="86">
                  <c:v>1.0377152584481599</c:v>
                </c:pt>
                <c:pt idx="87">
                  <c:v>1.01136696494981</c:v>
                </c:pt>
                <c:pt idx="88">
                  <c:v>0.97420911514445097</c:v>
                </c:pt>
                <c:pt idx="89">
                  <c:v>0.95056321072285699</c:v>
                </c:pt>
                <c:pt idx="90">
                  <c:v>0.93282878240666101</c:v>
                </c:pt>
                <c:pt idx="91">
                  <c:v>0.93282878240666101</c:v>
                </c:pt>
                <c:pt idx="92">
                  <c:v>0.93282878240666101</c:v>
                </c:pt>
                <c:pt idx="93">
                  <c:v>0.94368659566147595</c:v>
                </c:pt>
                <c:pt idx="94">
                  <c:v>0.95225220389582799</c:v>
                </c:pt>
                <c:pt idx="95">
                  <c:v>0.97387131650985703</c:v>
                </c:pt>
                <c:pt idx="96">
                  <c:v>0.99363253663361795</c:v>
                </c:pt>
                <c:pt idx="97">
                  <c:v>1.01947413218007</c:v>
                </c:pt>
                <c:pt idx="98">
                  <c:v>1.0327206643509399</c:v>
                </c:pt>
                <c:pt idx="99">
                  <c:v>1.03923535230383</c:v>
                </c:pt>
                <c:pt idx="100">
                  <c:v>1.0468358215822</c:v>
                </c:pt>
                <c:pt idx="101">
                  <c:v>1.0468358215822</c:v>
                </c:pt>
                <c:pt idx="102">
                  <c:v>1.03888987642754</c:v>
                </c:pt>
                <c:pt idx="103">
                  <c:v>1.029101393266</c:v>
                </c:pt>
                <c:pt idx="104">
                  <c:v>1.01812293764169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C5-437E-B9D8-2AA3A7A15BDB}"/>
            </c:ext>
          </c:extLst>
        </c:ser>
        <c:ser>
          <c:idx val="1"/>
          <c:order val="1"/>
          <c:tx>
            <c:strRef>
              <c:f>PDF_CsF!$C$1</c:f>
              <c:strCache>
                <c:ptCount val="1"/>
                <c:pt idx="0">
                  <c:v>Cs-Cs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PDF_CsF!$C$3:$C$82</c:f>
              <c:numCache>
                <c:formatCode>General</c:formatCode>
                <c:ptCount val="80"/>
                <c:pt idx="0">
                  <c:v>3.1839250241939498</c:v>
                </c:pt>
                <c:pt idx="1">
                  <c:v>3.3615069865362699</c:v>
                </c:pt>
                <c:pt idx="2">
                  <c:v>3.4447715580909701</c:v>
                </c:pt>
                <c:pt idx="3">
                  <c:v>3.5036723883257701</c:v>
                </c:pt>
                <c:pt idx="4">
                  <c:v>3.5541588142413199</c:v>
                </c:pt>
                <c:pt idx="5">
                  <c:v>3.60464524015687</c:v>
                </c:pt>
                <c:pt idx="6">
                  <c:v>3.62988845311465</c:v>
                </c:pt>
                <c:pt idx="7">
                  <c:v>3.6685947129832401</c:v>
                </c:pt>
                <c:pt idx="8">
                  <c:v>3.7056180919879802</c:v>
                </c:pt>
                <c:pt idx="9">
                  <c:v>3.73086130494575</c:v>
                </c:pt>
                <c:pt idx="10">
                  <c:v>3.7695675648143401</c:v>
                </c:pt>
                <c:pt idx="11">
                  <c:v>3.8065909438190801</c:v>
                </c:pt>
                <c:pt idx="12">
                  <c:v>3.8402485610961099</c:v>
                </c:pt>
                <c:pt idx="13">
                  <c:v>3.8823205826924001</c:v>
                </c:pt>
                <c:pt idx="14">
                  <c:v>3.91878300140919</c:v>
                </c:pt>
                <c:pt idx="15">
                  <c:v>3.9580502215657298</c:v>
                </c:pt>
                <c:pt idx="16">
                  <c:v>4.0085366474812796</c:v>
                </c:pt>
                <c:pt idx="17">
                  <c:v>4.0674374777160898</c:v>
                </c:pt>
                <c:pt idx="18">
                  <c:v>4.1684103295471902</c:v>
                </c:pt>
                <c:pt idx="19">
                  <c:v>4.3282840116130998</c:v>
                </c:pt>
                <c:pt idx="20">
                  <c:v>4.4629144807212304</c:v>
                </c:pt>
                <c:pt idx="21">
                  <c:v>4.5470585239138099</c:v>
                </c:pt>
                <c:pt idx="22">
                  <c:v>4.6312025671064001</c:v>
                </c:pt>
                <c:pt idx="23">
                  <c:v>4.7069322059797196</c:v>
                </c:pt>
                <c:pt idx="24">
                  <c:v>4.7910762491723098</c:v>
                </c:pt>
                <c:pt idx="25">
                  <c:v>4.8920491010034102</c:v>
                </c:pt>
                <c:pt idx="26">
                  <c:v>4.9930219528345097</c:v>
                </c:pt>
                <c:pt idx="27">
                  <c:v>5.10240920898487</c:v>
                </c:pt>
                <c:pt idx="28">
                  <c:v>5.2258204723339903</c:v>
                </c:pt>
                <c:pt idx="29">
                  <c:v>5.3464269342433601</c:v>
                </c:pt>
                <c:pt idx="30">
                  <c:v>5.4894718076707498</c:v>
                </c:pt>
                <c:pt idx="31">
                  <c:v>5.6409310854174102</c:v>
                </c:pt>
                <c:pt idx="32">
                  <c:v>5.8092191718025701</c:v>
                </c:pt>
                <c:pt idx="33">
                  <c:v>5.9943360668262597</c:v>
                </c:pt>
                <c:pt idx="34">
                  <c:v>6.1794529618499396</c:v>
                </c:pt>
                <c:pt idx="35">
                  <c:v>6.3645698568736302</c:v>
                </c:pt>
                <c:pt idx="36">
                  <c:v>6.5496867518973101</c:v>
                </c:pt>
                <c:pt idx="37">
                  <c:v>6.7348036469209998</c:v>
                </c:pt>
                <c:pt idx="38">
                  <c:v>6.9199205419446796</c:v>
                </c:pt>
                <c:pt idx="39">
                  <c:v>7.1050374369683702</c:v>
                </c:pt>
                <c:pt idx="40">
                  <c:v>7.2817399276727901</c:v>
                </c:pt>
                <c:pt idx="41">
                  <c:v>7.4295930321397599</c:v>
                </c:pt>
                <c:pt idx="42">
                  <c:v>7.6603881220394197</c:v>
                </c:pt>
                <c:pt idx="43">
                  <c:v>7.8455050170631004</c:v>
                </c:pt>
                <c:pt idx="44">
                  <c:v>8.0306219120867901</c:v>
                </c:pt>
                <c:pt idx="45">
                  <c:v>8.2157388071104709</c:v>
                </c:pt>
                <c:pt idx="46">
                  <c:v>8.4008557021341606</c:v>
                </c:pt>
                <c:pt idx="47">
                  <c:v>8.5859725971578396</c:v>
                </c:pt>
                <c:pt idx="48">
                  <c:v>8.7710894921815292</c:v>
                </c:pt>
                <c:pt idx="49">
                  <c:v>8.9393775785667007</c:v>
                </c:pt>
                <c:pt idx="50">
                  <c:v>9.2759537513370294</c:v>
                </c:pt>
                <c:pt idx="51">
                  <c:v>9.4610706463607208</c:v>
                </c:pt>
                <c:pt idx="52">
                  <c:v>9.6461875413843998</c:v>
                </c:pt>
                <c:pt idx="53">
                  <c:v>9.8313044364080895</c:v>
                </c:pt>
                <c:pt idx="54">
                  <c:v>10.016421331431699</c:v>
                </c:pt>
                <c:pt idx="55">
                  <c:v>10.2015382264554</c:v>
                </c:pt>
                <c:pt idx="56">
                  <c:v>10.3866551214791</c:v>
                </c:pt>
                <c:pt idx="57">
                  <c:v>10.5717720165028</c:v>
                </c:pt>
                <c:pt idx="58">
                  <c:v>10.756888911526501</c:v>
                </c:pt>
                <c:pt idx="59">
                  <c:v>10.9420058065501</c:v>
                </c:pt>
                <c:pt idx="60">
                  <c:v>11.107889777415499</c:v>
                </c:pt>
                <c:pt idx="61">
                  <c:v>11.389171293230699</c:v>
                </c:pt>
                <c:pt idx="62">
                  <c:v>11.5646717261753</c:v>
                </c:pt>
                <c:pt idx="63">
                  <c:v>11.749788621199</c:v>
                </c:pt>
                <c:pt idx="64">
                  <c:v>11.934905516222599</c:v>
                </c:pt>
                <c:pt idx="65">
                  <c:v>12.1200224112463</c:v>
                </c:pt>
                <c:pt idx="66">
                  <c:v>12.30513930627</c:v>
                </c:pt>
                <c:pt idx="67">
                  <c:v>12.4902562012937</c:v>
                </c:pt>
                <c:pt idx="68">
                  <c:v>12.675373096317401</c:v>
                </c:pt>
                <c:pt idx="69">
                  <c:v>12.826832374064001</c:v>
                </c:pt>
                <c:pt idx="70">
                  <c:v>13.225915550348899</c:v>
                </c:pt>
                <c:pt idx="71">
                  <c:v>13.415840676412101</c:v>
                </c:pt>
                <c:pt idx="72">
                  <c:v>13.595908928844199</c:v>
                </c:pt>
                <c:pt idx="73">
                  <c:v>13.7860744664595</c:v>
                </c:pt>
                <c:pt idx="74">
                  <c:v>13.9711913614832</c:v>
                </c:pt>
                <c:pt idx="75">
                  <c:v>14.1563082565069</c:v>
                </c:pt>
                <c:pt idx="76">
                  <c:v>14.341425151530499</c:v>
                </c:pt>
                <c:pt idx="77">
                  <c:v>14.5315906891458</c:v>
                </c:pt>
                <c:pt idx="78">
                  <c:v>14.6611725156624</c:v>
                </c:pt>
                <c:pt idx="79">
                  <c:v>14.941142695739501</c:v>
                </c:pt>
              </c:numCache>
            </c:numRef>
          </c:xVal>
          <c:yVal>
            <c:numRef>
              <c:f>PDF_CsF!$D$3:$D$82</c:f>
              <c:numCache>
                <c:formatCode>General</c:formatCode>
                <c:ptCount val="80"/>
                <c:pt idx="0">
                  <c:v>1.77129580639956E-3</c:v>
                </c:pt>
                <c:pt idx="1">
                  <c:v>3.9012163920266199E-2</c:v>
                </c:pt>
                <c:pt idx="2">
                  <c:v>0.122428745600515</c:v>
                </c:pt>
                <c:pt idx="3">
                  <c:v>0.22218490487911499</c:v>
                </c:pt>
                <c:pt idx="4">
                  <c:v>0.33872543381411402</c:v>
                </c:pt>
                <c:pt idx="5">
                  <c:v>0.45304915920958799</c:v>
                </c:pt>
                <c:pt idx="6">
                  <c:v>0.55660555312737203</c:v>
                </c:pt>
                <c:pt idx="7">
                  <c:v>0.66301212302454504</c:v>
                </c:pt>
                <c:pt idx="8">
                  <c:v>0.79982057003519602</c:v>
                </c:pt>
                <c:pt idx="9">
                  <c:v>0.91002737457155303</c:v>
                </c:pt>
                <c:pt idx="10">
                  <c:v>1.01643394446872</c:v>
                </c:pt>
                <c:pt idx="11">
                  <c:v>1.16179291941754</c:v>
                </c:pt>
                <c:pt idx="12">
                  <c:v>1.29309102620137</c:v>
                </c:pt>
                <c:pt idx="13">
                  <c:v>1.4221089922016901</c:v>
                </c:pt>
                <c:pt idx="14">
                  <c:v>1.51553142708165</c:v>
                </c:pt>
                <c:pt idx="15">
                  <c:v>1.63333870089638</c:v>
                </c:pt>
                <c:pt idx="16">
                  <c:v>1.7473457400719199</c:v>
                </c:pt>
                <c:pt idx="17">
                  <c:v>1.8572358583883499</c:v>
                </c:pt>
                <c:pt idx="18">
                  <c:v>1.9536668123576599</c:v>
                </c:pt>
                <c:pt idx="19">
                  <c:v>1.96407427313088</c:v>
                </c:pt>
                <c:pt idx="20">
                  <c:v>1.8752869729244701</c:v>
                </c:pt>
                <c:pt idx="21">
                  <c:v>1.79396195164592</c:v>
                </c:pt>
                <c:pt idx="22">
                  <c:v>1.7027563203054901</c:v>
                </c:pt>
                <c:pt idx="23">
                  <c:v>1.6168710174599099</c:v>
                </c:pt>
                <c:pt idx="24">
                  <c:v>1.5224985239201601</c:v>
                </c:pt>
                <c:pt idx="25">
                  <c:v>1.4287594028202699</c:v>
                </c:pt>
                <c:pt idx="26">
                  <c:v>1.3394538887994201</c:v>
                </c:pt>
                <c:pt idx="27">
                  <c:v>1.2498769294472101</c:v>
                </c:pt>
                <c:pt idx="28">
                  <c:v>1.1659098402766599</c:v>
                </c:pt>
                <c:pt idx="29">
                  <c:v>1.0905385199328199</c:v>
                </c:pt>
                <c:pt idx="30">
                  <c:v>1.0143227030025099</c:v>
                </c:pt>
                <c:pt idx="31">
                  <c:v>0.92987304435396201</c:v>
                </c:pt>
                <c:pt idx="32">
                  <c:v>0.84680528921056997</c:v>
                </c:pt>
                <c:pt idx="33">
                  <c:v>0.76941869292171805</c:v>
                </c:pt>
                <c:pt idx="34">
                  <c:v>0.71586993209684202</c:v>
                </c:pt>
                <c:pt idx="35">
                  <c:v>0.68132234446788897</c:v>
                </c:pt>
                <c:pt idx="36">
                  <c:v>0.67614020632354699</c:v>
                </c:pt>
                <c:pt idx="37">
                  <c:v>0.69583233127205002</c:v>
                </c:pt>
                <c:pt idx="38">
                  <c:v>0.73314372591131804</c:v>
                </c:pt>
                <c:pt idx="39">
                  <c:v>0.79360200426198402</c:v>
                </c:pt>
                <c:pt idx="40">
                  <c:v>0.86746474661268402</c:v>
                </c:pt>
                <c:pt idx="41">
                  <c:v>0.93554323572036502</c:v>
                </c:pt>
                <c:pt idx="42">
                  <c:v>1.05754557374717</c:v>
                </c:pt>
                <c:pt idx="43">
                  <c:v>1.1314774112731301</c:v>
                </c:pt>
                <c:pt idx="44">
                  <c:v>1.1905537861186399</c:v>
                </c:pt>
                <c:pt idx="45">
                  <c:v>1.22026471147954</c:v>
                </c:pt>
                <c:pt idx="46">
                  <c:v>1.22233756673728</c:v>
                </c:pt>
                <c:pt idx="47">
                  <c:v>1.2029909176650599</c:v>
                </c:pt>
                <c:pt idx="48">
                  <c:v>1.1663704747783701</c:v>
                </c:pt>
                <c:pt idx="49">
                  <c:v>1.1236850109523799</c:v>
                </c:pt>
                <c:pt idx="50">
                  <c:v>1.0281801242625599</c:v>
                </c:pt>
                <c:pt idx="51">
                  <c:v>0.98361373622122095</c:v>
                </c:pt>
                <c:pt idx="52">
                  <c:v>0.94630234158195303</c:v>
                </c:pt>
                <c:pt idx="53">
                  <c:v>0.91140927807671102</c:v>
                </c:pt>
                <c:pt idx="54">
                  <c:v>0.88929882199418198</c:v>
                </c:pt>
                <c:pt idx="55">
                  <c:v>0.87893454570549601</c:v>
                </c:pt>
                <c:pt idx="56">
                  <c:v>0.87582526281889095</c:v>
                </c:pt>
                <c:pt idx="57">
                  <c:v>0.886535014983866</c:v>
                </c:pt>
                <c:pt idx="58">
                  <c:v>0.90208142941689395</c:v>
                </c:pt>
                <c:pt idx="59">
                  <c:v>0.92557378900458098</c:v>
                </c:pt>
                <c:pt idx="60">
                  <c:v>0.94911550228888197</c:v>
                </c:pt>
                <c:pt idx="61">
                  <c:v>1.00557613121391</c:v>
                </c:pt>
                <c:pt idx="62">
                  <c:v>1.0302529795202999</c:v>
                </c:pt>
                <c:pt idx="63">
                  <c:v>1.0537453391079901</c:v>
                </c:pt>
                <c:pt idx="64">
                  <c:v>1.07171008467504</c:v>
                </c:pt>
                <c:pt idx="65">
                  <c:v>1.0806924574585699</c:v>
                </c:pt>
                <c:pt idx="66">
                  <c:v>1.0810379333348601</c:v>
                </c:pt>
                <c:pt idx="67">
                  <c:v>1.0730919881801999</c:v>
                </c:pt>
                <c:pt idx="68">
                  <c:v>1.06169128426265</c:v>
                </c:pt>
                <c:pt idx="69">
                  <c:v>1.0487359389017901</c:v>
                </c:pt>
                <c:pt idx="70">
                  <c:v>0.99797566193554299</c:v>
                </c:pt>
                <c:pt idx="71">
                  <c:v>0.982774723378804</c:v>
                </c:pt>
                <c:pt idx="72">
                  <c:v>0.96969105840675396</c:v>
                </c:pt>
                <c:pt idx="73">
                  <c:v>0.95701209374692797</c:v>
                </c:pt>
                <c:pt idx="74">
                  <c:v>0.94872067271598004</c:v>
                </c:pt>
                <c:pt idx="75">
                  <c:v>0.94561138982937398</c:v>
                </c:pt>
                <c:pt idx="76">
                  <c:v>0.94802972096340099</c:v>
                </c:pt>
                <c:pt idx="77">
                  <c:v>0.95335004945825996</c:v>
                </c:pt>
                <c:pt idx="78">
                  <c:v>0.95563019024177098</c:v>
                </c:pt>
                <c:pt idx="79">
                  <c:v>0.98499563972637905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C5-437E-B9D8-2AA3A7A15BDB}"/>
            </c:ext>
          </c:extLst>
        </c:ser>
        <c:ser>
          <c:idx val="2"/>
          <c:order val="2"/>
          <c:tx>
            <c:v>U(r)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PDF_CsF!$A$3:$A$107</c:f>
              <c:numCache>
                <c:formatCode>General</c:formatCode>
                <c:ptCount val="105"/>
                <c:pt idx="0">
                  <c:v>2.3172413793103401</c:v>
                </c:pt>
                <c:pt idx="1">
                  <c:v>2.3761422095451499</c:v>
                </c:pt>
                <c:pt idx="2">
                  <c:v>2.4097998268221801</c:v>
                </c:pt>
                <c:pt idx="3">
                  <c:v>2.4350430397799601</c:v>
                </c:pt>
                <c:pt idx="4">
                  <c:v>2.4602862527377298</c:v>
                </c:pt>
                <c:pt idx="5">
                  <c:v>2.4602862527377298</c:v>
                </c:pt>
                <c:pt idx="6">
                  <c:v>2.4855294656955098</c:v>
                </c:pt>
                <c:pt idx="7">
                  <c:v>2.51077267865328</c:v>
                </c:pt>
                <c:pt idx="8">
                  <c:v>2.5332110901713101</c:v>
                </c:pt>
                <c:pt idx="9">
                  <c:v>2.54443029593032</c:v>
                </c:pt>
                <c:pt idx="10">
                  <c:v>2.5612591045688302</c:v>
                </c:pt>
                <c:pt idx="11">
                  <c:v>2.5780879132073502</c:v>
                </c:pt>
                <c:pt idx="12">
                  <c:v>2.61174553048438</c:v>
                </c:pt>
                <c:pt idx="13">
                  <c:v>2.6369887434421599</c:v>
                </c:pt>
                <c:pt idx="14">
                  <c:v>2.6622319563999302</c:v>
                </c:pt>
                <c:pt idx="15">
                  <c:v>2.6846703679179602</c:v>
                </c:pt>
                <c:pt idx="16">
                  <c:v>2.7160698823409501</c:v>
                </c:pt>
                <c:pt idx="17">
                  <c:v>2.7367493505831999</c:v>
                </c:pt>
                <c:pt idx="18">
                  <c:v>2.7884480211888101</c:v>
                </c:pt>
                <c:pt idx="19">
                  <c:v>2.8480619365354198</c:v>
                </c:pt>
                <c:pt idx="20">
                  <c:v>2.8836448836143198</c:v>
                </c:pt>
                <c:pt idx="21">
                  <c:v>2.9164230292534601</c:v>
                </c:pt>
                <c:pt idx="22">
                  <c:v>2.95481077777211</c:v>
                </c:pt>
                <c:pt idx="23">
                  <c:v>2.9651505118932402</c:v>
                </c:pt>
                <c:pt idx="24">
                  <c:v>2.98758892341126</c:v>
                </c:pt>
                <c:pt idx="25">
                  <c:v>3.0156369378087899</c:v>
                </c:pt>
                <c:pt idx="26">
                  <c:v>3.0408801507665602</c:v>
                </c:pt>
                <c:pt idx="27">
                  <c:v>3.0661233637243401</c:v>
                </c:pt>
                <c:pt idx="28">
                  <c:v>3.08856177524236</c:v>
                </c:pt>
                <c:pt idx="29">
                  <c:v>3.1166097896398899</c:v>
                </c:pt>
                <c:pt idx="30">
                  <c:v>3.1390482011579102</c:v>
                </c:pt>
                <c:pt idx="31">
                  <c:v>3.1670962155554401</c:v>
                </c:pt>
                <c:pt idx="32">
                  <c:v>3.1923394285132098</c:v>
                </c:pt>
                <c:pt idx="33">
                  <c:v>3.2175826414709898</c:v>
                </c:pt>
                <c:pt idx="34">
                  <c:v>3.24282585442876</c:v>
                </c:pt>
                <c:pt idx="35">
                  <c:v>3.26806906738654</c:v>
                </c:pt>
                <c:pt idx="36">
                  <c:v>3.28489787602506</c:v>
                </c:pt>
                <c:pt idx="37">
                  <c:v>3.3185554933020902</c:v>
                </c:pt>
                <c:pt idx="38">
                  <c:v>3.3353843019406102</c:v>
                </c:pt>
                <c:pt idx="39">
                  <c:v>3.3774563235369</c:v>
                </c:pt>
                <c:pt idx="40">
                  <c:v>3.4111139408139302</c:v>
                </c:pt>
                <c:pt idx="41">
                  <c:v>3.4531859624102199</c:v>
                </c:pt>
                <c:pt idx="42">
                  <c:v>3.5036723883257701</c:v>
                </c:pt>
                <c:pt idx="43">
                  <c:v>3.5373300056028101</c:v>
                </c:pt>
                <c:pt idx="44">
                  <c:v>3.61305964447613</c:v>
                </c:pt>
                <c:pt idx="45">
                  <c:v>3.74769011358427</c:v>
                </c:pt>
                <c:pt idx="46">
                  <c:v>3.8907349870116601</c:v>
                </c:pt>
                <c:pt idx="47">
                  <c:v>4.0539744308052699</c:v>
                </c:pt>
                <c:pt idx="48">
                  <c:v>4.2441399684205097</c:v>
                </c:pt>
                <c:pt idx="49">
                  <c:v>4.4292568634442002</c:v>
                </c:pt>
                <c:pt idx="50">
                  <c:v>4.6143737584678801</c:v>
                </c:pt>
                <c:pt idx="51">
                  <c:v>4.8045392960831199</c:v>
                </c:pt>
                <c:pt idx="52">
                  <c:v>4.9846075485152497</c:v>
                </c:pt>
                <c:pt idx="53">
                  <c:v>5.1486884327407898</c:v>
                </c:pt>
                <c:pt idx="54">
                  <c:v>5.3043549126470699</c:v>
                </c:pt>
                <c:pt idx="55">
                  <c:v>5.4417901831949598</c:v>
                </c:pt>
                <c:pt idx="56">
                  <c:v>5.5680062479838304</c:v>
                </c:pt>
                <c:pt idx="57">
                  <c:v>5.6947832730606596</c:v>
                </c:pt>
                <c:pt idx="58">
                  <c:v>5.8092191718025701</c:v>
                </c:pt>
                <c:pt idx="59">
                  <c:v>5.9438496409107104</c:v>
                </c:pt>
                <c:pt idx="60">
                  <c:v>6.1037233229766201</c:v>
                </c:pt>
                <c:pt idx="61">
                  <c:v>6.28042581368104</c:v>
                </c:pt>
                <c:pt idx="62">
                  <c:v>6.4705913512962798</c:v>
                </c:pt>
                <c:pt idx="63">
                  <c:v>6.6543993389814204</c:v>
                </c:pt>
                <c:pt idx="64">
                  <c:v>6.8357764987521001</c:v>
                </c:pt>
                <c:pt idx="65">
                  <c:v>7.02089339377578</c:v>
                </c:pt>
                <c:pt idx="66">
                  <c:v>7.1891814801609497</c:v>
                </c:pt>
                <c:pt idx="67">
                  <c:v>7.3742983751846296</c:v>
                </c:pt>
                <c:pt idx="68">
                  <c:v>7.56876460834083</c:v>
                </c:pt>
                <c:pt idx="69">
                  <c:v>7.7445321652320001</c:v>
                </c:pt>
                <c:pt idx="70">
                  <c:v>7.9330148219833898</c:v>
                </c:pt>
                <c:pt idx="71">
                  <c:v>8.1332776447817405</c:v>
                </c:pt>
                <c:pt idx="72">
                  <c:v>8.2325676157489909</c:v>
                </c:pt>
                <c:pt idx="73">
                  <c:v>8.6179473335710295</c:v>
                </c:pt>
                <c:pt idx="74">
                  <c:v>8.8178361828440792</c:v>
                </c:pt>
                <c:pt idx="75">
                  <c:v>8.98986400448225</c:v>
                </c:pt>
                <c:pt idx="76">
                  <c:v>9.1699322569143806</c:v>
                </c:pt>
                <c:pt idx="77">
                  <c:v>9.33906178373147</c:v>
                </c:pt>
                <c:pt idx="78">
                  <c:v>9.6108470432435098</c:v>
                </c:pt>
                <c:pt idx="79">
                  <c:v>9.8043783425864603</c:v>
                </c:pt>
                <c:pt idx="80">
                  <c:v>9.97645291091529</c:v>
                </c:pt>
                <c:pt idx="81">
                  <c:v>10.169563490042201</c:v>
                </c:pt>
                <c:pt idx="82">
                  <c:v>10.352997504202101</c:v>
                </c:pt>
                <c:pt idx="83">
                  <c:v>10.533306168186201</c:v>
                </c:pt>
                <c:pt idx="84">
                  <c:v>10.716018947690101</c:v>
                </c:pt>
                <c:pt idx="85">
                  <c:v>10.9195673950321</c:v>
                </c:pt>
                <c:pt idx="86">
                  <c:v>11.105245250343801</c:v>
                </c:pt>
                <c:pt idx="87">
                  <c:v>11.2757771778807</c:v>
                </c:pt>
                <c:pt idx="88">
                  <c:v>11.5571922556693</c:v>
                </c:pt>
                <c:pt idx="89">
                  <c:v>11.7890558413555</c:v>
                </c:pt>
                <c:pt idx="90">
                  <c:v>12.0527071766923</c:v>
                </c:pt>
                <c:pt idx="91">
                  <c:v>12.1957520501196</c:v>
                </c:pt>
                <c:pt idx="92">
                  <c:v>12.4633301074721</c:v>
                </c:pt>
                <c:pt idx="93">
                  <c:v>12.648927825599699</c:v>
                </c:pt>
                <c:pt idx="94">
                  <c:v>12.8287022416905</c:v>
                </c:pt>
                <c:pt idx="95">
                  <c:v>13.070850099322501</c:v>
                </c:pt>
                <c:pt idx="96">
                  <c:v>13.2223093770692</c:v>
                </c:pt>
                <c:pt idx="97">
                  <c:v>13.5487882646564</c:v>
                </c:pt>
                <c:pt idx="98">
                  <c:v>13.740396271583499</c:v>
                </c:pt>
                <c:pt idx="99">
                  <c:v>13.9038761269291</c:v>
                </c:pt>
                <c:pt idx="100">
                  <c:v>14.1394794478683</c:v>
                </c:pt>
                <c:pt idx="101">
                  <c:v>14.290938725615</c:v>
                </c:pt>
                <c:pt idx="102">
                  <c:v>14.5265420465542</c:v>
                </c:pt>
                <c:pt idx="103">
                  <c:v>14.725682948776701</c:v>
                </c:pt>
                <c:pt idx="104">
                  <c:v>14.8986457042281</c:v>
                </c:pt>
              </c:numCache>
            </c:numRef>
          </c:xVal>
          <c:yVal>
            <c:numRef>
              <c:f>PDF_CsF!$I$3:$I$107</c:f>
              <c:numCache>
                <c:formatCode>0.00E+00</c:formatCode>
                <c:ptCount val="105"/>
                <c:pt idx="0">
                  <c:v>-12.382123825784724</c:v>
                </c:pt>
                <c:pt idx="1">
                  <c:v>-9.0854123141082095</c:v>
                </c:pt>
                <c:pt idx="2">
                  <c:v>-7.6337163728014588</c:v>
                </c:pt>
                <c:pt idx="3">
                  <c:v>-6.7078072407092737</c:v>
                </c:pt>
                <c:pt idx="4">
                  <c:v>-5.9003587168513025</c:v>
                </c:pt>
                <c:pt idx="5">
                  <c:v>-5.9003587168513025</c:v>
                </c:pt>
                <c:pt idx="6">
                  <c:v>-5.1953225020285059</c:v>
                </c:pt>
                <c:pt idx="7">
                  <c:v>-4.5789496231316491</c:v>
                </c:pt>
                <c:pt idx="8">
                  <c:v>-4.0959205231153177</c:v>
                </c:pt>
                <c:pt idx="9">
                  <c:v>-3.8748937739913276</c:v>
                </c:pt>
                <c:pt idx="10">
                  <c:v>-3.5666650211680881</c:v>
                </c:pt>
                <c:pt idx="11">
                  <c:v>-3.2841913504899161</c:v>
                </c:pt>
                <c:pt idx="12">
                  <c:v>-2.7876042565812056</c:v>
                </c:pt>
                <c:pt idx="13">
                  <c:v>-2.4673141202854003</c:v>
                </c:pt>
                <c:pt idx="14">
                  <c:v>-2.1854136199378269</c:v>
                </c:pt>
                <c:pt idx="15">
                  <c:v>-1.9631257382865295</c:v>
                </c:pt>
                <c:pt idx="16">
                  <c:v>-1.6909429600016235</c:v>
                </c:pt>
                <c:pt idx="17">
                  <c:v>-1.5334177077154001</c:v>
                </c:pt>
                <c:pt idx="18">
                  <c:v>-1.2027620454401213</c:v>
                </c:pt>
                <c:pt idx="19">
                  <c:v>-0.91115395411591182</c:v>
                </c:pt>
                <c:pt idx="20">
                  <c:v>-0.77274550678155018</c:v>
                </c:pt>
                <c:pt idx="21">
                  <c:v>-0.66425242712335175</c:v>
                </c:pt>
                <c:pt idx="22">
                  <c:v>-0.5566331004858891</c:v>
                </c:pt>
                <c:pt idx="23">
                  <c:v>-0.53078097949669767</c:v>
                </c:pt>
                <c:pt idx="24">
                  <c:v>-0.47875425266291227</c:v>
                </c:pt>
                <c:pt idx="25">
                  <c:v>-0.42084090163470717</c:v>
                </c:pt>
                <c:pt idx="26">
                  <c:v>-0.37471245633378425</c:v>
                </c:pt>
                <c:pt idx="27">
                  <c:v>-0.33359572776137547</c:v>
                </c:pt>
                <c:pt idx="28">
                  <c:v>-0.30079729108787673</c:v>
                </c:pt>
                <c:pt idx="29">
                  <c:v>-0.26420742966298882</c:v>
                </c:pt>
                <c:pt idx="30">
                  <c:v>-0.23808354807803453</c:v>
                </c:pt>
                <c:pt idx="31">
                  <c:v>-0.20891340301280198</c:v>
                </c:pt>
                <c:pt idx="32">
                  <c:v>-0.18560721733400273</c:v>
                </c:pt>
                <c:pt idx="33">
                  <c:v>-0.16477673798421538</c:v>
                </c:pt>
                <c:pt idx="34">
                  <c:v>-0.14615286471170216</c:v>
                </c:pt>
                <c:pt idx="35">
                  <c:v>-0.12949701898123694</c:v>
                </c:pt>
                <c:pt idx="36">
                  <c:v>-0.11938092504228738</c:v>
                </c:pt>
                <c:pt idx="37">
                  <c:v>-0.10126636834203608</c:v>
                </c:pt>
                <c:pt idx="38">
                  <c:v>-9.3166973078993146E-2</c:v>
                </c:pt>
                <c:pt idx="39">
                  <c:v>-7.5355540093969775E-2</c:v>
                </c:pt>
                <c:pt idx="40">
                  <c:v>-6.329572078723715E-2</c:v>
                </c:pt>
                <c:pt idx="41">
                  <c:v>-5.0524309564134874E-2</c:v>
                </c:pt>
                <c:pt idx="42">
                  <c:v>-3.8013977801185879E-2</c:v>
                </c:pt>
                <c:pt idx="43">
                  <c:v>-3.1094963467343587E-2</c:v>
                </c:pt>
                <c:pt idx="44">
                  <c:v>-1.8838944296511301E-2</c:v>
                </c:pt>
                <c:pt idx="45">
                  <c:v>-5.1489801463014667E-3</c:v>
                </c:pt>
                <c:pt idx="46">
                  <c:v>2.4219973464906525E-3</c:v>
                </c:pt>
                <c:pt idx="47">
                  <c:v>6.3210513144146647E-3</c:v>
                </c:pt>
                <c:pt idx="48">
                  <c:v>7.6931120509721573E-3</c:v>
                </c:pt>
                <c:pt idx="49">
                  <c:v>7.5524336721833124E-3</c:v>
                </c:pt>
                <c:pt idx="50">
                  <c:v>6.8397999418252087E-3</c:v>
                </c:pt>
                <c:pt idx="51">
                  <c:v>5.9334306446729929E-3</c:v>
                </c:pt>
                <c:pt idx="52">
                  <c:v>5.085670502690434E-3</c:v>
                </c:pt>
                <c:pt idx="53">
                  <c:v>4.3803483956651795E-3</c:v>
                </c:pt>
                <c:pt idx="54">
                  <c:v>3.7865382729361974E-3</c:v>
                </c:pt>
                <c:pt idx="55">
                  <c:v>3.3245338074263161E-3</c:v>
                </c:pt>
                <c:pt idx="56">
                  <c:v>2.9490560370570669E-3</c:v>
                </c:pt>
                <c:pt idx="57">
                  <c:v>2.6152175882330582E-3</c:v>
                </c:pt>
                <c:pt idx="58">
                  <c:v>2.3477255944514427E-3</c:v>
                </c:pt>
                <c:pt idx="59">
                  <c:v>2.0698405311774192E-3</c:v>
                </c:pt>
                <c:pt idx="60">
                  <c:v>1.7852669245044096E-3</c:v>
                </c:pt>
                <c:pt idx="61">
                  <c:v>1.5197853401575333E-3</c:v>
                </c:pt>
                <c:pt idx="62">
                  <c:v>1.2820816387223515E-3</c:v>
                </c:pt>
                <c:pt idx="63">
                  <c:v>1.0913176151330143E-3</c:v>
                </c:pt>
                <c:pt idx="64">
                  <c:v>9.3395187580819043E-4</c:v>
                </c:pt>
                <c:pt idx="65">
                  <c:v>7.9938691262926222E-4</c:v>
                </c:pt>
                <c:pt idx="66">
                  <c:v>6.9598092229902742E-4</c:v>
                </c:pt>
                <c:pt idx="67">
                  <c:v>5.9950453486714E-4</c:v>
                </c:pt>
                <c:pt idx="68">
                  <c:v>5.1431433451408926E-4</c:v>
                </c:pt>
                <c:pt idx="69">
                  <c:v>4.4912341570551602E-4</c:v>
                </c:pt>
                <c:pt idx="70">
                  <c:v>3.8956247632825796E-4</c:v>
                </c:pt>
                <c:pt idx="71">
                  <c:v>3.360395181715958E-4</c:v>
                </c:pt>
                <c:pt idx="72">
                  <c:v>3.1268705421827692E-4</c:v>
                </c:pt>
                <c:pt idx="73">
                  <c:v>2.3821587262017437E-4</c:v>
                </c:pt>
                <c:pt idx="74">
                  <c:v>2.0780548547603991E-4</c:v>
                </c:pt>
                <c:pt idx="75">
                  <c:v>1.8519673435060571E-4</c:v>
                </c:pt>
                <c:pt idx="76">
                  <c:v>1.6453177798356162E-4</c:v>
                </c:pt>
                <c:pt idx="77">
                  <c:v>1.4752613443347193E-4</c:v>
                </c:pt>
                <c:pt idx="78">
                  <c:v>1.2429346172789662E-4</c:v>
                </c:pt>
                <c:pt idx="79">
                  <c:v>1.1033054608740012E-4</c:v>
                </c:pt>
                <c:pt idx="80">
                  <c:v>9.9429095587525565E-5</c:v>
                </c:pt>
                <c:pt idx="81">
                  <c:v>8.8656150522108842E-5</c:v>
                </c:pt>
                <c:pt idx="82">
                  <c:v>7.9662351263173534E-5</c:v>
                </c:pt>
                <c:pt idx="83">
                  <c:v>7.1840924659708275E-5</c:v>
                </c:pt>
                <c:pt idx="84">
                  <c:v>6.4812450928524015E-5</c:v>
                </c:pt>
                <c:pt idx="85">
                  <c:v>5.7906060115193704E-5</c:v>
                </c:pt>
                <c:pt idx="86">
                  <c:v>5.234389456843474E-5</c:v>
                </c:pt>
                <c:pt idx="87">
                  <c:v>4.7777160509018105E-5</c:v>
                </c:pt>
                <c:pt idx="88">
                  <c:v>4.1217108297221378E-5</c:v>
                </c:pt>
                <c:pt idx="89">
                  <c:v>3.6591687855535933E-5</c:v>
                </c:pt>
                <c:pt idx="90">
                  <c:v>3.2048876810180351E-5</c:v>
                </c:pt>
                <c:pt idx="91">
                  <c:v>2.9860678844069992E-5</c:v>
                </c:pt>
                <c:pt idx="92">
                  <c:v>2.6217892489870507E-5</c:v>
                </c:pt>
                <c:pt idx="93">
                  <c:v>2.3994477881773159E-5</c:v>
                </c:pt>
                <c:pt idx="94">
                  <c:v>2.2047765128368582E-5</c:v>
                </c:pt>
                <c:pt idx="95">
                  <c:v>1.9709279467531084E-5</c:v>
                </c:pt>
                <c:pt idx="96">
                  <c:v>1.8393667409064017E-5</c:v>
                </c:pt>
                <c:pt idx="97">
                  <c:v>1.5890757670483596E-5</c:v>
                </c:pt>
                <c:pt idx="98">
                  <c:v>1.4607294984619863E-5</c:v>
                </c:pt>
                <c:pt idx="99">
                  <c:v>1.3607051855841434E-5</c:v>
                </c:pt>
                <c:pt idx="100">
                  <c:v>1.2302606997459617E-5</c:v>
                </c:pt>
                <c:pt idx="101">
                  <c:v>1.1541009961331307E-5</c:v>
                </c:pt>
                <c:pt idx="102">
                  <c:v>1.0462850173190388E-5</c:v>
                </c:pt>
                <c:pt idx="103">
                  <c:v>9.6423371196524911E-6</c:v>
                </c:pt>
                <c:pt idx="104">
                  <c:v>8.9900762661049243E-6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C5-437E-B9D8-2AA3A7A15BDB}"/>
            </c:ext>
          </c:extLst>
        </c:ser>
        <c:ser>
          <c:idx val="3"/>
          <c:order val="3"/>
          <c:tx>
            <c:v>LJ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PDF_CsF!$A$3:$A$107</c:f>
              <c:numCache>
                <c:formatCode>General</c:formatCode>
                <c:ptCount val="105"/>
                <c:pt idx="0">
                  <c:v>2.3172413793103401</c:v>
                </c:pt>
                <c:pt idx="1">
                  <c:v>2.3761422095451499</c:v>
                </c:pt>
                <c:pt idx="2">
                  <c:v>2.4097998268221801</c:v>
                </c:pt>
                <c:pt idx="3">
                  <c:v>2.4350430397799601</c:v>
                </c:pt>
                <c:pt idx="4">
                  <c:v>2.4602862527377298</c:v>
                </c:pt>
                <c:pt idx="5">
                  <c:v>2.4602862527377298</c:v>
                </c:pt>
                <c:pt idx="6">
                  <c:v>2.4855294656955098</c:v>
                </c:pt>
                <c:pt idx="7">
                  <c:v>2.51077267865328</c:v>
                </c:pt>
                <c:pt idx="8">
                  <c:v>2.5332110901713101</c:v>
                </c:pt>
                <c:pt idx="9">
                  <c:v>2.54443029593032</c:v>
                </c:pt>
                <c:pt idx="10">
                  <c:v>2.5612591045688302</c:v>
                </c:pt>
                <c:pt idx="11">
                  <c:v>2.5780879132073502</c:v>
                </c:pt>
                <c:pt idx="12">
                  <c:v>2.61174553048438</c:v>
                </c:pt>
                <c:pt idx="13">
                  <c:v>2.6369887434421599</c:v>
                </c:pt>
                <c:pt idx="14">
                  <c:v>2.6622319563999302</c:v>
                </c:pt>
                <c:pt idx="15">
                  <c:v>2.6846703679179602</c:v>
                </c:pt>
                <c:pt idx="16">
                  <c:v>2.7160698823409501</c:v>
                </c:pt>
                <c:pt idx="17">
                  <c:v>2.7367493505831999</c:v>
                </c:pt>
                <c:pt idx="18">
                  <c:v>2.7884480211888101</c:v>
                </c:pt>
                <c:pt idx="19">
                  <c:v>2.8480619365354198</c:v>
                </c:pt>
                <c:pt idx="20">
                  <c:v>2.8836448836143198</c:v>
                </c:pt>
                <c:pt idx="21">
                  <c:v>2.9164230292534601</c:v>
                </c:pt>
                <c:pt idx="22">
                  <c:v>2.95481077777211</c:v>
                </c:pt>
                <c:pt idx="23">
                  <c:v>2.9651505118932402</c:v>
                </c:pt>
                <c:pt idx="24">
                  <c:v>2.98758892341126</c:v>
                </c:pt>
                <c:pt idx="25">
                  <c:v>3.0156369378087899</c:v>
                </c:pt>
                <c:pt idx="26">
                  <c:v>3.0408801507665602</c:v>
                </c:pt>
                <c:pt idx="27">
                  <c:v>3.0661233637243401</c:v>
                </c:pt>
                <c:pt idx="28">
                  <c:v>3.08856177524236</c:v>
                </c:pt>
                <c:pt idx="29">
                  <c:v>3.1166097896398899</c:v>
                </c:pt>
                <c:pt idx="30">
                  <c:v>3.1390482011579102</c:v>
                </c:pt>
                <c:pt idx="31">
                  <c:v>3.1670962155554401</c:v>
                </c:pt>
                <c:pt idx="32">
                  <c:v>3.1923394285132098</c:v>
                </c:pt>
                <c:pt idx="33">
                  <c:v>3.2175826414709898</c:v>
                </c:pt>
                <c:pt idx="34">
                  <c:v>3.24282585442876</c:v>
                </c:pt>
                <c:pt idx="35">
                  <c:v>3.26806906738654</c:v>
                </c:pt>
                <c:pt idx="36">
                  <c:v>3.28489787602506</c:v>
                </c:pt>
                <c:pt idx="37">
                  <c:v>3.3185554933020902</c:v>
                </c:pt>
                <c:pt idx="38">
                  <c:v>3.3353843019406102</c:v>
                </c:pt>
                <c:pt idx="39">
                  <c:v>3.3774563235369</c:v>
                </c:pt>
                <c:pt idx="40">
                  <c:v>3.4111139408139302</c:v>
                </c:pt>
                <c:pt idx="41">
                  <c:v>3.4531859624102199</c:v>
                </c:pt>
                <c:pt idx="42">
                  <c:v>3.5036723883257701</c:v>
                </c:pt>
                <c:pt idx="43">
                  <c:v>3.5373300056028101</c:v>
                </c:pt>
                <c:pt idx="44">
                  <c:v>3.61305964447613</c:v>
                </c:pt>
                <c:pt idx="45">
                  <c:v>3.74769011358427</c:v>
                </c:pt>
                <c:pt idx="46">
                  <c:v>3.8907349870116601</c:v>
                </c:pt>
                <c:pt idx="47">
                  <c:v>4.0539744308052699</c:v>
                </c:pt>
                <c:pt idx="48">
                  <c:v>4.2441399684205097</c:v>
                </c:pt>
                <c:pt idx="49">
                  <c:v>4.4292568634442002</c:v>
                </c:pt>
                <c:pt idx="50">
                  <c:v>4.6143737584678801</c:v>
                </c:pt>
                <c:pt idx="51">
                  <c:v>4.8045392960831199</c:v>
                </c:pt>
                <c:pt idx="52">
                  <c:v>4.9846075485152497</c:v>
                </c:pt>
                <c:pt idx="53">
                  <c:v>5.1486884327407898</c:v>
                </c:pt>
                <c:pt idx="54">
                  <c:v>5.3043549126470699</c:v>
                </c:pt>
                <c:pt idx="55">
                  <c:v>5.4417901831949598</c:v>
                </c:pt>
                <c:pt idx="56">
                  <c:v>5.5680062479838304</c:v>
                </c:pt>
                <c:pt idx="57">
                  <c:v>5.6947832730606596</c:v>
                </c:pt>
                <c:pt idx="58">
                  <c:v>5.8092191718025701</c:v>
                </c:pt>
                <c:pt idx="59">
                  <c:v>5.9438496409107104</c:v>
                </c:pt>
                <c:pt idx="60">
                  <c:v>6.1037233229766201</c:v>
                </c:pt>
                <c:pt idx="61">
                  <c:v>6.28042581368104</c:v>
                </c:pt>
                <c:pt idx="62">
                  <c:v>6.4705913512962798</c:v>
                </c:pt>
                <c:pt idx="63">
                  <c:v>6.6543993389814204</c:v>
                </c:pt>
                <c:pt idx="64">
                  <c:v>6.8357764987521001</c:v>
                </c:pt>
                <c:pt idx="65">
                  <c:v>7.02089339377578</c:v>
                </c:pt>
                <c:pt idx="66">
                  <c:v>7.1891814801609497</c:v>
                </c:pt>
                <c:pt idx="67">
                  <c:v>7.3742983751846296</c:v>
                </c:pt>
                <c:pt idx="68">
                  <c:v>7.56876460834083</c:v>
                </c:pt>
                <c:pt idx="69">
                  <c:v>7.7445321652320001</c:v>
                </c:pt>
                <c:pt idx="70">
                  <c:v>7.9330148219833898</c:v>
                </c:pt>
                <c:pt idx="71">
                  <c:v>8.1332776447817405</c:v>
                </c:pt>
                <c:pt idx="72">
                  <c:v>8.2325676157489909</c:v>
                </c:pt>
                <c:pt idx="73">
                  <c:v>8.6179473335710295</c:v>
                </c:pt>
                <c:pt idx="74">
                  <c:v>8.8178361828440792</c:v>
                </c:pt>
                <c:pt idx="75">
                  <c:v>8.98986400448225</c:v>
                </c:pt>
                <c:pt idx="76">
                  <c:v>9.1699322569143806</c:v>
                </c:pt>
                <c:pt idx="77">
                  <c:v>9.33906178373147</c:v>
                </c:pt>
                <c:pt idx="78">
                  <c:v>9.6108470432435098</c:v>
                </c:pt>
                <c:pt idx="79">
                  <c:v>9.8043783425864603</c:v>
                </c:pt>
                <c:pt idx="80">
                  <c:v>9.97645291091529</c:v>
                </c:pt>
                <c:pt idx="81">
                  <c:v>10.169563490042201</c:v>
                </c:pt>
                <c:pt idx="82">
                  <c:v>10.352997504202101</c:v>
                </c:pt>
                <c:pt idx="83">
                  <c:v>10.533306168186201</c:v>
                </c:pt>
                <c:pt idx="84">
                  <c:v>10.716018947690101</c:v>
                </c:pt>
                <c:pt idx="85">
                  <c:v>10.9195673950321</c:v>
                </c:pt>
                <c:pt idx="86">
                  <c:v>11.105245250343801</c:v>
                </c:pt>
                <c:pt idx="87">
                  <c:v>11.2757771778807</c:v>
                </c:pt>
                <c:pt idx="88">
                  <c:v>11.5571922556693</c:v>
                </c:pt>
                <c:pt idx="89">
                  <c:v>11.7890558413555</c:v>
                </c:pt>
                <c:pt idx="90">
                  <c:v>12.0527071766923</c:v>
                </c:pt>
                <c:pt idx="91">
                  <c:v>12.1957520501196</c:v>
                </c:pt>
                <c:pt idx="92">
                  <c:v>12.4633301074721</c:v>
                </c:pt>
                <c:pt idx="93">
                  <c:v>12.648927825599699</c:v>
                </c:pt>
                <c:pt idx="94">
                  <c:v>12.8287022416905</c:v>
                </c:pt>
                <c:pt idx="95">
                  <c:v>13.070850099322501</c:v>
                </c:pt>
                <c:pt idx="96">
                  <c:v>13.2223093770692</c:v>
                </c:pt>
                <c:pt idx="97">
                  <c:v>13.5487882646564</c:v>
                </c:pt>
                <c:pt idx="98">
                  <c:v>13.740396271583499</c:v>
                </c:pt>
                <c:pt idx="99">
                  <c:v>13.9038761269291</c:v>
                </c:pt>
                <c:pt idx="100">
                  <c:v>14.1394794478683</c:v>
                </c:pt>
                <c:pt idx="101">
                  <c:v>14.290938725615</c:v>
                </c:pt>
                <c:pt idx="102">
                  <c:v>14.5265420465542</c:v>
                </c:pt>
                <c:pt idx="103">
                  <c:v>14.725682948776701</c:v>
                </c:pt>
                <c:pt idx="104">
                  <c:v>14.8986457042281</c:v>
                </c:pt>
              </c:numCache>
            </c:numRef>
          </c:xVal>
          <c:yVal>
            <c:numRef>
              <c:f>PDF_CsF!$G$3:$G$107</c:f>
              <c:numCache>
                <c:formatCode>General</c:formatCode>
                <c:ptCount val="105"/>
                <c:pt idx="0">
                  <c:v>11.982700476565862</c:v>
                </c:pt>
                <c:pt idx="1">
                  <c:v>8.7923344975240738</c:v>
                </c:pt>
                <c:pt idx="2">
                  <c:v>7.3874674575497981</c:v>
                </c:pt>
                <c:pt idx="3">
                  <c:v>6.4914263619767167</c:v>
                </c:pt>
                <c:pt idx="4">
                  <c:v>5.7100245646948089</c:v>
                </c:pt>
                <c:pt idx="5">
                  <c:v>5.7100245646948089</c:v>
                </c:pt>
                <c:pt idx="6">
                  <c:v>5.0277314535759734</c:v>
                </c:pt>
                <c:pt idx="7">
                  <c:v>4.4312415707725634</c:v>
                </c:pt>
                <c:pt idx="8">
                  <c:v>3.9637940546277268</c:v>
                </c:pt>
                <c:pt idx="9">
                  <c:v>3.7498972006367688</c:v>
                </c:pt>
                <c:pt idx="10">
                  <c:v>3.4516113108078272</c:v>
                </c:pt>
                <c:pt idx="11">
                  <c:v>3.1782496940224996</c:v>
                </c:pt>
                <c:pt idx="12">
                  <c:v>2.697681538626973</c:v>
                </c:pt>
                <c:pt idx="13">
                  <c:v>2.3877233422116775</c:v>
                </c:pt>
                <c:pt idx="14">
                  <c:v>2.1149164063914454</c:v>
                </c:pt>
                <c:pt idx="15">
                  <c:v>1.899799101567609</c:v>
                </c:pt>
                <c:pt idx="16">
                  <c:v>1.636396412904797</c:v>
                </c:pt>
                <c:pt idx="17">
                  <c:v>1.483952620369742</c:v>
                </c:pt>
                <c:pt idx="18">
                  <c:v>1.1639632697807625</c:v>
                </c:pt>
                <c:pt idx="19">
                  <c:v>0.88176189107991465</c:v>
                </c:pt>
                <c:pt idx="20">
                  <c:v>0.74781823236924205</c:v>
                </c:pt>
                <c:pt idx="21">
                  <c:v>0.64282492947421133</c:v>
                </c:pt>
                <c:pt idx="22">
                  <c:v>0.53867719401860237</c:v>
                </c:pt>
                <c:pt idx="23">
                  <c:v>0.51365901241615908</c:v>
                </c:pt>
                <c:pt idx="24">
                  <c:v>0.46331056709314089</c:v>
                </c:pt>
                <c:pt idx="25">
                  <c:v>0.40726538867874884</c:v>
                </c:pt>
                <c:pt idx="26">
                  <c:v>0.3626249577423718</c:v>
                </c:pt>
                <c:pt idx="27">
                  <c:v>0.32283457525294401</c:v>
                </c:pt>
                <c:pt idx="28">
                  <c:v>0.29109415266568711</c:v>
                </c:pt>
                <c:pt idx="29">
                  <c:v>0.25568460935127951</c:v>
                </c:pt>
                <c:pt idx="30">
                  <c:v>0.23040343362390439</c:v>
                </c:pt>
                <c:pt idx="31">
                  <c:v>0.20217426098013094</c:v>
                </c:pt>
                <c:pt idx="32">
                  <c:v>0.17961988774258328</c:v>
                </c:pt>
                <c:pt idx="33">
                  <c:v>0.15946135933956326</c:v>
                </c:pt>
                <c:pt idx="34">
                  <c:v>0.14143825617261499</c:v>
                </c:pt>
                <c:pt idx="35">
                  <c:v>0.12531969578829383</c:v>
                </c:pt>
                <c:pt idx="36">
                  <c:v>0.11552992746027811</c:v>
                </c:pt>
                <c:pt idx="37">
                  <c:v>9.7999711298744588E-2</c:v>
                </c:pt>
                <c:pt idx="38">
                  <c:v>9.016158685063852E-2</c:v>
                </c:pt>
                <c:pt idx="39">
                  <c:v>7.292471621997075E-2</c:v>
                </c:pt>
                <c:pt idx="40">
                  <c:v>6.1253923342487561E-2</c:v>
                </c:pt>
                <c:pt idx="41">
                  <c:v>4.8894493126582138E-2</c:v>
                </c:pt>
                <c:pt idx="42">
                  <c:v>3.6787720452760526E-2</c:v>
                </c:pt>
                <c:pt idx="43">
                  <c:v>3.0091900129687342E-2</c:v>
                </c:pt>
                <c:pt idx="44">
                  <c:v>1.8231236415978676E-2</c:v>
                </c:pt>
                <c:pt idx="45">
                  <c:v>4.9828840125498066E-3</c:v>
                </c:pt>
                <c:pt idx="46">
                  <c:v>-2.343868399829664E-3</c:v>
                </c:pt>
                <c:pt idx="47">
                  <c:v>-6.1171464333045142E-3</c:v>
                </c:pt>
                <c:pt idx="48">
                  <c:v>-7.4449471461020874E-3</c:v>
                </c:pt>
                <c:pt idx="49">
                  <c:v>-7.3088067795322375E-3</c:v>
                </c:pt>
                <c:pt idx="50">
                  <c:v>-6.6191612340243955E-3</c:v>
                </c:pt>
                <c:pt idx="51">
                  <c:v>-5.7420296561351541E-3</c:v>
                </c:pt>
                <c:pt idx="52">
                  <c:v>-4.9216166155068714E-3</c:v>
                </c:pt>
                <c:pt idx="53">
                  <c:v>-4.2390468345146898E-3</c:v>
                </c:pt>
                <c:pt idx="54">
                  <c:v>-3.6643918770350296E-3</c:v>
                </c:pt>
                <c:pt idx="55">
                  <c:v>-3.2172907813803058E-3</c:v>
                </c:pt>
                <c:pt idx="56">
                  <c:v>-2.8539251971519998E-3</c:v>
                </c:pt>
                <c:pt idx="57">
                  <c:v>-2.5308557305481205E-3</c:v>
                </c:pt>
                <c:pt idx="58">
                  <c:v>-2.2719925107594604E-3</c:v>
                </c:pt>
                <c:pt idx="59">
                  <c:v>-2.0030714817845991E-3</c:v>
                </c:pt>
                <c:pt idx="60">
                  <c:v>-1.7276776688752351E-3</c:v>
                </c:pt>
                <c:pt idx="61">
                  <c:v>-1.4707600066040645E-3</c:v>
                </c:pt>
                <c:pt idx="62">
                  <c:v>-1.2407241665055016E-3</c:v>
                </c:pt>
                <c:pt idx="63">
                  <c:v>-1.0561138210964654E-3</c:v>
                </c:pt>
                <c:pt idx="64">
                  <c:v>-9.0382439594341002E-4</c:v>
                </c:pt>
                <c:pt idx="65">
                  <c:v>-7.7360023802831824E-4</c:v>
                </c:pt>
                <c:pt idx="66">
                  <c:v>-6.7352992480551035E-4</c:v>
                </c:pt>
                <c:pt idx="67">
                  <c:v>-5.8016567890368381E-4</c:v>
                </c:pt>
                <c:pt idx="68">
                  <c:v>-4.9772354952976375E-4</c:v>
                </c:pt>
                <c:pt idx="69">
                  <c:v>-4.3463556358598322E-4</c:v>
                </c:pt>
                <c:pt idx="70">
                  <c:v>-3.7699594483379798E-4</c:v>
                </c:pt>
                <c:pt idx="71">
                  <c:v>-3.2519953371444756E-4</c:v>
                </c:pt>
                <c:pt idx="72">
                  <c:v>-3.026003750499454E-4</c:v>
                </c:pt>
                <c:pt idx="73">
                  <c:v>-2.305314896324268E-4</c:v>
                </c:pt>
                <c:pt idx="74">
                  <c:v>-2.0110208271874831E-4</c:v>
                </c:pt>
                <c:pt idx="75">
                  <c:v>-1.7922264614574746E-4</c:v>
                </c:pt>
                <c:pt idx="76">
                  <c:v>-1.5922430127441448E-4</c:v>
                </c:pt>
                <c:pt idx="77">
                  <c:v>-1.4276722687110187E-4</c:v>
                </c:pt>
                <c:pt idx="78">
                  <c:v>-1.2028399522054512E-4</c:v>
                </c:pt>
                <c:pt idx="79">
                  <c:v>-1.0677149621361302E-4</c:v>
                </c:pt>
                <c:pt idx="80">
                  <c:v>-9.6221705407282797E-5</c:v>
                </c:pt>
                <c:pt idx="81">
                  <c:v>-8.5796274698815008E-5</c:v>
                </c:pt>
                <c:pt idx="82">
                  <c:v>-7.7092597996619548E-5</c:v>
                </c:pt>
                <c:pt idx="83">
                  <c:v>-6.9523475477137038E-5</c:v>
                </c:pt>
                <c:pt idx="84">
                  <c:v>-6.2721726705023236E-5</c:v>
                </c:pt>
                <c:pt idx="85">
                  <c:v>-5.6038122692122935E-5</c:v>
                </c:pt>
                <c:pt idx="86">
                  <c:v>-5.0655381840420714E-5</c:v>
                </c:pt>
                <c:pt idx="87">
                  <c:v>-4.6235961782920741E-5</c:v>
                </c:pt>
                <c:pt idx="88">
                  <c:v>-3.9887524158601335E-5</c:v>
                </c:pt>
                <c:pt idx="89">
                  <c:v>-3.5411310827937997E-5</c:v>
                </c:pt>
                <c:pt idx="90">
                  <c:v>-3.1015042074368078E-5</c:v>
                </c:pt>
                <c:pt idx="91">
                  <c:v>-2.8897431139422572E-5</c:v>
                </c:pt>
                <c:pt idx="92">
                  <c:v>-2.537215402245533E-5</c:v>
                </c:pt>
                <c:pt idx="93">
                  <c:v>-2.3220462466232089E-5</c:v>
                </c:pt>
                <c:pt idx="94">
                  <c:v>-2.133654689842121E-5</c:v>
                </c:pt>
                <c:pt idx="95">
                  <c:v>-1.907349625890105E-5</c:v>
                </c:pt>
                <c:pt idx="96">
                  <c:v>-1.7800323299094211E-5</c:v>
                </c:pt>
                <c:pt idx="97">
                  <c:v>-1.5378152584338963E-5</c:v>
                </c:pt>
                <c:pt idx="98">
                  <c:v>-1.4136091920599867E-5</c:v>
                </c:pt>
                <c:pt idx="99">
                  <c:v>-1.3168114699201388E-5</c:v>
                </c:pt>
                <c:pt idx="100">
                  <c:v>-1.1905748707218983E-5</c:v>
                </c:pt>
                <c:pt idx="101">
                  <c:v>-1.1168719317417393E-5</c:v>
                </c:pt>
                <c:pt idx="102">
                  <c:v>-1.0125338877281021E-5</c:v>
                </c:pt>
                <c:pt idx="103">
                  <c:v>-9.3312939867604754E-6</c:v>
                </c:pt>
                <c:pt idx="104">
                  <c:v>-8.700073805907991E-6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C5-437E-B9D8-2AA3A7A15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41631"/>
        <c:axId val="167051119"/>
      </c:scatterChart>
      <c:valAx>
        <c:axId val="16704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51119"/>
        <c:crosses val="autoZero"/>
        <c:crossBetween val="midCat"/>
      </c:valAx>
      <c:valAx>
        <c:axId val="16705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</a:t>
                </a:r>
                <a:r>
                  <a:rPr lang="en-US" baseline="-25000"/>
                  <a:t>weighted</a:t>
                </a:r>
                <a:r>
                  <a:rPr lang="en-US"/>
                  <a:t>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41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90266841644797"/>
          <c:y val="0.12094852726742493"/>
          <c:w val="0.11656646459015632"/>
          <c:h val="0.3125021872265967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'PDF_CsF (2)'!$A$1</c:f>
              <c:strCache>
                <c:ptCount val="1"/>
                <c:pt idx="0">
                  <c:v>Cs-F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'PDF_CsF (2)'!$A$3:$A$107</c:f>
              <c:numCache>
                <c:formatCode>General</c:formatCode>
                <c:ptCount val="105"/>
                <c:pt idx="0">
                  <c:v>2.3172413793103401</c:v>
                </c:pt>
                <c:pt idx="1">
                  <c:v>2.3761422095451499</c:v>
                </c:pt>
                <c:pt idx="2">
                  <c:v>2.4097998268221801</c:v>
                </c:pt>
                <c:pt idx="3">
                  <c:v>2.4350430397799601</c:v>
                </c:pt>
                <c:pt idx="4">
                  <c:v>2.4602862527377298</c:v>
                </c:pt>
                <c:pt idx="5">
                  <c:v>2.4602862527377298</c:v>
                </c:pt>
                <c:pt idx="6">
                  <c:v>2.4855294656955098</c:v>
                </c:pt>
                <c:pt idx="7">
                  <c:v>2.51077267865328</c:v>
                </c:pt>
                <c:pt idx="8">
                  <c:v>2.5332110901713101</c:v>
                </c:pt>
                <c:pt idx="9">
                  <c:v>2.54443029593032</c:v>
                </c:pt>
                <c:pt idx="10">
                  <c:v>2.5612591045688302</c:v>
                </c:pt>
                <c:pt idx="11">
                  <c:v>2.5780879132073502</c:v>
                </c:pt>
                <c:pt idx="12">
                  <c:v>2.61174553048438</c:v>
                </c:pt>
                <c:pt idx="13">
                  <c:v>2.6369887434421599</c:v>
                </c:pt>
                <c:pt idx="14">
                  <c:v>2.6622319563999302</c:v>
                </c:pt>
                <c:pt idx="15">
                  <c:v>2.6846703679179602</c:v>
                </c:pt>
                <c:pt idx="16">
                  <c:v>2.7160698823409501</c:v>
                </c:pt>
                <c:pt idx="17">
                  <c:v>2.7367493505831999</c:v>
                </c:pt>
                <c:pt idx="18">
                  <c:v>2.7884480211888101</c:v>
                </c:pt>
                <c:pt idx="19">
                  <c:v>2.8480619365354198</c:v>
                </c:pt>
                <c:pt idx="20">
                  <c:v>2.8836448836143198</c:v>
                </c:pt>
                <c:pt idx="21">
                  <c:v>2.9164230292534601</c:v>
                </c:pt>
                <c:pt idx="22">
                  <c:v>2.95481077777211</c:v>
                </c:pt>
                <c:pt idx="23">
                  <c:v>2.9651505118932402</c:v>
                </c:pt>
                <c:pt idx="24">
                  <c:v>2.98758892341126</c:v>
                </c:pt>
                <c:pt idx="25">
                  <c:v>3.0156369378087899</c:v>
                </c:pt>
                <c:pt idx="26">
                  <c:v>3.0408801507665602</c:v>
                </c:pt>
                <c:pt idx="27">
                  <c:v>3.0661233637243401</c:v>
                </c:pt>
                <c:pt idx="28">
                  <c:v>3.08856177524236</c:v>
                </c:pt>
                <c:pt idx="29">
                  <c:v>3.1166097896398899</c:v>
                </c:pt>
                <c:pt idx="30">
                  <c:v>3.1390482011579102</c:v>
                </c:pt>
                <c:pt idx="31">
                  <c:v>3.1670962155554401</c:v>
                </c:pt>
                <c:pt idx="32">
                  <c:v>3.1923394285132098</c:v>
                </c:pt>
                <c:pt idx="33">
                  <c:v>3.2175826414709898</c:v>
                </c:pt>
                <c:pt idx="34">
                  <c:v>3.24282585442876</c:v>
                </c:pt>
                <c:pt idx="35">
                  <c:v>3.26806906738654</c:v>
                </c:pt>
                <c:pt idx="36">
                  <c:v>3.28489787602506</c:v>
                </c:pt>
                <c:pt idx="37">
                  <c:v>3.3185554933020902</c:v>
                </c:pt>
                <c:pt idx="38">
                  <c:v>3.3353843019406102</c:v>
                </c:pt>
                <c:pt idx="39">
                  <c:v>3.3774563235369</c:v>
                </c:pt>
                <c:pt idx="40">
                  <c:v>3.4111139408139302</c:v>
                </c:pt>
                <c:pt idx="41">
                  <c:v>3.4531859624102199</c:v>
                </c:pt>
                <c:pt idx="42">
                  <c:v>3.5036723883257701</c:v>
                </c:pt>
                <c:pt idx="43">
                  <c:v>3.5373300056028101</c:v>
                </c:pt>
                <c:pt idx="44">
                  <c:v>3.61305964447613</c:v>
                </c:pt>
                <c:pt idx="45">
                  <c:v>3.74769011358427</c:v>
                </c:pt>
                <c:pt idx="46">
                  <c:v>3.8907349870116601</c:v>
                </c:pt>
                <c:pt idx="47">
                  <c:v>4.0539744308052699</c:v>
                </c:pt>
                <c:pt idx="48">
                  <c:v>4.2441399684205097</c:v>
                </c:pt>
                <c:pt idx="49">
                  <c:v>4.4292568634442002</c:v>
                </c:pt>
                <c:pt idx="50">
                  <c:v>4.6143737584678801</c:v>
                </c:pt>
                <c:pt idx="51">
                  <c:v>4.8045392960831199</c:v>
                </c:pt>
                <c:pt idx="52">
                  <c:v>4.9846075485152497</c:v>
                </c:pt>
                <c:pt idx="53">
                  <c:v>5.1486884327407898</c:v>
                </c:pt>
                <c:pt idx="54">
                  <c:v>5.3043549126470699</c:v>
                </c:pt>
                <c:pt idx="55">
                  <c:v>5.4417901831949598</c:v>
                </c:pt>
                <c:pt idx="56">
                  <c:v>5.5680062479838304</c:v>
                </c:pt>
                <c:pt idx="57">
                  <c:v>5.6947832730606596</c:v>
                </c:pt>
                <c:pt idx="58">
                  <c:v>5.8092191718025701</c:v>
                </c:pt>
                <c:pt idx="59">
                  <c:v>5.9438496409107104</c:v>
                </c:pt>
                <c:pt idx="60">
                  <c:v>6.1037233229766201</c:v>
                </c:pt>
                <c:pt idx="61">
                  <c:v>6.28042581368104</c:v>
                </c:pt>
                <c:pt idx="62">
                  <c:v>6.4705913512962798</c:v>
                </c:pt>
                <c:pt idx="63">
                  <c:v>6.6543993389814204</c:v>
                </c:pt>
                <c:pt idx="64">
                  <c:v>6.8357764987521001</c:v>
                </c:pt>
                <c:pt idx="65">
                  <c:v>7.02089339377578</c:v>
                </c:pt>
                <c:pt idx="66">
                  <c:v>7.1891814801609497</c:v>
                </c:pt>
                <c:pt idx="67">
                  <c:v>7.3742983751846296</c:v>
                </c:pt>
                <c:pt idx="68">
                  <c:v>7.56876460834083</c:v>
                </c:pt>
                <c:pt idx="69">
                  <c:v>7.7445321652320001</c:v>
                </c:pt>
                <c:pt idx="70">
                  <c:v>7.9330148219833898</c:v>
                </c:pt>
                <c:pt idx="71">
                  <c:v>8.1332776447817405</c:v>
                </c:pt>
                <c:pt idx="72">
                  <c:v>8.2325676157489909</c:v>
                </c:pt>
                <c:pt idx="73">
                  <c:v>8.6179473335710295</c:v>
                </c:pt>
                <c:pt idx="74">
                  <c:v>8.8178361828440792</c:v>
                </c:pt>
                <c:pt idx="75">
                  <c:v>8.98986400448225</c:v>
                </c:pt>
                <c:pt idx="76">
                  <c:v>9.1699322569143806</c:v>
                </c:pt>
                <c:pt idx="77">
                  <c:v>9.33906178373147</c:v>
                </c:pt>
                <c:pt idx="78">
                  <c:v>9.6108470432435098</c:v>
                </c:pt>
                <c:pt idx="79">
                  <c:v>9.8043783425864603</c:v>
                </c:pt>
                <c:pt idx="80">
                  <c:v>9.97645291091529</c:v>
                </c:pt>
                <c:pt idx="81">
                  <c:v>10.169563490042201</c:v>
                </c:pt>
                <c:pt idx="82">
                  <c:v>10.352997504202101</c:v>
                </c:pt>
                <c:pt idx="83">
                  <c:v>10.533306168186201</c:v>
                </c:pt>
                <c:pt idx="84">
                  <c:v>10.716018947690101</c:v>
                </c:pt>
                <c:pt idx="85">
                  <c:v>10.9195673950321</c:v>
                </c:pt>
                <c:pt idx="86">
                  <c:v>11.105245250343801</c:v>
                </c:pt>
                <c:pt idx="87">
                  <c:v>11.2757771778807</c:v>
                </c:pt>
                <c:pt idx="88">
                  <c:v>11.5571922556693</c:v>
                </c:pt>
                <c:pt idx="89">
                  <c:v>11.7890558413555</c:v>
                </c:pt>
                <c:pt idx="90">
                  <c:v>12.0527071766923</c:v>
                </c:pt>
                <c:pt idx="91">
                  <c:v>12.1957520501196</c:v>
                </c:pt>
                <c:pt idx="92">
                  <c:v>12.4633301074721</c:v>
                </c:pt>
                <c:pt idx="93">
                  <c:v>12.648927825599699</c:v>
                </c:pt>
                <c:pt idx="94">
                  <c:v>12.8287022416905</c:v>
                </c:pt>
                <c:pt idx="95">
                  <c:v>13.070850099322501</c:v>
                </c:pt>
                <c:pt idx="96">
                  <c:v>13.2223093770692</c:v>
                </c:pt>
                <c:pt idx="97">
                  <c:v>13.5487882646564</c:v>
                </c:pt>
                <c:pt idx="98">
                  <c:v>13.740396271583499</c:v>
                </c:pt>
                <c:pt idx="99">
                  <c:v>13.9038761269291</c:v>
                </c:pt>
                <c:pt idx="100">
                  <c:v>14.1394794478683</c:v>
                </c:pt>
                <c:pt idx="101">
                  <c:v>14.290938725615</c:v>
                </c:pt>
                <c:pt idx="102">
                  <c:v>14.5265420465542</c:v>
                </c:pt>
                <c:pt idx="103">
                  <c:v>14.725682948776701</c:v>
                </c:pt>
                <c:pt idx="104">
                  <c:v>14.8986457042281</c:v>
                </c:pt>
              </c:numCache>
            </c:numRef>
          </c:xVal>
          <c:yVal>
            <c:numRef>
              <c:f>'PDF_CsF (2)'!$B$3:$B$107</c:f>
              <c:numCache>
                <c:formatCode>General</c:formatCode>
                <c:ptCount val="105"/>
                <c:pt idx="0">
                  <c:v>3.0273055600285401E-2</c:v>
                </c:pt>
                <c:pt idx="1">
                  <c:v>0.13857974281704999</c:v>
                </c:pt>
                <c:pt idx="2">
                  <c:v>0.27918842446688602</c:v>
                </c:pt>
                <c:pt idx="3">
                  <c:v>0.45997101515953098</c:v>
                </c:pt>
                <c:pt idx="4">
                  <c:v>0.64021071518943695</c:v>
                </c:pt>
                <c:pt idx="5">
                  <c:v>0.75801798900416295</c:v>
                </c:pt>
                <c:pt idx="6">
                  <c:v>0.95278001426238201</c:v>
                </c:pt>
                <c:pt idx="7">
                  <c:v>1.21024591106714</c:v>
                </c:pt>
                <c:pt idx="8">
                  <c:v>1.65335326999609</c:v>
                </c:pt>
                <c:pt idx="9">
                  <c:v>1.76127993374893</c:v>
                </c:pt>
                <c:pt idx="10">
                  <c:v>1.96649260426491</c:v>
                </c:pt>
                <c:pt idx="11">
                  <c:v>2.42927673365896</c:v>
                </c:pt>
                <c:pt idx="12">
                  <c:v>2.93175220261783</c:v>
                </c:pt>
                <c:pt idx="13">
                  <c:v>3.2664103655310401</c:v>
                </c:pt>
                <c:pt idx="14">
                  <c:v>3.5093878677739099</c:v>
                </c:pt>
                <c:pt idx="15">
                  <c:v>3.8248073428262499</c:v>
                </c:pt>
                <c:pt idx="16">
                  <c:v>4.0616134894527303</c:v>
                </c:pt>
                <c:pt idx="17">
                  <c:v>4.2152814520024799</c:v>
                </c:pt>
                <c:pt idx="18">
                  <c:v>4.30268684870373</c:v>
                </c:pt>
                <c:pt idx="19">
                  <c:v>4.1742541004347702</c:v>
                </c:pt>
                <c:pt idx="20">
                  <c:v>3.9971061167214899</c:v>
                </c:pt>
                <c:pt idx="21">
                  <c:v>3.7895488946653999</c:v>
                </c:pt>
                <c:pt idx="22">
                  <c:v>3.53740654689333</c:v>
                </c:pt>
                <c:pt idx="23">
                  <c:v>3.4257827057118502</c:v>
                </c:pt>
                <c:pt idx="24">
                  <c:v>3.2743363178687801</c:v>
                </c:pt>
                <c:pt idx="25">
                  <c:v>3.13696487313381</c:v>
                </c:pt>
                <c:pt idx="26">
                  <c:v>2.90705067746313</c:v>
                </c:pt>
                <c:pt idx="27">
                  <c:v>2.7284396494214498</c:v>
                </c:pt>
                <c:pt idx="28">
                  <c:v>2.5500397455263899</c:v>
                </c:pt>
                <c:pt idx="29">
                  <c:v>2.39021876653401</c:v>
                </c:pt>
                <c:pt idx="30">
                  <c:v>2.2299755392483802</c:v>
                </c:pt>
                <c:pt idx="31">
                  <c:v>2.0861999953992298</c:v>
                </c:pt>
                <c:pt idx="32">
                  <c:v>1.97409307354328</c:v>
                </c:pt>
                <c:pt idx="33">
                  <c:v>1.8296841572542599</c:v>
                </c:pt>
                <c:pt idx="34">
                  <c:v>1.73087805663545</c:v>
                </c:pt>
                <c:pt idx="35">
                  <c:v>1.6016700789031699</c:v>
                </c:pt>
                <c:pt idx="36">
                  <c:v>1.5218651514802899</c:v>
                </c:pt>
                <c:pt idx="37">
                  <c:v>1.4344597547790401</c:v>
                </c:pt>
                <c:pt idx="38">
                  <c:v>1.3508545927169799</c:v>
                </c:pt>
                <c:pt idx="39">
                  <c:v>1.22544684962388</c:v>
                </c:pt>
                <c:pt idx="40">
                  <c:v>1.1456419222009999</c:v>
                </c:pt>
                <c:pt idx="41">
                  <c:v>1.0430355869430199</c:v>
                </c:pt>
                <c:pt idx="42">
                  <c:v>0.936629017045847</c:v>
                </c:pt>
                <c:pt idx="43">
                  <c:v>0.87202502817970595</c:v>
                </c:pt>
                <c:pt idx="44">
                  <c:v>0.77036875158151397</c:v>
                </c:pt>
                <c:pt idx="45">
                  <c:v>0.63973568585953799</c:v>
                </c:pt>
                <c:pt idx="46">
                  <c:v>0.54647159408954504</c:v>
                </c:pt>
                <c:pt idx="47">
                  <c:v>0.48858135308596501</c:v>
                </c:pt>
                <c:pt idx="48">
                  <c:v>0.46056325951888499</c:v>
                </c:pt>
                <c:pt idx="49">
                  <c:v>0.46401801828178002</c:v>
                </c:pt>
                <c:pt idx="50">
                  <c:v>0.486819426116889</c:v>
                </c:pt>
                <c:pt idx="51">
                  <c:v>0.535704262611856</c:v>
                </c:pt>
                <c:pt idx="52">
                  <c:v>0.59668075477695603</c:v>
                </c:pt>
                <c:pt idx="53">
                  <c:v>0.66633732833383097</c:v>
                </c:pt>
                <c:pt idx="54">
                  <c:v>0.75379550607173595</c:v>
                </c:pt>
                <c:pt idx="55">
                  <c:v>0.83718954398717904</c:v>
                </c:pt>
                <c:pt idx="56">
                  <c:v>0.92142807848910802</c:v>
                </c:pt>
                <c:pt idx="57">
                  <c:v>1.00731338133468</c:v>
                </c:pt>
                <c:pt idx="58">
                  <c:v>1.0908099652641901</c:v>
                </c:pt>
                <c:pt idx="59">
                  <c:v>1.1768882959009701</c:v>
                </c:pt>
                <c:pt idx="60">
                  <c:v>1.2683895010466699</c:v>
                </c:pt>
                <c:pt idx="61">
                  <c:v>1.3342717506550801</c:v>
                </c:pt>
                <c:pt idx="62">
                  <c:v>1.36263532009845</c:v>
                </c:pt>
                <c:pt idx="63">
                  <c:v>1.33734264733321</c:v>
                </c:pt>
                <c:pt idx="64">
                  <c:v>1.2776137069436</c:v>
                </c:pt>
                <c:pt idx="65">
                  <c:v>1.19953615890217</c:v>
                </c:pt>
                <c:pt idx="66">
                  <c:v>1.1194625280199499</c:v>
                </c:pt>
                <c:pt idx="67">
                  <c:v>1.03474416591207</c:v>
                </c:pt>
                <c:pt idx="68">
                  <c:v>0.96280841122689698</c:v>
                </c:pt>
                <c:pt idx="69">
                  <c:v>0.90760904343752602</c:v>
                </c:pt>
                <c:pt idx="70">
                  <c:v>0.86594465275701005</c:v>
                </c:pt>
                <c:pt idx="71">
                  <c:v>0.83706286949920605</c:v>
                </c:pt>
                <c:pt idx="72">
                  <c:v>0.83402268178785899</c:v>
                </c:pt>
                <c:pt idx="73">
                  <c:v>0.83706286949920605</c:v>
                </c:pt>
                <c:pt idx="74">
                  <c:v>0.85893533108918096</c:v>
                </c:pt>
                <c:pt idx="75">
                  <c:v>0.88791691848902499</c:v>
                </c:pt>
                <c:pt idx="76">
                  <c:v>0.92750845391180203</c:v>
                </c:pt>
                <c:pt idx="77">
                  <c:v>0.96513077683973203</c:v>
                </c:pt>
                <c:pt idx="78">
                  <c:v>1.0285946953141101</c:v>
                </c:pt>
                <c:pt idx="79">
                  <c:v>1.0677371120977199</c:v>
                </c:pt>
                <c:pt idx="80">
                  <c:v>1.09433875457201</c:v>
                </c:pt>
                <c:pt idx="81">
                  <c:v>1.11219985737618</c:v>
                </c:pt>
                <c:pt idx="82">
                  <c:v>1.1152400450875299</c:v>
                </c:pt>
                <c:pt idx="83">
                  <c:v>1.10872535713464</c:v>
                </c:pt>
                <c:pt idx="84">
                  <c:v>1.09026707460145</c:v>
                </c:pt>
                <c:pt idx="85">
                  <c:v>1.06372575331191</c:v>
                </c:pt>
                <c:pt idx="86">
                  <c:v>1.0377152584481599</c:v>
                </c:pt>
                <c:pt idx="87">
                  <c:v>1.01136696494981</c:v>
                </c:pt>
                <c:pt idx="88">
                  <c:v>0.97420911514445097</c:v>
                </c:pt>
                <c:pt idx="89">
                  <c:v>0.95056321072285699</c:v>
                </c:pt>
                <c:pt idx="90">
                  <c:v>0.93282878240666101</c:v>
                </c:pt>
                <c:pt idx="91">
                  <c:v>0.93282878240666101</c:v>
                </c:pt>
                <c:pt idx="92">
                  <c:v>0.93282878240666101</c:v>
                </c:pt>
                <c:pt idx="93">
                  <c:v>0.94368659566147595</c:v>
                </c:pt>
                <c:pt idx="94">
                  <c:v>0.95225220389582799</c:v>
                </c:pt>
                <c:pt idx="95">
                  <c:v>0.97387131650985703</c:v>
                </c:pt>
                <c:pt idx="96">
                  <c:v>0.99363253663361795</c:v>
                </c:pt>
                <c:pt idx="97">
                  <c:v>1.01947413218007</c:v>
                </c:pt>
                <c:pt idx="98">
                  <c:v>1.0327206643509399</c:v>
                </c:pt>
                <c:pt idx="99">
                  <c:v>1.03923535230383</c:v>
                </c:pt>
                <c:pt idx="100">
                  <c:v>1.0468358215822</c:v>
                </c:pt>
                <c:pt idx="101">
                  <c:v>1.0468358215822</c:v>
                </c:pt>
                <c:pt idx="102">
                  <c:v>1.03888987642754</c:v>
                </c:pt>
                <c:pt idx="103">
                  <c:v>1.029101393266</c:v>
                </c:pt>
                <c:pt idx="104">
                  <c:v>1.01812293764169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DE-46C8-B271-60F1AA458FB0}"/>
            </c:ext>
          </c:extLst>
        </c:ser>
        <c:ser>
          <c:idx val="1"/>
          <c:order val="1"/>
          <c:tx>
            <c:strRef>
              <c:f>'PDF_CsF (2)'!$C$1</c:f>
              <c:strCache>
                <c:ptCount val="1"/>
                <c:pt idx="0">
                  <c:v>Cs-Cs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'PDF_CsF (2)'!$C$3:$C$82</c:f>
              <c:numCache>
                <c:formatCode>General</c:formatCode>
                <c:ptCount val="80"/>
                <c:pt idx="0">
                  <c:v>3.1839250241939498</c:v>
                </c:pt>
                <c:pt idx="1">
                  <c:v>3.3615069865362699</c:v>
                </c:pt>
                <c:pt idx="2">
                  <c:v>3.4447715580909701</c:v>
                </c:pt>
                <c:pt idx="3">
                  <c:v>3.5036723883257701</c:v>
                </c:pt>
                <c:pt idx="4">
                  <c:v>3.5541588142413199</c:v>
                </c:pt>
                <c:pt idx="5">
                  <c:v>3.60464524015687</c:v>
                </c:pt>
                <c:pt idx="6">
                  <c:v>3.62988845311465</c:v>
                </c:pt>
                <c:pt idx="7">
                  <c:v>3.6685947129832401</c:v>
                </c:pt>
                <c:pt idx="8">
                  <c:v>3.7056180919879802</c:v>
                </c:pt>
                <c:pt idx="9">
                  <c:v>3.73086130494575</c:v>
                </c:pt>
                <c:pt idx="10">
                  <c:v>3.7695675648143401</c:v>
                </c:pt>
                <c:pt idx="11">
                  <c:v>3.8065909438190801</c:v>
                </c:pt>
                <c:pt idx="12">
                  <c:v>3.8402485610961099</c:v>
                </c:pt>
                <c:pt idx="13">
                  <c:v>3.8823205826924001</c:v>
                </c:pt>
                <c:pt idx="14">
                  <c:v>3.91878300140919</c:v>
                </c:pt>
                <c:pt idx="15">
                  <c:v>3.9580502215657298</c:v>
                </c:pt>
                <c:pt idx="16">
                  <c:v>4.0085366474812796</c:v>
                </c:pt>
                <c:pt idx="17">
                  <c:v>4.0674374777160898</c:v>
                </c:pt>
                <c:pt idx="18">
                  <c:v>4.1684103295471902</c:v>
                </c:pt>
                <c:pt idx="19">
                  <c:v>4.3282840116130998</c:v>
                </c:pt>
                <c:pt idx="20">
                  <c:v>4.4629144807212304</c:v>
                </c:pt>
                <c:pt idx="21">
                  <c:v>4.5470585239138099</c:v>
                </c:pt>
                <c:pt idx="22">
                  <c:v>4.6312025671064001</c:v>
                </c:pt>
                <c:pt idx="23">
                  <c:v>4.7069322059797196</c:v>
                </c:pt>
                <c:pt idx="24">
                  <c:v>4.7910762491723098</c:v>
                </c:pt>
                <c:pt idx="25">
                  <c:v>4.8920491010034102</c:v>
                </c:pt>
                <c:pt idx="26">
                  <c:v>4.9930219528345097</c:v>
                </c:pt>
                <c:pt idx="27">
                  <c:v>5.10240920898487</c:v>
                </c:pt>
                <c:pt idx="28">
                  <c:v>5.2258204723339903</c:v>
                </c:pt>
                <c:pt idx="29">
                  <c:v>5.3464269342433601</c:v>
                </c:pt>
                <c:pt idx="30">
                  <c:v>5.4894718076707498</c:v>
                </c:pt>
                <c:pt idx="31">
                  <c:v>5.6409310854174102</c:v>
                </c:pt>
                <c:pt idx="32">
                  <c:v>5.8092191718025701</c:v>
                </c:pt>
                <c:pt idx="33">
                  <c:v>5.9943360668262597</c:v>
                </c:pt>
                <c:pt idx="34">
                  <c:v>6.1794529618499396</c:v>
                </c:pt>
                <c:pt idx="35">
                  <c:v>6.3645698568736302</c:v>
                </c:pt>
                <c:pt idx="36">
                  <c:v>6.5496867518973101</c:v>
                </c:pt>
                <c:pt idx="37">
                  <c:v>6.7348036469209998</c:v>
                </c:pt>
                <c:pt idx="38">
                  <c:v>6.9199205419446796</c:v>
                </c:pt>
                <c:pt idx="39">
                  <c:v>7.1050374369683702</c:v>
                </c:pt>
                <c:pt idx="40">
                  <c:v>7.2817399276727901</c:v>
                </c:pt>
                <c:pt idx="41">
                  <c:v>7.4295930321397599</c:v>
                </c:pt>
                <c:pt idx="42">
                  <c:v>7.6603881220394197</c:v>
                </c:pt>
                <c:pt idx="43">
                  <c:v>7.8455050170631004</c:v>
                </c:pt>
                <c:pt idx="44">
                  <c:v>8.0306219120867901</c:v>
                </c:pt>
                <c:pt idx="45">
                  <c:v>8.2157388071104709</c:v>
                </c:pt>
                <c:pt idx="46">
                  <c:v>8.4008557021341606</c:v>
                </c:pt>
                <c:pt idx="47">
                  <c:v>8.5859725971578396</c:v>
                </c:pt>
                <c:pt idx="48">
                  <c:v>8.7710894921815292</c:v>
                </c:pt>
                <c:pt idx="49">
                  <c:v>8.9393775785667007</c:v>
                </c:pt>
                <c:pt idx="50">
                  <c:v>9.2759537513370294</c:v>
                </c:pt>
                <c:pt idx="51">
                  <c:v>9.4610706463607208</c:v>
                </c:pt>
                <c:pt idx="52">
                  <c:v>9.6461875413843998</c:v>
                </c:pt>
                <c:pt idx="53">
                  <c:v>9.8313044364080895</c:v>
                </c:pt>
                <c:pt idx="54">
                  <c:v>10.016421331431699</c:v>
                </c:pt>
                <c:pt idx="55">
                  <c:v>10.2015382264554</c:v>
                </c:pt>
                <c:pt idx="56">
                  <c:v>10.3866551214791</c:v>
                </c:pt>
                <c:pt idx="57">
                  <c:v>10.5717720165028</c:v>
                </c:pt>
                <c:pt idx="58">
                  <c:v>10.756888911526501</c:v>
                </c:pt>
                <c:pt idx="59">
                  <c:v>10.9420058065501</c:v>
                </c:pt>
                <c:pt idx="60">
                  <c:v>11.107889777415499</c:v>
                </c:pt>
                <c:pt idx="61">
                  <c:v>11.389171293230699</c:v>
                </c:pt>
                <c:pt idx="62">
                  <c:v>11.5646717261753</c:v>
                </c:pt>
                <c:pt idx="63">
                  <c:v>11.749788621199</c:v>
                </c:pt>
                <c:pt idx="64">
                  <c:v>11.934905516222599</c:v>
                </c:pt>
                <c:pt idx="65">
                  <c:v>12.1200224112463</c:v>
                </c:pt>
                <c:pt idx="66">
                  <c:v>12.30513930627</c:v>
                </c:pt>
                <c:pt idx="67">
                  <c:v>12.4902562012937</c:v>
                </c:pt>
                <c:pt idx="68">
                  <c:v>12.675373096317401</c:v>
                </c:pt>
                <c:pt idx="69">
                  <c:v>12.826832374064001</c:v>
                </c:pt>
                <c:pt idx="70">
                  <c:v>13.225915550348899</c:v>
                </c:pt>
                <c:pt idx="71">
                  <c:v>13.415840676412101</c:v>
                </c:pt>
                <c:pt idx="72">
                  <c:v>13.595908928844199</c:v>
                </c:pt>
                <c:pt idx="73">
                  <c:v>13.7860744664595</c:v>
                </c:pt>
                <c:pt idx="74">
                  <c:v>13.9711913614832</c:v>
                </c:pt>
                <c:pt idx="75">
                  <c:v>14.1563082565069</c:v>
                </c:pt>
                <c:pt idx="76">
                  <c:v>14.341425151530499</c:v>
                </c:pt>
                <c:pt idx="77">
                  <c:v>14.5315906891458</c:v>
                </c:pt>
                <c:pt idx="78">
                  <c:v>14.6611725156624</c:v>
                </c:pt>
                <c:pt idx="79">
                  <c:v>14.941142695739501</c:v>
                </c:pt>
              </c:numCache>
            </c:numRef>
          </c:xVal>
          <c:yVal>
            <c:numRef>
              <c:f>'PDF_CsF (2)'!$D$3:$D$82</c:f>
              <c:numCache>
                <c:formatCode>General</c:formatCode>
                <c:ptCount val="80"/>
                <c:pt idx="0">
                  <c:v>1.77129580639956E-3</c:v>
                </c:pt>
                <c:pt idx="1">
                  <c:v>3.9012163920266199E-2</c:v>
                </c:pt>
                <c:pt idx="2">
                  <c:v>0.122428745600515</c:v>
                </c:pt>
                <c:pt idx="3">
                  <c:v>0.22218490487911499</c:v>
                </c:pt>
                <c:pt idx="4">
                  <c:v>0.33872543381411402</c:v>
                </c:pt>
                <c:pt idx="5">
                  <c:v>0.45304915920958799</c:v>
                </c:pt>
                <c:pt idx="6">
                  <c:v>0.55660555312737203</c:v>
                </c:pt>
                <c:pt idx="7">
                  <c:v>0.66301212302454504</c:v>
                </c:pt>
                <c:pt idx="8">
                  <c:v>0.79982057003519602</c:v>
                </c:pt>
                <c:pt idx="9">
                  <c:v>0.91002737457155303</c:v>
                </c:pt>
                <c:pt idx="10">
                  <c:v>1.01643394446872</c:v>
                </c:pt>
                <c:pt idx="11">
                  <c:v>1.16179291941754</c:v>
                </c:pt>
                <c:pt idx="12">
                  <c:v>1.29309102620137</c:v>
                </c:pt>
                <c:pt idx="13">
                  <c:v>1.4221089922016901</c:v>
                </c:pt>
                <c:pt idx="14">
                  <c:v>1.51553142708165</c:v>
                </c:pt>
                <c:pt idx="15">
                  <c:v>1.63333870089638</c:v>
                </c:pt>
                <c:pt idx="16">
                  <c:v>1.7473457400719199</c:v>
                </c:pt>
                <c:pt idx="17">
                  <c:v>1.8572358583883499</c:v>
                </c:pt>
                <c:pt idx="18">
                  <c:v>1.9536668123576599</c:v>
                </c:pt>
                <c:pt idx="19">
                  <c:v>1.96407427313088</c:v>
                </c:pt>
                <c:pt idx="20">
                  <c:v>1.8752869729244701</c:v>
                </c:pt>
                <c:pt idx="21">
                  <c:v>1.79396195164592</c:v>
                </c:pt>
                <c:pt idx="22">
                  <c:v>1.7027563203054901</c:v>
                </c:pt>
                <c:pt idx="23">
                  <c:v>1.6168710174599099</c:v>
                </c:pt>
                <c:pt idx="24">
                  <c:v>1.5224985239201601</c:v>
                </c:pt>
                <c:pt idx="25">
                  <c:v>1.4287594028202699</c:v>
                </c:pt>
                <c:pt idx="26">
                  <c:v>1.3394538887994201</c:v>
                </c:pt>
                <c:pt idx="27">
                  <c:v>1.2498769294472101</c:v>
                </c:pt>
                <c:pt idx="28">
                  <c:v>1.1659098402766599</c:v>
                </c:pt>
                <c:pt idx="29">
                  <c:v>1.0905385199328199</c:v>
                </c:pt>
                <c:pt idx="30">
                  <c:v>1.0143227030025099</c:v>
                </c:pt>
                <c:pt idx="31">
                  <c:v>0.92987304435396201</c:v>
                </c:pt>
                <c:pt idx="32">
                  <c:v>0.84680528921056997</c:v>
                </c:pt>
                <c:pt idx="33">
                  <c:v>0.76941869292171805</c:v>
                </c:pt>
                <c:pt idx="34">
                  <c:v>0.71586993209684202</c:v>
                </c:pt>
                <c:pt idx="35">
                  <c:v>0.68132234446788897</c:v>
                </c:pt>
                <c:pt idx="36">
                  <c:v>0.67614020632354699</c:v>
                </c:pt>
                <c:pt idx="37">
                  <c:v>0.69583233127205002</c:v>
                </c:pt>
                <c:pt idx="38">
                  <c:v>0.73314372591131804</c:v>
                </c:pt>
                <c:pt idx="39">
                  <c:v>0.79360200426198402</c:v>
                </c:pt>
                <c:pt idx="40">
                  <c:v>0.86746474661268402</c:v>
                </c:pt>
                <c:pt idx="41">
                  <c:v>0.93554323572036502</c:v>
                </c:pt>
                <c:pt idx="42">
                  <c:v>1.05754557374717</c:v>
                </c:pt>
                <c:pt idx="43">
                  <c:v>1.1314774112731301</c:v>
                </c:pt>
                <c:pt idx="44">
                  <c:v>1.1905537861186399</c:v>
                </c:pt>
                <c:pt idx="45">
                  <c:v>1.22026471147954</c:v>
                </c:pt>
                <c:pt idx="46">
                  <c:v>1.22233756673728</c:v>
                </c:pt>
                <c:pt idx="47">
                  <c:v>1.2029909176650599</c:v>
                </c:pt>
                <c:pt idx="48">
                  <c:v>1.1663704747783701</c:v>
                </c:pt>
                <c:pt idx="49">
                  <c:v>1.1236850109523799</c:v>
                </c:pt>
                <c:pt idx="50">
                  <c:v>1.0281801242625599</c:v>
                </c:pt>
                <c:pt idx="51">
                  <c:v>0.98361373622122095</c:v>
                </c:pt>
                <c:pt idx="52">
                  <c:v>0.94630234158195303</c:v>
                </c:pt>
                <c:pt idx="53">
                  <c:v>0.91140927807671102</c:v>
                </c:pt>
                <c:pt idx="54">
                  <c:v>0.88929882199418198</c:v>
                </c:pt>
                <c:pt idx="55">
                  <c:v>0.87893454570549601</c:v>
                </c:pt>
                <c:pt idx="56">
                  <c:v>0.87582526281889095</c:v>
                </c:pt>
                <c:pt idx="57">
                  <c:v>0.886535014983866</c:v>
                </c:pt>
                <c:pt idx="58">
                  <c:v>0.90208142941689395</c:v>
                </c:pt>
                <c:pt idx="59">
                  <c:v>0.92557378900458098</c:v>
                </c:pt>
                <c:pt idx="60">
                  <c:v>0.94911550228888197</c:v>
                </c:pt>
                <c:pt idx="61">
                  <c:v>1.00557613121391</c:v>
                </c:pt>
                <c:pt idx="62">
                  <c:v>1.0302529795202999</c:v>
                </c:pt>
                <c:pt idx="63">
                  <c:v>1.0537453391079901</c:v>
                </c:pt>
                <c:pt idx="64">
                  <c:v>1.07171008467504</c:v>
                </c:pt>
                <c:pt idx="65">
                  <c:v>1.0806924574585699</c:v>
                </c:pt>
                <c:pt idx="66">
                  <c:v>1.0810379333348601</c:v>
                </c:pt>
                <c:pt idx="67">
                  <c:v>1.0730919881801999</c:v>
                </c:pt>
                <c:pt idx="68">
                  <c:v>1.06169128426265</c:v>
                </c:pt>
                <c:pt idx="69">
                  <c:v>1.0487359389017901</c:v>
                </c:pt>
                <c:pt idx="70">
                  <c:v>0.99797566193554299</c:v>
                </c:pt>
                <c:pt idx="71">
                  <c:v>0.982774723378804</c:v>
                </c:pt>
                <c:pt idx="72">
                  <c:v>0.96969105840675396</c:v>
                </c:pt>
                <c:pt idx="73">
                  <c:v>0.95701209374692797</c:v>
                </c:pt>
                <c:pt idx="74">
                  <c:v>0.94872067271598004</c:v>
                </c:pt>
                <c:pt idx="75">
                  <c:v>0.94561138982937398</c:v>
                </c:pt>
                <c:pt idx="76">
                  <c:v>0.94802972096340099</c:v>
                </c:pt>
                <c:pt idx="77">
                  <c:v>0.95335004945825996</c:v>
                </c:pt>
                <c:pt idx="78">
                  <c:v>0.95563019024177098</c:v>
                </c:pt>
                <c:pt idx="79">
                  <c:v>0.98499563972637905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DE-46C8-B271-60F1AA458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1263"/>
        <c:axId val="56017039"/>
      </c:scatterChart>
      <c:scatterChart>
        <c:scatterStyle val="lineMarker"/>
        <c:varyColors val="0"/>
        <c:ser>
          <c:idx val="2"/>
          <c:order val="2"/>
          <c:tx>
            <c:v>+- Peaks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'PDF_CsF (2)'!$J$8:$J$13</c:f>
              <c:numCache>
                <c:formatCode>General</c:formatCode>
                <c:ptCount val="6"/>
                <c:pt idx="0">
                  <c:v>2.7884480211888101</c:v>
                </c:pt>
                <c:pt idx="1">
                  <c:v>6.4705913512962798</c:v>
                </c:pt>
                <c:pt idx="2">
                  <c:v>10.352997504202101</c:v>
                </c:pt>
                <c:pt idx="3">
                  <c:v>14.1394794478683</c:v>
                </c:pt>
                <c:pt idx="4">
                  <c:v>0</c:v>
                </c:pt>
                <c:pt idx="5">
                  <c:v>0</c:v>
                </c:pt>
              </c:numCache>
            </c:numRef>
          </c:xVal>
          <c:yVal>
            <c:numRef>
              <c:f>'PDF_CsF (2)'!$K$8:$K$13</c:f>
              <c:numCache>
                <c:formatCode>General</c:formatCode>
                <c:ptCount val="6"/>
                <c:pt idx="0">
                  <c:v>4.30268684870373</c:v>
                </c:pt>
                <c:pt idx="1">
                  <c:v>1.36263532009845</c:v>
                </c:pt>
                <c:pt idx="2">
                  <c:v>1.1152400450875299</c:v>
                </c:pt>
                <c:pt idx="3">
                  <c:v>1.0468358215822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DE-46C8-B271-60F1AA458FB0}"/>
            </c:ext>
          </c:extLst>
        </c:ser>
        <c:ser>
          <c:idx val="3"/>
          <c:order val="3"/>
          <c:tx>
            <c:v>++ Peaks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'PDF_CsF (2)'!$N$8:$N$11</c:f>
              <c:numCache>
                <c:formatCode>General</c:formatCode>
                <c:ptCount val="4"/>
                <c:pt idx="0">
                  <c:v>4.3282840116130998</c:v>
                </c:pt>
                <c:pt idx="1">
                  <c:v>8.4008557021341606</c:v>
                </c:pt>
                <c:pt idx="2">
                  <c:v>12.30513930627</c:v>
                </c:pt>
              </c:numCache>
            </c:numRef>
          </c:xVal>
          <c:yVal>
            <c:numRef>
              <c:f>'PDF_CsF (2)'!$O$8:$O$11</c:f>
              <c:numCache>
                <c:formatCode>General</c:formatCode>
                <c:ptCount val="4"/>
                <c:pt idx="0">
                  <c:v>1.96407427313088</c:v>
                </c:pt>
                <c:pt idx="1">
                  <c:v>1.22233756673728</c:v>
                </c:pt>
                <c:pt idx="2">
                  <c:v>1.0810379333348601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DE-46C8-B271-60F1AA458FB0}"/>
            </c:ext>
          </c:extLst>
        </c:ser>
        <c:ser>
          <c:idx val="4"/>
          <c:order val="4"/>
          <c:tx>
            <c:v>P(r)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'PDF_CsF (2)'!$J$19:$J$25</c:f>
              <c:numCache>
                <c:formatCode>0.00E+00</c:formatCode>
                <c:ptCount val="7"/>
                <c:pt idx="0">
                  <c:v>2.7884480211888101</c:v>
                </c:pt>
                <c:pt idx="1">
                  <c:v>4.3282840116130998</c:v>
                </c:pt>
                <c:pt idx="2">
                  <c:v>6.4705913512962798</c:v>
                </c:pt>
                <c:pt idx="3">
                  <c:v>8.4008557021341606</c:v>
                </c:pt>
                <c:pt idx="4">
                  <c:v>10.352997504202101</c:v>
                </c:pt>
                <c:pt idx="5">
                  <c:v>12.30513930627</c:v>
                </c:pt>
                <c:pt idx="6">
                  <c:v>14.1394794478683</c:v>
                </c:pt>
              </c:numCache>
            </c:numRef>
          </c:xVal>
          <c:yVal>
            <c:numRef>
              <c:f>'PDF_CsF (2)'!$T$19:$T$25</c:f>
              <c:numCache>
                <c:formatCode>General</c:formatCode>
                <c:ptCount val="7"/>
                <c:pt idx="0">
                  <c:v>1</c:v>
                </c:pt>
                <c:pt idx="1">
                  <c:v>0.11127089946061003</c:v>
                </c:pt>
                <c:pt idx="2">
                  <c:v>1.487828666696542E-2</c:v>
                </c:pt>
                <c:pt idx="3">
                  <c:v>3.1873833962275883E-3</c:v>
                </c:pt>
                <c:pt idx="4">
                  <c:v>5.6988547652388742E-4</c:v>
                </c:pt>
                <c:pt idx="5">
                  <c:v>9.9401569260494326E-5</c:v>
                </c:pt>
                <c:pt idx="6">
                  <c:v>1.7845898967482041E-5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DE-46C8-B271-60F1AA458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1263"/>
        <c:axId val="56017039"/>
      </c:scatterChart>
      <c:valAx>
        <c:axId val="5602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7039"/>
        <c:crosses val="autoZero"/>
        <c:crossBetween val="midCat"/>
      </c:valAx>
      <c:valAx>
        <c:axId val="5601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1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79155730533681"/>
          <c:y val="0.18576334208223974"/>
          <c:w val="0.18507096008972032"/>
          <c:h val="0.3554525479456416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6</xdr:row>
      <xdr:rowOff>90487</xdr:rowOff>
    </xdr:from>
    <xdr:to>
      <xdr:col>16</xdr:col>
      <xdr:colOff>457200</xdr:colOff>
      <xdr:row>20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B3EF8-3AF0-4ED4-BA69-272F21A83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285750</xdr:colOff>
      <xdr:row>7</xdr:row>
      <xdr:rowOff>0</xdr:rowOff>
    </xdr:from>
    <xdr:to>
      <xdr:col>25</xdr:col>
      <xdr:colOff>405603</xdr:colOff>
      <xdr:row>23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AB214F-CA37-47F6-9F10-AD35AA18D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9350" y="1333500"/>
          <a:ext cx="4510878" cy="3133725"/>
        </a:xfrm>
        <a:prstGeom prst="rect">
          <a:avLst/>
        </a:prstGeom>
      </xdr:spPr>
    </xdr:pic>
    <xdr:clientData/>
  </xdr:twoCellAnchor>
  <xdr:twoCellAnchor editAs="oneCell">
    <xdr:from>
      <xdr:col>18</xdr:col>
      <xdr:colOff>387650</xdr:colOff>
      <xdr:row>23</xdr:row>
      <xdr:rowOff>152400</xdr:rowOff>
    </xdr:from>
    <xdr:to>
      <xdr:col>24</xdr:col>
      <xdr:colOff>448304</xdr:colOff>
      <xdr:row>36</xdr:row>
      <xdr:rowOff>67067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0D6548-EF1C-44A5-8004-1420815D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1750" y="4533900"/>
          <a:ext cx="3842079" cy="2391167"/>
        </a:xfrm>
        <a:prstGeom prst="rect">
          <a:avLst/>
        </a:prstGeom>
      </xdr:spPr>
    </xdr:pic>
    <xdr:clientData/>
  </xdr:twoCellAnchor>
  <xdr:twoCellAnchor editAs="oneCell">
    <xdr:from>
      <xdr:col>12</xdr:col>
      <xdr:colOff>485776</xdr:colOff>
      <xdr:row>26</xdr:row>
      <xdr:rowOff>122376</xdr:rowOff>
    </xdr:from>
    <xdr:to>
      <xdr:col>18</xdr:col>
      <xdr:colOff>314326</xdr:colOff>
      <xdr:row>36</xdr:row>
      <xdr:rowOff>47932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385D65-20A0-41F4-A1B8-11F28A67D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81776" y="5075376"/>
          <a:ext cx="3867150" cy="18305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504825</xdr:colOff>
      <xdr:row>0</xdr:row>
      <xdr:rowOff>0</xdr:rowOff>
    </xdr:from>
    <xdr:to>
      <xdr:col>22</xdr:col>
      <xdr:colOff>533400</xdr:colOff>
      <xdr:row>15</xdr:row>
      <xdr:rowOff>157164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764B74-B29E-46EE-993D-8A3EC41AA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604155</xdr:colOff>
      <xdr:row>25</xdr:row>
      <xdr:rowOff>152401</xdr:rowOff>
    </xdr:from>
    <xdr:to>
      <xdr:col>13</xdr:col>
      <xdr:colOff>457934</xdr:colOff>
      <xdr:row>36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398B57-043E-47A0-90C3-3379E0C26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1755" y="4914901"/>
          <a:ext cx="4311479" cy="201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7"/>
  <sheetViews>
    <sheetView workbookViewId="0">
      <selection activeCell="K6" sqref="K6"/>
    </sheetView>
  </sheetViews>
  <sheetFormatPr defaultRowHeight="15" x14ac:dyDescent="0.25"/>
  <cols>
    <col min="11" max="11" width="12" bestFit="1" customWidth="1"/>
    <col min="12" max="12" width="12.7109375" bestFit="1" customWidth="1"/>
    <col min="15" max="16" width="12" bestFit="1" customWidth="1"/>
    <col min="22" max="22" width="11" bestFit="1" customWidth="1"/>
  </cols>
  <sheetData>
    <row r="1" spans="1:24" x14ac:dyDescent="0.25">
      <c r="A1" t="s">
        <v>0</v>
      </c>
      <c r="C1" t="s">
        <v>1</v>
      </c>
      <c r="E1" t="s">
        <v>2</v>
      </c>
      <c r="G1" t="s">
        <v>0</v>
      </c>
      <c r="J1" t="s">
        <v>29</v>
      </c>
      <c r="O1" t="s">
        <v>27</v>
      </c>
      <c r="P1" t="s">
        <v>27</v>
      </c>
      <c r="Q1" t="s">
        <v>12</v>
      </c>
      <c r="R1" t="s">
        <v>15</v>
      </c>
      <c r="S1" t="s">
        <v>17</v>
      </c>
      <c r="T1" t="s">
        <v>19</v>
      </c>
      <c r="U1" t="s">
        <v>21</v>
      </c>
      <c r="V1" t="s">
        <v>22</v>
      </c>
    </row>
    <row r="2" spans="1:24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G2" t="s">
        <v>33</v>
      </c>
      <c r="H2" s="1" t="s">
        <v>34</v>
      </c>
      <c r="I2" s="1" t="s">
        <v>5</v>
      </c>
      <c r="J2" t="s">
        <v>28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26</v>
      </c>
      <c r="Q2" t="s">
        <v>11</v>
      </c>
      <c r="R2" t="s">
        <v>14</v>
      </c>
      <c r="S2" t="s">
        <v>16</v>
      </c>
      <c r="T2" t="s">
        <v>18</v>
      </c>
      <c r="U2" t="s">
        <v>20</v>
      </c>
      <c r="V2" t="s">
        <v>23</v>
      </c>
      <c r="W2" t="s">
        <v>24</v>
      </c>
      <c r="X2" t="s">
        <v>25</v>
      </c>
    </row>
    <row r="3" spans="1:24" x14ac:dyDescent="0.25">
      <c r="A3">
        <v>2.3172413793103401</v>
      </c>
      <c r="B3">
        <v>3.0273055600285401E-2</v>
      </c>
      <c r="C3">
        <v>3.1839250241939498</v>
      </c>
      <c r="D3">
        <v>1.77129580639956E-3</v>
      </c>
      <c r="E3">
        <v>2.7632048082310399</v>
      </c>
      <c r="F3">
        <v>1.7663186115718099E-2</v>
      </c>
      <c r="G3">
        <f>4*$L$4*(($K$3/(A3*0.0000000001))^12-($K$3/(A3*0.0000000001))^6)</f>
        <v>11.982700476565862</v>
      </c>
      <c r="H3" s="2"/>
      <c r="I3" s="2">
        <f t="shared" ref="I3:I34" si="0">4*$L$3*(($K$3/(A3*0.0000000001))^12-($K$3/(A3*0.0000000001))^6)+($M$3*$N$3*$Q$3^2)/(4*PI()*$R$3*(A3*0.0000000001))*EXP(-(A3*0.0000000001)/$O$3)</f>
        <v>-12.382123825784724</v>
      </c>
      <c r="J3">
        <v>7.7499999999999999E-3</v>
      </c>
      <c r="K3">
        <f>P3/(2^(1/6))</f>
        <v>3.8332581980694494E-10</v>
      </c>
      <c r="L3">
        <f>(J3-L6)/(4*((K3/P3)^12-(K3/P3)^6))</f>
        <v>-7.7499999999999999E-3</v>
      </c>
      <c r="M3">
        <v>1</v>
      </c>
      <c r="N3">
        <v>-1</v>
      </c>
      <c r="O3">
        <f>SQRT((R3*S3*T3)/(2*U3*Q3^2*V3))</f>
        <v>2.145388817672526E-11</v>
      </c>
      <c r="P3">
        <f>MAX(B3:B107)*0.0000000001</f>
        <v>4.3026868487037303E-10</v>
      </c>
      <c r="Q3" s="2">
        <v>1.602E-19</v>
      </c>
      <c r="R3" s="2">
        <v>8.8539999999999992E-12</v>
      </c>
      <c r="S3" s="2">
        <v>1.3809999999999999E-23</v>
      </c>
      <c r="T3" s="2">
        <v>1273</v>
      </c>
      <c r="U3" s="2">
        <v>6.0220000000000003E+23</v>
      </c>
      <c r="V3" s="2">
        <f>1/2*(W3*M3^2+X3*N3^2)</f>
        <v>10940.919037199124</v>
      </c>
      <c r="W3" s="2">
        <f>(1/0.0000457)/2</f>
        <v>10940.919037199124</v>
      </c>
      <c r="X3" s="2">
        <f>(1/0.0000457)/2</f>
        <v>10940.919037199124</v>
      </c>
    </row>
    <row r="4" spans="1:24" x14ac:dyDescent="0.25">
      <c r="A4">
        <v>2.3761422095451499</v>
      </c>
      <c r="B4">
        <v>0.13857974281704999</v>
      </c>
      <c r="C4">
        <v>3.3615069865362699</v>
      </c>
      <c r="D4">
        <v>3.9012163920266199E-2</v>
      </c>
      <c r="E4">
        <v>2.9483217032547202</v>
      </c>
      <c r="F4">
        <v>5.6011008383855199E-2</v>
      </c>
      <c r="G4">
        <f t="shared" ref="G4:G67" si="1">4*$L$4*(($K$3/(A4*0.0000000001))^12-($K$3/(A4*0.0000000001))^6)</f>
        <v>8.7923344975240738</v>
      </c>
      <c r="H4" s="2"/>
      <c r="I4" s="2">
        <f t="shared" si="0"/>
        <v>-9.0854123141082095</v>
      </c>
      <c r="L4">
        <v>7.4999999999999997E-3</v>
      </c>
    </row>
    <row r="5" spans="1:24" x14ac:dyDescent="0.25">
      <c r="A5">
        <v>2.4097998268221801</v>
      </c>
      <c r="B5">
        <v>0.27918842446688602</v>
      </c>
      <c r="C5">
        <v>3.4447715580909701</v>
      </c>
      <c r="D5">
        <v>0.122428745600515</v>
      </c>
      <c r="E5">
        <v>3.0997809810013699</v>
      </c>
      <c r="F5">
        <v>0.134236617515125</v>
      </c>
      <c r="G5">
        <f t="shared" si="1"/>
        <v>7.3874674575497981</v>
      </c>
      <c r="H5" s="2"/>
      <c r="I5" s="2">
        <f t="shared" si="0"/>
        <v>-7.6337163728014588</v>
      </c>
      <c r="K5" t="s">
        <v>30</v>
      </c>
      <c r="L5" t="s">
        <v>31</v>
      </c>
      <c r="Q5" t="s">
        <v>13</v>
      </c>
    </row>
    <row r="6" spans="1:24" x14ac:dyDescent="0.25">
      <c r="A6">
        <v>2.4350430397799601</v>
      </c>
      <c r="B6">
        <v>0.45997101515953098</v>
      </c>
      <c r="C6">
        <v>3.5036723883257701</v>
      </c>
      <c r="D6">
        <v>0.22218490487911499</v>
      </c>
      <c r="E6">
        <v>3.2007538328324698</v>
      </c>
      <c r="F6">
        <v>0.22294495180695201</v>
      </c>
      <c r="G6">
        <f t="shared" si="1"/>
        <v>6.4914263619767167</v>
      </c>
      <c r="H6" s="2"/>
      <c r="I6" s="2">
        <f t="shared" si="0"/>
        <v>-6.7078072407092737</v>
      </c>
      <c r="J6" t="s">
        <v>32</v>
      </c>
      <c r="K6">
        <f>4*L3*((K3/P3)^12-(K3/P3)^6)</f>
        <v>7.7499999999999999E-3</v>
      </c>
      <c r="L6">
        <f>(M3*N3*Q3^2)/(4*PI()*R3*P3)*EXP(-P3/O3)</f>
        <v>-1.0452935101273829E-27</v>
      </c>
    </row>
    <row r="7" spans="1:24" x14ac:dyDescent="0.25">
      <c r="A7">
        <v>2.4602862527377298</v>
      </c>
      <c r="B7">
        <v>0.75801798900416295</v>
      </c>
      <c r="C7">
        <v>3.5541588142413199</v>
      </c>
      <c r="D7">
        <v>0.33872543381411402</v>
      </c>
      <c r="E7">
        <v>3.2764834717058</v>
      </c>
      <c r="F7">
        <v>0.30864024292056702</v>
      </c>
      <c r="G7">
        <f t="shared" si="1"/>
        <v>5.7100245646948089</v>
      </c>
      <c r="H7" s="2"/>
      <c r="I7" s="2">
        <f t="shared" si="0"/>
        <v>-5.9003587168513025</v>
      </c>
    </row>
    <row r="8" spans="1:24" x14ac:dyDescent="0.25">
      <c r="A8">
        <v>2.4602862527377298</v>
      </c>
      <c r="B8">
        <v>0.64021071518943695</v>
      </c>
      <c r="C8">
        <v>3.60464524015687</v>
      </c>
      <c r="D8">
        <v>0.45304915920958799</v>
      </c>
      <c r="E8">
        <v>3.34379870625986</v>
      </c>
      <c r="F8">
        <v>0.40364610890018598</v>
      </c>
      <c r="G8">
        <f t="shared" si="1"/>
        <v>5.7100245646948089</v>
      </c>
      <c r="H8" s="2"/>
      <c r="I8" s="2">
        <f t="shared" si="0"/>
        <v>-5.9003587168513025</v>
      </c>
    </row>
    <row r="9" spans="1:24" x14ac:dyDescent="0.25">
      <c r="A9">
        <v>2.4855294656955098</v>
      </c>
      <c r="B9">
        <v>0.95278001426238201</v>
      </c>
      <c r="C9">
        <v>3.62988845311465</v>
      </c>
      <c r="D9">
        <v>0.55660555312737203</v>
      </c>
      <c r="E9">
        <v>3.4153211429735602</v>
      </c>
      <c r="F9">
        <v>0.50625244415817505</v>
      </c>
      <c r="G9">
        <f t="shared" si="1"/>
        <v>5.0277314535759734</v>
      </c>
      <c r="H9" s="2"/>
      <c r="I9" s="2">
        <f t="shared" si="0"/>
        <v>-5.1953225020285059</v>
      </c>
    </row>
    <row r="10" spans="1:24" x14ac:dyDescent="0.25">
      <c r="A10">
        <v>2.51077267865328</v>
      </c>
      <c r="B10">
        <v>1.21024591106714</v>
      </c>
      <c r="C10">
        <v>3.6685947129832401</v>
      </c>
      <c r="D10">
        <v>0.66301212302454504</v>
      </c>
      <c r="E10">
        <v>3.4531859624102199</v>
      </c>
      <c r="F10">
        <v>0.58447394048139401</v>
      </c>
      <c r="G10">
        <f t="shared" si="1"/>
        <v>4.4312415707725634</v>
      </c>
      <c r="H10" s="2"/>
      <c r="I10" s="2">
        <f t="shared" si="0"/>
        <v>-4.5789496231316491</v>
      </c>
    </row>
    <row r="11" spans="1:24" x14ac:dyDescent="0.25">
      <c r="A11">
        <v>2.5332110901713101</v>
      </c>
      <c r="B11">
        <v>1.65335326999609</v>
      </c>
      <c r="C11">
        <v>3.7056180919879802</v>
      </c>
      <c r="D11">
        <v>0.79982057003519602</v>
      </c>
      <c r="E11">
        <v>3.5036723883257701</v>
      </c>
      <c r="F11">
        <v>0.66586229900393401</v>
      </c>
      <c r="G11">
        <f t="shared" si="1"/>
        <v>3.9637940546277268</v>
      </c>
      <c r="H11" s="2"/>
      <c r="I11" s="2">
        <f t="shared" si="0"/>
        <v>-4.0959205231153177</v>
      </c>
    </row>
    <row r="12" spans="1:24" x14ac:dyDescent="0.25">
      <c r="A12">
        <v>2.54443029593032</v>
      </c>
      <c r="B12">
        <v>1.76127993374893</v>
      </c>
      <c r="C12">
        <v>3.73086130494575</v>
      </c>
      <c r="D12">
        <v>0.91002737457155303</v>
      </c>
      <c r="E12">
        <v>3.5541588142413199</v>
      </c>
      <c r="F12">
        <v>0.76181822364334895</v>
      </c>
      <c r="G12">
        <f t="shared" si="1"/>
        <v>3.7498972006367688</v>
      </c>
      <c r="H12" s="2"/>
      <c r="I12" s="2">
        <f t="shared" si="0"/>
        <v>-3.8748937739913276</v>
      </c>
    </row>
    <row r="13" spans="1:24" x14ac:dyDescent="0.25">
      <c r="A13">
        <v>2.5612591045688302</v>
      </c>
      <c r="B13">
        <v>1.96649260426491</v>
      </c>
      <c r="C13">
        <v>3.7695675648143401</v>
      </c>
      <c r="D13">
        <v>1.01643394446872</v>
      </c>
      <c r="E13">
        <v>3.6186692473556401</v>
      </c>
      <c r="F13">
        <v>0.87392514549929801</v>
      </c>
      <c r="G13">
        <f t="shared" si="1"/>
        <v>3.4516113108078272</v>
      </c>
      <c r="H13" s="2"/>
      <c r="I13" s="2">
        <f t="shared" si="0"/>
        <v>-3.5666650211680881</v>
      </c>
    </row>
    <row r="14" spans="1:24" x14ac:dyDescent="0.25">
      <c r="A14">
        <v>2.5780879132073502</v>
      </c>
      <c r="B14">
        <v>2.42927673365896</v>
      </c>
      <c r="C14">
        <v>3.8065909438190801</v>
      </c>
      <c r="D14">
        <v>1.16179291941754</v>
      </c>
      <c r="E14">
        <v>3.6677532725513098</v>
      </c>
      <c r="F14">
        <v>0.97748153941708205</v>
      </c>
      <c r="G14">
        <f t="shared" si="1"/>
        <v>3.1782496940224996</v>
      </c>
      <c r="H14" s="2"/>
      <c r="I14" s="2">
        <f t="shared" si="0"/>
        <v>-3.2841913504899161</v>
      </c>
    </row>
    <row r="15" spans="1:24" x14ac:dyDescent="0.25">
      <c r="A15">
        <v>2.61174553048438</v>
      </c>
      <c r="B15">
        <v>2.93175220261783</v>
      </c>
      <c r="C15">
        <v>3.8402485610961099</v>
      </c>
      <c r="D15">
        <v>1.29309102620137</v>
      </c>
      <c r="E15">
        <v>3.7056180919879802</v>
      </c>
      <c r="F15">
        <v>1.05950327037948</v>
      </c>
      <c r="G15">
        <f t="shared" si="1"/>
        <v>2.697681538626973</v>
      </c>
      <c r="H15" s="2"/>
      <c r="I15" s="2">
        <f t="shared" si="0"/>
        <v>-2.7876042565812056</v>
      </c>
    </row>
    <row r="16" spans="1:24" x14ac:dyDescent="0.25">
      <c r="A16">
        <v>2.6369887434421599</v>
      </c>
      <c r="B16">
        <v>3.2664103655310401</v>
      </c>
      <c r="C16">
        <v>3.8823205826924001</v>
      </c>
      <c r="D16">
        <v>1.4221089922016901</v>
      </c>
      <c r="E16">
        <v>3.7561045179035299</v>
      </c>
      <c r="F16">
        <v>1.14184168756182</v>
      </c>
      <c r="G16">
        <f t="shared" si="1"/>
        <v>2.3877233422116775</v>
      </c>
      <c r="H16" s="2"/>
      <c r="I16" s="2">
        <f t="shared" si="0"/>
        <v>-2.4673141202854003</v>
      </c>
    </row>
    <row r="17" spans="1:9" x14ac:dyDescent="0.25">
      <c r="A17">
        <v>2.6622319563999302</v>
      </c>
      <c r="B17">
        <v>3.5093878677739099</v>
      </c>
      <c r="C17">
        <v>3.91878300140919</v>
      </c>
      <c r="D17">
        <v>1.51553142708165</v>
      </c>
      <c r="E17">
        <v>3.8192125502979599</v>
      </c>
      <c r="F17">
        <v>1.25964896137655</v>
      </c>
      <c r="G17">
        <f t="shared" si="1"/>
        <v>2.1149164063914454</v>
      </c>
      <c r="H17" s="2"/>
      <c r="I17" s="2">
        <f t="shared" si="0"/>
        <v>-2.1854136199378269</v>
      </c>
    </row>
    <row r="18" spans="1:9" x14ac:dyDescent="0.25">
      <c r="A18">
        <v>2.6846703679179602</v>
      </c>
      <c r="B18">
        <v>3.8248073428262499</v>
      </c>
      <c r="C18">
        <v>3.9580502215657298</v>
      </c>
      <c r="D18">
        <v>1.63333870089638</v>
      </c>
      <c r="E18">
        <v>3.8654917740538801</v>
      </c>
      <c r="F18">
        <v>1.33755377147983</v>
      </c>
      <c r="G18">
        <f t="shared" si="1"/>
        <v>1.899799101567609</v>
      </c>
      <c r="H18" s="2"/>
      <c r="I18" s="2">
        <f t="shared" si="0"/>
        <v>-1.9631257382865295</v>
      </c>
    </row>
    <row r="19" spans="1:9" x14ac:dyDescent="0.25">
      <c r="A19">
        <v>2.7160698823409501</v>
      </c>
      <c r="B19">
        <v>4.0616134894527303</v>
      </c>
      <c r="C19">
        <v>4.0085366474812796</v>
      </c>
      <c r="D19">
        <v>1.7473457400719199</v>
      </c>
      <c r="E19">
        <v>3.9412214129272098</v>
      </c>
      <c r="F19">
        <v>1.4390200363460699</v>
      </c>
      <c r="G19">
        <f t="shared" si="1"/>
        <v>1.636396412904797</v>
      </c>
      <c r="H19" s="2"/>
      <c r="I19" s="2">
        <f t="shared" si="0"/>
        <v>-1.6909429600016235</v>
      </c>
    </row>
    <row r="20" spans="1:9" x14ac:dyDescent="0.25">
      <c r="A20">
        <v>2.7367493505831999</v>
      </c>
      <c r="B20">
        <v>4.2152814520024799</v>
      </c>
      <c r="C20">
        <v>4.0674374777160898</v>
      </c>
      <c r="D20">
        <v>1.8572358583883499</v>
      </c>
      <c r="E20">
        <v>4.0421942647583098</v>
      </c>
      <c r="F20">
        <v>1.5392376526879901</v>
      </c>
      <c r="G20">
        <f t="shared" si="1"/>
        <v>1.483952620369742</v>
      </c>
      <c r="H20" s="2"/>
      <c r="I20" s="2">
        <f t="shared" si="0"/>
        <v>-1.5334177077154001</v>
      </c>
    </row>
    <row r="21" spans="1:9" x14ac:dyDescent="0.25">
      <c r="A21">
        <v>2.7884480211888101</v>
      </c>
      <c r="B21">
        <v>4.30268684870373</v>
      </c>
      <c r="C21">
        <v>4.1684103295471902</v>
      </c>
      <c r="D21">
        <v>1.9536668123576599</v>
      </c>
      <c r="E21">
        <v>4.1936535425049604</v>
      </c>
      <c r="F21">
        <v>1.6068522170475099</v>
      </c>
      <c r="G21">
        <f t="shared" si="1"/>
        <v>1.1639632697807625</v>
      </c>
      <c r="H21" s="2"/>
      <c r="I21" s="2">
        <f t="shared" si="0"/>
        <v>-1.2027620454401213</v>
      </c>
    </row>
    <row r="22" spans="1:9" x14ac:dyDescent="0.25">
      <c r="A22">
        <v>2.8480619365354198</v>
      </c>
      <c r="B22">
        <v>4.1742541004347702</v>
      </c>
      <c r="C22">
        <v>4.3282840116130998</v>
      </c>
      <c r="D22">
        <v>1.96407427313088</v>
      </c>
      <c r="E22">
        <v>4.37877043752865</v>
      </c>
      <c r="F22">
        <v>1.59372413374851</v>
      </c>
      <c r="G22">
        <f t="shared" si="1"/>
        <v>0.88176189107991465</v>
      </c>
      <c r="H22" s="2"/>
      <c r="I22" s="2">
        <f t="shared" si="0"/>
        <v>-0.91115395411591182</v>
      </c>
    </row>
    <row r="23" spans="1:9" x14ac:dyDescent="0.25">
      <c r="A23">
        <v>2.8836448836143198</v>
      </c>
      <c r="B23">
        <v>3.9971061167214899</v>
      </c>
      <c r="C23">
        <v>4.4629144807212304</v>
      </c>
      <c r="D23">
        <v>1.8752869729244701</v>
      </c>
      <c r="E23">
        <v>4.5470585239138099</v>
      </c>
      <c r="F23">
        <v>1.5243986412397501</v>
      </c>
      <c r="G23">
        <f t="shared" si="1"/>
        <v>0.74781823236924205</v>
      </c>
      <c r="H23" s="2"/>
      <c r="I23" s="2">
        <f t="shared" si="0"/>
        <v>-0.77274550678155018</v>
      </c>
    </row>
    <row r="24" spans="1:9" x14ac:dyDescent="0.25">
      <c r="A24">
        <v>2.9164230292534601</v>
      </c>
      <c r="B24">
        <v>3.7895488946653999</v>
      </c>
      <c r="C24">
        <v>4.5470585239138099</v>
      </c>
      <c r="D24">
        <v>1.79396195164592</v>
      </c>
      <c r="E24">
        <v>4.6985178016604703</v>
      </c>
      <c r="F24">
        <v>1.43825998941823</v>
      </c>
      <c r="G24">
        <f t="shared" si="1"/>
        <v>0.64282492947421133</v>
      </c>
      <c r="H24" s="2"/>
      <c r="I24" s="2">
        <f t="shared" si="0"/>
        <v>-0.66425242712335175</v>
      </c>
    </row>
    <row r="25" spans="1:9" x14ac:dyDescent="0.25">
      <c r="A25">
        <v>2.95481077777211</v>
      </c>
      <c r="B25">
        <v>3.53740654689333</v>
      </c>
      <c r="C25">
        <v>4.6312025671064001</v>
      </c>
      <c r="D25">
        <v>1.7027563203054901</v>
      </c>
      <c r="E25">
        <v>4.84156267508786</v>
      </c>
      <c r="F25">
        <v>1.35560488601596</v>
      </c>
      <c r="G25">
        <f t="shared" si="1"/>
        <v>0.53867719401860237</v>
      </c>
      <c r="H25" s="2"/>
      <c r="I25" s="2">
        <f t="shared" si="0"/>
        <v>-0.5566331004858891</v>
      </c>
    </row>
    <row r="26" spans="1:9" x14ac:dyDescent="0.25">
      <c r="A26">
        <v>2.9651505118932402</v>
      </c>
      <c r="B26">
        <v>3.4257827057118502</v>
      </c>
      <c r="C26">
        <v>4.7069322059797196</v>
      </c>
      <c r="D26">
        <v>1.6168710174599099</v>
      </c>
      <c r="E26">
        <v>5.0014363571537697</v>
      </c>
      <c r="F26">
        <v>1.2693222859126501</v>
      </c>
      <c r="G26">
        <f t="shared" si="1"/>
        <v>0.51365901241615908</v>
      </c>
      <c r="H26" s="2"/>
      <c r="I26" s="2">
        <f t="shared" si="0"/>
        <v>-0.53078097949669767</v>
      </c>
    </row>
    <row r="27" spans="1:9" x14ac:dyDescent="0.25">
      <c r="A27">
        <v>2.98758892341126</v>
      </c>
      <c r="B27">
        <v>3.2743363178687801</v>
      </c>
      <c r="C27">
        <v>4.7910762491723098</v>
      </c>
      <c r="D27">
        <v>1.5224985239201601</v>
      </c>
      <c r="E27">
        <v>5.1865532521774496</v>
      </c>
      <c r="F27">
        <v>1.1933175931289599</v>
      </c>
      <c r="G27">
        <f t="shared" si="1"/>
        <v>0.46331056709314089</v>
      </c>
      <c r="H27" s="2"/>
      <c r="I27" s="2">
        <f t="shared" si="0"/>
        <v>-0.47875425266291227</v>
      </c>
    </row>
    <row r="28" spans="1:9" x14ac:dyDescent="0.25">
      <c r="A28">
        <v>3.0156369378087899</v>
      </c>
      <c r="B28">
        <v>3.13696487313381</v>
      </c>
      <c r="C28">
        <v>4.8920491010034102</v>
      </c>
      <c r="D28">
        <v>1.4287594028202699</v>
      </c>
      <c r="E28">
        <v>5.3716701472011401</v>
      </c>
      <c r="F28">
        <v>1.1235314661184701</v>
      </c>
      <c r="G28">
        <f t="shared" si="1"/>
        <v>0.40726538867874884</v>
      </c>
      <c r="H28" s="2"/>
      <c r="I28" s="2">
        <f t="shared" si="0"/>
        <v>-0.42084090163470717</v>
      </c>
    </row>
    <row r="29" spans="1:9" x14ac:dyDescent="0.25">
      <c r="A29">
        <v>3.0408801507665602</v>
      </c>
      <c r="B29">
        <v>2.90705067746313</v>
      </c>
      <c r="C29">
        <v>4.9930219528345097</v>
      </c>
      <c r="D29">
        <v>1.3394538887994201</v>
      </c>
      <c r="E29">
        <v>5.54837263790556</v>
      </c>
      <c r="F29">
        <v>1.05405626739665</v>
      </c>
      <c r="G29">
        <f t="shared" si="1"/>
        <v>0.3626249577423718</v>
      </c>
      <c r="H29" s="2"/>
      <c r="I29" s="2">
        <f t="shared" si="0"/>
        <v>-0.37471245633378425</v>
      </c>
    </row>
    <row r="30" spans="1:9" x14ac:dyDescent="0.25">
      <c r="A30">
        <v>3.0661233637243401</v>
      </c>
      <c r="B30">
        <v>2.7284396494214498</v>
      </c>
      <c r="C30">
        <v>5.10240920898487</v>
      </c>
      <c r="D30">
        <v>1.2498769294472101</v>
      </c>
      <c r="E30">
        <v>5.7250751286099897</v>
      </c>
      <c r="F30">
        <v>0.96599446653045595</v>
      </c>
      <c r="G30">
        <f t="shared" si="1"/>
        <v>0.32283457525294401</v>
      </c>
      <c r="H30" s="2"/>
      <c r="I30" s="2">
        <f t="shared" si="0"/>
        <v>-0.33359572776137547</v>
      </c>
    </row>
    <row r="31" spans="1:9" x14ac:dyDescent="0.25">
      <c r="A31">
        <v>3.08856177524236</v>
      </c>
      <c r="B31">
        <v>2.5500397455263899</v>
      </c>
      <c r="C31">
        <v>5.2258204723339903</v>
      </c>
      <c r="D31">
        <v>1.1659098402766599</v>
      </c>
      <c r="E31">
        <v>5.9017776193144202</v>
      </c>
      <c r="F31">
        <v>0.88114559131375003</v>
      </c>
      <c r="G31">
        <f t="shared" si="1"/>
        <v>0.29109415266568711</v>
      </c>
      <c r="H31" s="2"/>
      <c r="I31" s="2">
        <f t="shared" si="0"/>
        <v>-0.30079729108787673</v>
      </c>
    </row>
    <row r="32" spans="1:9" x14ac:dyDescent="0.25">
      <c r="A32">
        <v>3.1166097896398899</v>
      </c>
      <c r="B32">
        <v>2.39021876653401</v>
      </c>
      <c r="C32">
        <v>5.3464269342433601</v>
      </c>
      <c r="D32">
        <v>1.0905385199328199</v>
      </c>
      <c r="E32">
        <v>6.0784801100188401</v>
      </c>
      <c r="F32">
        <v>0.80845746694243303</v>
      </c>
      <c r="G32">
        <f t="shared" si="1"/>
        <v>0.25568460935127951</v>
      </c>
      <c r="H32" s="2"/>
      <c r="I32" s="2">
        <f t="shared" si="0"/>
        <v>-0.26420742966298882</v>
      </c>
    </row>
    <row r="33" spans="1:9" x14ac:dyDescent="0.25">
      <c r="A33">
        <v>3.1390482011579102</v>
      </c>
      <c r="B33">
        <v>2.2299755392483802</v>
      </c>
      <c r="C33">
        <v>5.4894718076707498</v>
      </c>
      <c r="D33">
        <v>1.0143227030025099</v>
      </c>
      <c r="E33">
        <v>6.2635970050425298</v>
      </c>
      <c r="F33">
        <v>0.75698156137529504</v>
      </c>
      <c r="G33">
        <f t="shared" si="1"/>
        <v>0.23040343362390439</v>
      </c>
      <c r="H33" s="2"/>
      <c r="I33" s="2">
        <f t="shared" si="0"/>
        <v>-0.23808354807803453</v>
      </c>
    </row>
    <row r="34" spans="1:9" x14ac:dyDescent="0.25">
      <c r="A34">
        <v>3.1670962155554401</v>
      </c>
      <c r="B34">
        <v>2.0861999953992298</v>
      </c>
      <c r="C34">
        <v>5.6409310854174102</v>
      </c>
      <c r="D34">
        <v>0.92987304435396201</v>
      </c>
      <c r="E34">
        <v>6.4487139000662097</v>
      </c>
      <c r="F34">
        <v>0.73348920178760701</v>
      </c>
      <c r="G34">
        <f t="shared" si="1"/>
        <v>0.20217426098013094</v>
      </c>
      <c r="H34" s="2"/>
      <c r="I34" s="2">
        <f t="shared" si="0"/>
        <v>-0.20891340301280198</v>
      </c>
    </row>
    <row r="35" spans="1:9" x14ac:dyDescent="0.25">
      <c r="A35">
        <v>3.1923394285132098</v>
      </c>
      <c r="B35">
        <v>1.97409307354328</v>
      </c>
      <c r="C35">
        <v>5.8092191718025701</v>
      </c>
      <c r="D35">
        <v>0.84680528921056997</v>
      </c>
      <c r="E35">
        <v>6.6338307950899003</v>
      </c>
      <c r="F35">
        <v>0.73452562941647503</v>
      </c>
      <c r="G35">
        <f t="shared" si="1"/>
        <v>0.17961988774258328</v>
      </c>
      <c r="H35" s="2"/>
      <c r="I35" s="2">
        <f t="shared" ref="I35:I66" si="2">4*$L$3*(($K$3/(A35*0.0000000001))^12-($K$3/(A35*0.0000000001))^6)+($M$3*$N$3*$Q$3^2)/(4*PI()*$R$3*(A35*0.0000000001))*EXP(-(A35*0.0000000001)/$O$3)</f>
        <v>-0.18560721733400273</v>
      </c>
    </row>
    <row r="36" spans="1:9" x14ac:dyDescent="0.25">
      <c r="A36">
        <v>3.2175826414709898</v>
      </c>
      <c r="B36">
        <v>1.8296841572542599</v>
      </c>
      <c r="C36">
        <v>5.9943360668262597</v>
      </c>
      <c r="D36">
        <v>0.76941869292171805</v>
      </c>
      <c r="E36">
        <v>6.8189476901135802</v>
      </c>
      <c r="F36">
        <v>0.75767251312787398</v>
      </c>
      <c r="G36">
        <f t="shared" si="1"/>
        <v>0.15946135933956326</v>
      </c>
      <c r="H36" s="2"/>
      <c r="I36" s="2">
        <f t="shared" si="2"/>
        <v>-0.16477673798421538</v>
      </c>
    </row>
    <row r="37" spans="1:9" x14ac:dyDescent="0.25">
      <c r="A37">
        <v>3.24282585442876</v>
      </c>
      <c r="B37">
        <v>1.73087805663545</v>
      </c>
      <c r="C37">
        <v>6.1794529618499396</v>
      </c>
      <c r="D37">
        <v>0.71586993209684202</v>
      </c>
      <c r="E37">
        <v>7.0040645851372698</v>
      </c>
      <c r="F37">
        <v>0.80223890116922203</v>
      </c>
      <c r="G37">
        <f t="shared" si="1"/>
        <v>0.14143825617261499</v>
      </c>
      <c r="H37" s="2"/>
      <c r="I37" s="2">
        <f t="shared" si="2"/>
        <v>-0.14615286471170216</v>
      </c>
    </row>
    <row r="38" spans="1:9" x14ac:dyDescent="0.25">
      <c r="A38">
        <v>3.26806906738654</v>
      </c>
      <c r="B38">
        <v>1.6016700789031699</v>
      </c>
      <c r="C38">
        <v>6.3645698568736302</v>
      </c>
      <c r="D38">
        <v>0.68132234446788897</v>
      </c>
      <c r="E38">
        <v>7.1891814801609497</v>
      </c>
      <c r="F38">
        <v>0.86338813127246805</v>
      </c>
      <c r="G38">
        <f t="shared" si="1"/>
        <v>0.12531969578829383</v>
      </c>
      <c r="H38" s="2"/>
      <c r="I38" s="2">
        <f t="shared" si="2"/>
        <v>-0.12949701898123694</v>
      </c>
    </row>
    <row r="39" spans="1:9" x14ac:dyDescent="0.25">
      <c r="A39">
        <v>3.28489787602506</v>
      </c>
      <c r="B39">
        <v>1.5218651514802899</v>
      </c>
      <c r="C39">
        <v>6.5496867518973101</v>
      </c>
      <c r="D39">
        <v>0.67614020632354699</v>
      </c>
      <c r="E39">
        <v>7.3742983751846296</v>
      </c>
      <c r="F39">
        <v>0.93144687890150402</v>
      </c>
      <c r="G39">
        <f t="shared" si="1"/>
        <v>0.11552992746027811</v>
      </c>
      <c r="H39" s="2"/>
      <c r="I39" s="2">
        <f t="shared" si="2"/>
        <v>-0.11938092504228738</v>
      </c>
    </row>
    <row r="40" spans="1:9" x14ac:dyDescent="0.25">
      <c r="A40">
        <v>3.3185554933020902</v>
      </c>
      <c r="B40">
        <v>1.4344597547790401</v>
      </c>
      <c r="C40">
        <v>6.7348036469209998</v>
      </c>
      <c r="D40">
        <v>0.69583233127205002</v>
      </c>
      <c r="E40">
        <v>7.5594152702083202</v>
      </c>
      <c r="F40">
        <v>0.99777824714909102</v>
      </c>
      <c r="G40">
        <f t="shared" si="1"/>
        <v>9.7999711298744588E-2</v>
      </c>
      <c r="H40" s="2"/>
      <c r="I40" s="2">
        <f t="shared" si="2"/>
        <v>-0.10126636834203608</v>
      </c>
    </row>
    <row r="41" spans="1:9" x14ac:dyDescent="0.25">
      <c r="A41">
        <v>3.3353843019406102</v>
      </c>
      <c r="B41">
        <v>1.3508545927169799</v>
      </c>
      <c r="C41">
        <v>6.9199205419446796</v>
      </c>
      <c r="D41">
        <v>0.73314372591131804</v>
      </c>
      <c r="E41">
        <v>7.7445321652320001</v>
      </c>
      <c r="F41">
        <v>1.0599639048812</v>
      </c>
      <c r="G41">
        <f t="shared" si="1"/>
        <v>9.016158685063852E-2</v>
      </c>
      <c r="H41" s="2"/>
      <c r="I41" s="2">
        <f t="shared" si="2"/>
        <v>-9.3166973078993146E-2</v>
      </c>
    </row>
    <row r="42" spans="1:9" x14ac:dyDescent="0.25">
      <c r="A42">
        <v>3.3774563235369</v>
      </c>
      <c r="B42">
        <v>1.22544684962388</v>
      </c>
      <c r="C42">
        <v>7.1050374369683702</v>
      </c>
      <c r="D42">
        <v>0.79360200426198402</v>
      </c>
      <c r="E42">
        <v>7.9296490602556897</v>
      </c>
      <c r="F42">
        <v>1.11178528632463</v>
      </c>
      <c r="G42">
        <f t="shared" si="1"/>
        <v>7.292471621997075E-2</v>
      </c>
      <c r="H42" s="2"/>
      <c r="I42" s="2">
        <f t="shared" si="2"/>
        <v>-7.5355540093969775E-2</v>
      </c>
    </row>
    <row r="43" spans="1:9" x14ac:dyDescent="0.25">
      <c r="A43">
        <v>3.4111139408139302</v>
      </c>
      <c r="B43">
        <v>1.1456419222009999</v>
      </c>
      <c r="C43">
        <v>7.2817399276727901</v>
      </c>
      <c r="D43">
        <v>0.86746474661268402</v>
      </c>
      <c r="E43">
        <v>8.1147659552793705</v>
      </c>
      <c r="F43">
        <v>1.1435690669432701</v>
      </c>
      <c r="G43">
        <f t="shared" si="1"/>
        <v>6.1253923342487561E-2</v>
      </c>
      <c r="H43" s="2"/>
      <c r="I43" s="2">
        <f t="shared" si="2"/>
        <v>-6.329572078723715E-2</v>
      </c>
    </row>
    <row r="44" spans="1:9" x14ac:dyDescent="0.25">
      <c r="A44">
        <v>3.4531859624102199</v>
      </c>
      <c r="B44">
        <v>1.0430355869430199</v>
      </c>
      <c r="C44">
        <v>7.4295930321397599</v>
      </c>
      <c r="D44">
        <v>0.93554323572036502</v>
      </c>
      <c r="E44">
        <v>8.2998828503030602</v>
      </c>
      <c r="F44">
        <v>1.15946095725258</v>
      </c>
      <c r="G44">
        <f t="shared" si="1"/>
        <v>4.8894493126582138E-2</v>
      </c>
      <c r="H44" s="2"/>
      <c r="I44" s="2">
        <f t="shared" si="2"/>
        <v>-5.0524309564134874E-2</v>
      </c>
    </row>
    <row r="45" spans="1:9" x14ac:dyDescent="0.25">
      <c r="A45">
        <v>3.5036723883257701</v>
      </c>
      <c r="B45">
        <v>0.936629017045847</v>
      </c>
      <c r="C45">
        <v>7.6603881220394197</v>
      </c>
      <c r="D45">
        <v>1.05754557374717</v>
      </c>
      <c r="E45">
        <v>8.4849997453267392</v>
      </c>
      <c r="F45">
        <v>1.15946095725258</v>
      </c>
      <c r="G45">
        <f t="shared" si="1"/>
        <v>3.6787720452760526E-2</v>
      </c>
      <c r="H45" s="2"/>
      <c r="I45" s="2">
        <f t="shared" si="2"/>
        <v>-3.8013977801185879E-2</v>
      </c>
    </row>
    <row r="46" spans="1:9" x14ac:dyDescent="0.25">
      <c r="A46">
        <v>3.5373300056028101</v>
      </c>
      <c r="B46">
        <v>0.87202502817970595</v>
      </c>
      <c r="C46">
        <v>7.8455050170631004</v>
      </c>
      <c r="D46">
        <v>1.1314774112731301</v>
      </c>
      <c r="E46">
        <v>8.6701166403504306</v>
      </c>
      <c r="F46">
        <v>1.14495097044842</v>
      </c>
      <c r="G46">
        <f t="shared" si="1"/>
        <v>3.0091900129687342E-2</v>
      </c>
      <c r="H46" s="2"/>
      <c r="I46" s="2">
        <f t="shared" si="2"/>
        <v>-3.1094963467343587E-2</v>
      </c>
    </row>
    <row r="47" spans="1:9" x14ac:dyDescent="0.25">
      <c r="A47">
        <v>3.61305964447613</v>
      </c>
      <c r="B47">
        <v>0.77036875158151397</v>
      </c>
      <c r="C47">
        <v>8.0306219120867901</v>
      </c>
      <c r="D47">
        <v>1.1905537861186399</v>
      </c>
      <c r="E47">
        <v>8.8552335353741096</v>
      </c>
      <c r="F47">
        <v>1.1204221832318699</v>
      </c>
      <c r="G47">
        <f t="shared" si="1"/>
        <v>1.8231236415978676E-2</v>
      </c>
      <c r="H47" s="2"/>
      <c r="I47" s="2">
        <f t="shared" si="2"/>
        <v>-1.8838944296511301E-2</v>
      </c>
    </row>
    <row r="48" spans="1:9" x14ac:dyDescent="0.25">
      <c r="A48">
        <v>3.74769011358427</v>
      </c>
      <c r="B48">
        <v>0.63973568585953799</v>
      </c>
      <c r="C48">
        <v>8.2157388071104709</v>
      </c>
      <c r="D48">
        <v>1.22026471147954</v>
      </c>
      <c r="E48">
        <v>9.0403504303977993</v>
      </c>
      <c r="F48">
        <v>1.08932935436581</v>
      </c>
      <c r="G48">
        <f t="shared" si="1"/>
        <v>4.9828840125498066E-3</v>
      </c>
      <c r="H48" s="2"/>
      <c r="I48" s="2">
        <f t="shared" si="2"/>
        <v>-5.1489801463014667E-3</v>
      </c>
    </row>
    <row r="49" spans="1:9" x14ac:dyDescent="0.25">
      <c r="A49">
        <v>3.8907349870116601</v>
      </c>
      <c r="B49">
        <v>0.54647159408954504</v>
      </c>
      <c r="C49">
        <v>8.4008557021341606</v>
      </c>
      <c r="D49">
        <v>1.22233756673728</v>
      </c>
      <c r="E49">
        <v>9.2254673254214801</v>
      </c>
      <c r="F49">
        <v>1.0513270079739601</v>
      </c>
      <c r="G49">
        <f t="shared" si="1"/>
        <v>-2.343868399829664E-3</v>
      </c>
      <c r="H49" s="2"/>
      <c r="I49" s="2">
        <f t="shared" si="2"/>
        <v>2.4219973464906525E-3</v>
      </c>
    </row>
    <row r="50" spans="1:9" x14ac:dyDescent="0.25">
      <c r="A50">
        <v>4.0539744308052699</v>
      </c>
      <c r="B50">
        <v>0.48858135308596501</v>
      </c>
      <c r="C50">
        <v>8.5859725971578396</v>
      </c>
      <c r="D50">
        <v>1.2029909176650599</v>
      </c>
      <c r="E50">
        <v>9.4105842204451697</v>
      </c>
      <c r="F50">
        <v>1.0126337098295399</v>
      </c>
      <c r="G50">
        <f t="shared" si="1"/>
        <v>-6.1171464333045142E-3</v>
      </c>
      <c r="H50" s="2"/>
      <c r="I50" s="2">
        <f t="shared" si="2"/>
        <v>6.3210513144146647E-3</v>
      </c>
    </row>
    <row r="51" spans="1:9" x14ac:dyDescent="0.25">
      <c r="A51">
        <v>4.2441399684205097</v>
      </c>
      <c r="B51">
        <v>0.46056325951888499</v>
      </c>
      <c r="C51">
        <v>8.7710894921815292</v>
      </c>
      <c r="D51">
        <v>1.1663704747783701</v>
      </c>
      <c r="E51">
        <v>9.5957011154688505</v>
      </c>
      <c r="F51">
        <v>0.97601326694285095</v>
      </c>
      <c r="G51">
        <f t="shared" si="1"/>
        <v>-7.4449471461020874E-3</v>
      </c>
      <c r="H51" s="2"/>
      <c r="I51" s="2">
        <f t="shared" si="2"/>
        <v>7.6931120509721573E-3</v>
      </c>
    </row>
    <row r="52" spans="1:9" x14ac:dyDescent="0.25">
      <c r="A52">
        <v>4.4292568634442002</v>
      </c>
      <c r="B52">
        <v>0.46401801828178002</v>
      </c>
      <c r="C52">
        <v>8.9393775785667007</v>
      </c>
      <c r="D52">
        <v>1.1236850109523799</v>
      </c>
      <c r="E52">
        <v>9.7808180104925402</v>
      </c>
      <c r="F52">
        <v>0.94561138982937398</v>
      </c>
      <c r="G52">
        <f t="shared" si="1"/>
        <v>-7.3088067795322375E-3</v>
      </c>
      <c r="H52" s="2"/>
      <c r="I52" s="2">
        <f t="shared" si="2"/>
        <v>7.5524336721833124E-3</v>
      </c>
    </row>
    <row r="53" spans="1:9" x14ac:dyDescent="0.25">
      <c r="A53">
        <v>4.6143737584678801</v>
      </c>
      <c r="B53">
        <v>0.486819426116889</v>
      </c>
      <c r="C53">
        <v>9.2759537513370294</v>
      </c>
      <c r="D53">
        <v>1.0281801242625599</v>
      </c>
      <c r="E53">
        <v>9.9659349055162192</v>
      </c>
      <c r="F53">
        <v>0.92177355436539699</v>
      </c>
      <c r="G53">
        <f t="shared" si="1"/>
        <v>-6.6191612340243955E-3</v>
      </c>
      <c r="H53" s="2"/>
      <c r="I53" s="2">
        <f t="shared" si="2"/>
        <v>6.8397999418252087E-3</v>
      </c>
    </row>
    <row r="54" spans="1:9" x14ac:dyDescent="0.25">
      <c r="A54">
        <v>4.8045392960831199</v>
      </c>
      <c r="B54">
        <v>0.535704262611856</v>
      </c>
      <c r="C54">
        <v>9.4610706463607208</v>
      </c>
      <c r="D54">
        <v>0.98361373622122095</v>
      </c>
      <c r="E54">
        <v>10.1510518005399</v>
      </c>
      <c r="F54">
        <v>0.90588166405607895</v>
      </c>
      <c r="G54">
        <f t="shared" si="1"/>
        <v>-5.7420296561351541E-3</v>
      </c>
      <c r="H54" s="2"/>
      <c r="I54" s="2">
        <f t="shared" si="2"/>
        <v>5.9334306446729929E-3</v>
      </c>
    </row>
    <row r="55" spans="1:9" x14ac:dyDescent="0.25">
      <c r="A55">
        <v>4.9846075485152497</v>
      </c>
      <c r="B55">
        <v>0.59668075477695603</v>
      </c>
      <c r="C55">
        <v>9.6461875413843998</v>
      </c>
      <c r="D55">
        <v>0.94630234158195303</v>
      </c>
      <c r="E55">
        <v>10.336168695563501</v>
      </c>
      <c r="F55">
        <v>0.90104500178802605</v>
      </c>
      <c r="G55">
        <f t="shared" si="1"/>
        <v>-4.9216166155068714E-3</v>
      </c>
      <c r="H55" s="2"/>
      <c r="I55" s="2">
        <f t="shared" si="2"/>
        <v>5.085670502690434E-3</v>
      </c>
    </row>
    <row r="56" spans="1:9" x14ac:dyDescent="0.25">
      <c r="A56">
        <v>5.1486884327407898</v>
      </c>
      <c r="B56">
        <v>0.66633732833383097</v>
      </c>
      <c r="C56">
        <v>9.8313044364080895</v>
      </c>
      <c r="D56">
        <v>0.91140927807671102</v>
      </c>
      <c r="E56">
        <v>10.521285590587199</v>
      </c>
      <c r="F56">
        <v>0.90208142941689395</v>
      </c>
      <c r="G56">
        <f t="shared" si="1"/>
        <v>-4.2390468345146898E-3</v>
      </c>
      <c r="H56" s="2"/>
      <c r="I56" s="2">
        <f t="shared" si="2"/>
        <v>4.3803483956651795E-3</v>
      </c>
    </row>
    <row r="57" spans="1:9" x14ac:dyDescent="0.25">
      <c r="A57">
        <v>5.3043549126470699</v>
      </c>
      <c r="B57">
        <v>0.75379550607173595</v>
      </c>
      <c r="C57">
        <v>10.016421331431699</v>
      </c>
      <c r="D57">
        <v>0.88929882199418198</v>
      </c>
      <c r="E57">
        <v>10.7064024856109</v>
      </c>
      <c r="F57">
        <v>0.91417308508702799</v>
      </c>
      <c r="G57">
        <f t="shared" si="1"/>
        <v>-3.6643918770350296E-3</v>
      </c>
      <c r="H57" s="2"/>
      <c r="I57" s="2">
        <f t="shared" si="2"/>
        <v>3.7865382729361974E-3</v>
      </c>
    </row>
    <row r="58" spans="1:9" x14ac:dyDescent="0.25">
      <c r="A58">
        <v>5.4417901831949598</v>
      </c>
      <c r="B58">
        <v>0.83718954398717904</v>
      </c>
      <c r="C58">
        <v>10.2015382264554</v>
      </c>
      <c r="D58">
        <v>0.87893454570549601</v>
      </c>
      <c r="E58">
        <v>10.8915193806346</v>
      </c>
      <c r="F58">
        <v>0.93386521003553002</v>
      </c>
      <c r="G58">
        <f t="shared" si="1"/>
        <v>-3.2172907813803058E-3</v>
      </c>
      <c r="H58" s="2"/>
      <c r="I58" s="2">
        <f t="shared" si="2"/>
        <v>3.3245338074263161E-3</v>
      </c>
    </row>
    <row r="59" spans="1:9" x14ac:dyDescent="0.25">
      <c r="A59">
        <v>5.5680062479838304</v>
      </c>
      <c r="B59">
        <v>0.92142807848910802</v>
      </c>
      <c r="C59">
        <v>10.3866551214791</v>
      </c>
      <c r="D59">
        <v>0.87582526281889095</v>
      </c>
      <c r="E59">
        <v>11.0766362756583</v>
      </c>
      <c r="F59">
        <v>0.95609082474349005</v>
      </c>
      <c r="G59">
        <f t="shared" si="1"/>
        <v>-2.8539251971519998E-3</v>
      </c>
      <c r="H59" s="2"/>
      <c r="I59" s="2">
        <f t="shared" si="2"/>
        <v>2.9490560370570669E-3</v>
      </c>
    </row>
    <row r="60" spans="1:9" x14ac:dyDescent="0.25">
      <c r="A60">
        <v>5.6947832730606596</v>
      </c>
      <c r="B60">
        <v>1.00731338133468</v>
      </c>
      <c r="C60">
        <v>10.5717720165028</v>
      </c>
      <c r="D60">
        <v>0.886535014983866</v>
      </c>
      <c r="E60">
        <v>11.261753170682001</v>
      </c>
      <c r="F60">
        <v>0.97843159807687896</v>
      </c>
      <c r="G60">
        <f t="shared" si="1"/>
        <v>-2.5308557305481205E-3</v>
      </c>
      <c r="H60" s="2"/>
      <c r="I60" s="2">
        <f t="shared" si="2"/>
        <v>2.6152175882330582E-3</v>
      </c>
    </row>
    <row r="61" spans="1:9" x14ac:dyDescent="0.25">
      <c r="A61">
        <v>5.8092191718025701</v>
      </c>
      <c r="B61">
        <v>1.0908099652641901</v>
      </c>
      <c r="C61">
        <v>10.756888911526501</v>
      </c>
      <c r="D61">
        <v>0.90208142941689395</v>
      </c>
      <c r="E61">
        <v>11.446870065705699</v>
      </c>
      <c r="F61">
        <v>1.0049180819257399</v>
      </c>
      <c r="G61">
        <f t="shared" si="1"/>
        <v>-2.2719925107594604E-3</v>
      </c>
      <c r="H61" s="2"/>
      <c r="I61" s="2">
        <f t="shared" si="2"/>
        <v>2.3477255944514427E-3</v>
      </c>
    </row>
    <row r="62" spans="1:9" x14ac:dyDescent="0.25">
      <c r="A62">
        <v>5.9438496409107104</v>
      </c>
      <c r="B62">
        <v>1.1768882959009701</v>
      </c>
      <c r="C62">
        <v>10.9420058065501</v>
      </c>
      <c r="D62">
        <v>0.92557378900458098</v>
      </c>
      <c r="E62">
        <v>11.6319869607293</v>
      </c>
      <c r="F62">
        <v>1.02403441374709</v>
      </c>
      <c r="G62">
        <f t="shared" si="1"/>
        <v>-2.0030714817845991E-3</v>
      </c>
      <c r="H62" s="2"/>
      <c r="I62" s="2">
        <f t="shared" si="2"/>
        <v>2.0698405311774192E-3</v>
      </c>
    </row>
    <row r="63" spans="1:9" x14ac:dyDescent="0.25">
      <c r="A63">
        <v>6.1037233229766201</v>
      </c>
      <c r="B63">
        <v>1.2683895010466699</v>
      </c>
      <c r="C63">
        <v>11.107889777415499</v>
      </c>
      <c r="D63">
        <v>0.94911550228888197</v>
      </c>
      <c r="E63">
        <v>11.817103855753</v>
      </c>
      <c r="F63">
        <v>1.04199915931415</v>
      </c>
      <c r="G63">
        <f t="shared" si="1"/>
        <v>-1.7276776688752351E-3</v>
      </c>
      <c r="H63" s="2"/>
      <c r="I63" s="2">
        <f t="shared" si="2"/>
        <v>1.7852669245044096E-3</v>
      </c>
    </row>
    <row r="64" spans="1:9" x14ac:dyDescent="0.25">
      <c r="A64">
        <v>6.28042581368104</v>
      </c>
      <c r="B64">
        <v>1.3342717506550801</v>
      </c>
      <c r="C64">
        <v>11.389171293230699</v>
      </c>
      <c r="D64">
        <v>1.00557613121391</v>
      </c>
      <c r="E64">
        <v>12.002220750776701</v>
      </c>
      <c r="F64">
        <v>1.0558181943657301</v>
      </c>
      <c r="G64">
        <f t="shared" si="1"/>
        <v>-1.4707600066040645E-3</v>
      </c>
      <c r="H64" s="2"/>
      <c r="I64" s="2">
        <f t="shared" si="2"/>
        <v>1.5197853401575333E-3</v>
      </c>
    </row>
    <row r="65" spans="1:9" x14ac:dyDescent="0.25">
      <c r="A65">
        <v>6.4705913512962798</v>
      </c>
      <c r="B65">
        <v>1.36263532009845</v>
      </c>
      <c r="C65">
        <v>11.5646717261753</v>
      </c>
      <c r="D65">
        <v>1.0302529795202999</v>
      </c>
      <c r="E65">
        <v>12.187337645800399</v>
      </c>
      <c r="F65">
        <v>1.0610003325100701</v>
      </c>
      <c r="G65">
        <f t="shared" si="1"/>
        <v>-1.2407241665055016E-3</v>
      </c>
      <c r="H65" s="2"/>
      <c r="I65" s="2">
        <f t="shared" si="2"/>
        <v>1.2820816387223515E-3</v>
      </c>
    </row>
    <row r="66" spans="1:9" x14ac:dyDescent="0.25">
      <c r="A66">
        <v>6.6543993389814204</v>
      </c>
      <c r="B66">
        <v>1.33734264733321</v>
      </c>
      <c r="C66">
        <v>11.749788621199</v>
      </c>
      <c r="D66">
        <v>1.0537453391079901</v>
      </c>
      <c r="E66">
        <v>12.3724545408241</v>
      </c>
      <c r="F66">
        <v>1.0610003325100701</v>
      </c>
      <c r="G66">
        <f t="shared" si="1"/>
        <v>-1.0561138210964654E-3</v>
      </c>
      <c r="H66" s="2"/>
      <c r="I66" s="2">
        <f t="shared" si="2"/>
        <v>1.0913176151330143E-3</v>
      </c>
    </row>
    <row r="67" spans="1:9" x14ac:dyDescent="0.25">
      <c r="A67">
        <v>6.8357764987521001</v>
      </c>
      <c r="B67">
        <v>1.2776137069436</v>
      </c>
      <c r="C67">
        <v>11.934905516222599</v>
      </c>
      <c r="D67">
        <v>1.07171008467504</v>
      </c>
      <c r="E67">
        <v>12.5575714358478</v>
      </c>
      <c r="F67">
        <v>1.0558181943657301</v>
      </c>
      <c r="G67">
        <f t="shared" si="1"/>
        <v>-9.0382439594341002E-4</v>
      </c>
      <c r="H67" s="2"/>
      <c r="I67" s="2">
        <f t="shared" ref="I67:I98" si="3">4*$L$3*(($K$3/(A67*0.0000000001))^12-($K$3/(A67*0.0000000001))^6)+($M$3*$N$3*$Q$3^2)/(4*PI()*$R$3*(A67*0.0000000001))*EXP(-(A67*0.0000000001)/$O$3)</f>
        <v>9.3395187580819043E-4</v>
      </c>
    </row>
    <row r="68" spans="1:9" x14ac:dyDescent="0.25">
      <c r="A68">
        <v>7.02089339377578</v>
      </c>
      <c r="B68">
        <v>1.19953615890217</v>
      </c>
      <c r="C68">
        <v>12.1200224112463</v>
      </c>
      <c r="D68">
        <v>1.0806924574585699</v>
      </c>
      <c r="E68">
        <v>12.742688330871401</v>
      </c>
      <c r="F68">
        <v>1.04222947656501</v>
      </c>
      <c r="G68">
        <f t="shared" ref="G68:G107" si="4">4*$L$4*(($K$3/(A68*0.0000000001))^12-($K$3/(A68*0.0000000001))^6)</f>
        <v>-7.7360023802831824E-4</v>
      </c>
      <c r="H68" s="2"/>
      <c r="I68" s="2">
        <f t="shared" si="3"/>
        <v>7.9938691262926222E-4</v>
      </c>
    </row>
    <row r="69" spans="1:9" x14ac:dyDescent="0.25">
      <c r="A69">
        <v>7.1891814801609497</v>
      </c>
      <c r="B69">
        <v>1.1194625280199499</v>
      </c>
      <c r="C69">
        <v>12.30513930627</v>
      </c>
      <c r="D69">
        <v>1.0810379333348601</v>
      </c>
      <c r="E69">
        <v>12.927805225895099</v>
      </c>
      <c r="F69">
        <v>1.03163488302546</v>
      </c>
      <c r="G69">
        <f t="shared" si="4"/>
        <v>-6.7352992480551035E-4</v>
      </c>
      <c r="H69" s="2"/>
      <c r="I69" s="2">
        <f t="shared" si="3"/>
        <v>6.9598092229902742E-4</v>
      </c>
    </row>
    <row r="70" spans="1:9" x14ac:dyDescent="0.25">
      <c r="A70">
        <v>7.3742983751846296</v>
      </c>
      <c r="B70">
        <v>1.03474416591207</v>
      </c>
      <c r="C70">
        <v>12.4902562012937</v>
      </c>
      <c r="D70">
        <v>1.0730919881801999</v>
      </c>
      <c r="E70">
        <v>13.1129221209188</v>
      </c>
      <c r="F70">
        <v>1.01643394446872</v>
      </c>
      <c r="G70">
        <f t="shared" si="4"/>
        <v>-5.8016567890368381E-4</v>
      </c>
      <c r="H70" s="2"/>
      <c r="I70" s="2">
        <f t="shared" si="3"/>
        <v>5.9950453486714E-4</v>
      </c>
    </row>
    <row r="71" spans="1:9" x14ac:dyDescent="0.25">
      <c r="A71">
        <v>7.56876460834083</v>
      </c>
      <c r="B71">
        <v>0.96280841122689698</v>
      </c>
      <c r="C71">
        <v>12.675373096317401</v>
      </c>
      <c r="D71">
        <v>1.06169128426265</v>
      </c>
      <c r="E71">
        <v>13.2980390159425</v>
      </c>
      <c r="F71">
        <v>1.0028452266679999</v>
      </c>
      <c r="G71">
        <f t="shared" si="4"/>
        <v>-4.9772354952976375E-4</v>
      </c>
      <c r="H71" s="2"/>
      <c r="I71" s="2">
        <f t="shared" si="3"/>
        <v>5.1431433451408926E-4</v>
      </c>
    </row>
    <row r="72" spans="1:9" x14ac:dyDescent="0.25">
      <c r="A72">
        <v>7.7445321652320001</v>
      </c>
      <c r="B72">
        <v>0.90760904343752602</v>
      </c>
      <c r="C72">
        <v>12.826832374064001</v>
      </c>
      <c r="D72">
        <v>1.0487359389017901</v>
      </c>
      <c r="E72">
        <v>13.4831559109662</v>
      </c>
      <c r="F72">
        <v>0.98741397086040605</v>
      </c>
      <c r="G72">
        <f t="shared" si="4"/>
        <v>-4.3463556358598322E-4</v>
      </c>
      <c r="H72" s="2"/>
      <c r="I72" s="2">
        <f t="shared" si="3"/>
        <v>4.4912341570551602E-4</v>
      </c>
    </row>
    <row r="73" spans="1:9" x14ac:dyDescent="0.25">
      <c r="A73">
        <v>7.9330148219833898</v>
      </c>
      <c r="B73">
        <v>0.86594465275701005</v>
      </c>
      <c r="C73">
        <v>13.225915550348899</v>
      </c>
      <c r="D73">
        <v>0.99797566193554299</v>
      </c>
      <c r="E73">
        <v>13.668272805989901</v>
      </c>
      <c r="F73">
        <v>0.97589810831742096</v>
      </c>
      <c r="G73">
        <f t="shared" si="4"/>
        <v>-3.7699594483379798E-4</v>
      </c>
      <c r="H73" s="2"/>
      <c r="I73" s="2">
        <f t="shared" si="3"/>
        <v>3.8956247632825796E-4</v>
      </c>
    </row>
    <row r="74" spans="1:9" x14ac:dyDescent="0.25">
      <c r="A74">
        <v>8.1332776447817405</v>
      </c>
      <c r="B74">
        <v>0.83706286949920605</v>
      </c>
      <c r="C74">
        <v>13.415840676412101</v>
      </c>
      <c r="D74">
        <v>0.982774723378804</v>
      </c>
      <c r="E74">
        <v>13.853389701013599</v>
      </c>
      <c r="F74">
        <v>0.96703089415932397</v>
      </c>
      <c r="G74">
        <f t="shared" si="4"/>
        <v>-3.2519953371444756E-4</v>
      </c>
      <c r="H74" s="2"/>
      <c r="I74" s="2">
        <f t="shared" si="3"/>
        <v>3.360395181715958E-4</v>
      </c>
    </row>
    <row r="75" spans="1:9" x14ac:dyDescent="0.25">
      <c r="A75">
        <v>8.2325676157489909</v>
      </c>
      <c r="B75">
        <v>0.83402268178785899</v>
      </c>
      <c r="C75">
        <v>13.595908928844199</v>
      </c>
      <c r="D75">
        <v>0.96969105840675396</v>
      </c>
      <c r="E75">
        <v>14.0385065960372</v>
      </c>
      <c r="F75">
        <v>0.96081232838611197</v>
      </c>
      <c r="G75">
        <f t="shared" si="4"/>
        <v>-3.026003750499454E-4</v>
      </c>
      <c r="H75" s="2"/>
      <c r="I75" s="2">
        <f t="shared" si="3"/>
        <v>3.1268705421827692E-4</v>
      </c>
    </row>
    <row r="76" spans="1:9" x14ac:dyDescent="0.25">
      <c r="A76">
        <v>8.6179473335710295</v>
      </c>
      <c r="B76">
        <v>0.83706286949920605</v>
      </c>
      <c r="C76">
        <v>13.7860744664595</v>
      </c>
      <c r="D76">
        <v>0.95701209374692797</v>
      </c>
      <c r="E76">
        <v>14.2236234910609</v>
      </c>
      <c r="F76">
        <v>0.960466852509823</v>
      </c>
      <c r="G76">
        <f t="shared" si="4"/>
        <v>-2.305314896324268E-4</v>
      </c>
      <c r="H76" s="2"/>
      <c r="I76" s="2">
        <f t="shared" si="3"/>
        <v>2.3821587262017437E-4</v>
      </c>
    </row>
    <row r="77" spans="1:9" x14ac:dyDescent="0.25">
      <c r="A77">
        <v>8.8178361828440792</v>
      </c>
      <c r="B77">
        <v>0.85893533108918096</v>
      </c>
      <c r="C77">
        <v>13.9711913614832</v>
      </c>
      <c r="D77">
        <v>0.94872067271598004</v>
      </c>
      <c r="E77">
        <v>14.408740386084601</v>
      </c>
      <c r="F77">
        <v>0.96184875601498199</v>
      </c>
      <c r="G77">
        <f t="shared" si="4"/>
        <v>-2.0110208271874831E-4</v>
      </c>
      <c r="H77" s="2"/>
      <c r="I77" s="2">
        <f t="shared" si="3"/>
        <v>2.0780548547603991E-4</v>
      </c>
    </row>
    <row r="78" spans="1:9" x14ac:dyDescent="0.25">
      <c r="A78">
        <v>8.98986400448225</v>
      </c>
      <c r="B78">
        <v>0.88791691848902499</v>
      </c>
      <c r="C78">
        <v>14.1563082565069</v>
      </c>
      <c r="D78">
        <v>0.94561138982937398</v>
      </c>
      <c r="E78">
        <v>14.593857281108299</v>
      </c>
      <c r="F78">
        <v>0.96633994240674603</v>
      </c>
      <c r="G78">
        <f t="shared" si="4"/>
        <v>-1.7922264614574746E-4</v>
      </c>
      <c r="H78" s="2"/>
      <c r="I78" s="2">
        <f t="shared" si="3"/>
        <v>1.8519673435060571E-4</v>
      </c>
    </row>
    <row r="79" spans="1:9" x14ac:dyDescent="0.25">
      <c r="A79">
        <v>9.1699322569143806</v>
      </c>
      <c r="B79">
        <v>0.92750845391180203</v>
      </c>
      <c r="C79">
        <v>14.341425151530499</v>
      </c>
      <c r="D79">
        <v>0.94802972096340099</v>
      </c>
      <c r="E79">
        <v>14.778974176131999</v>
      </c>
      <c r="F79">
        <v>0.97359493580882595</v>
      </c>
      <c r="G79">
        <f t="shared" si="4"/>
        <v>-1.5922430127441448E-4</v>
      </c>
      <c r="H79" s="2"/>
      <c r="I79" s="2">
        <f t="shared" si="3"/>
        <v>1.6453177798356162E-4</v>
      </c>
    </row>
    <row r="80" spans="1:9" x14ac:dyDescent="0.25">
      <c r="A80">
        <v>9.33906178373147</v>
      </c>
      <c r="B80">
        <v>0.96513077683973203</v>
      </c>
      <c r="C80">
        <v>14.5315906891458</v>
      </c>
      <c r="D80">
        <v>0.95335004945825996</v>
      </c>
      <c r="E80">
        <v>14.930433453878599</v>
      </c>
      <c r="F80">
        <v>0.98006027006509999</v>
      </c>
      <c r="G80">
        <f t="shared" si="4"/>
        <v>-1.4276722687110187E-4</v>
      </c>
      <c r="H80" s="2"/>
      <c r="I80" s="2">
        <f t="shared" si="3"/>
        <v>1.4752613443347193E-4</v>
      </c>
    </row>
    <row r="81" spans="1:9" x14ac:dyDescent="0.25">
      <c r="A81">
        <v>9.6108470432435098</v>
      </c>
      <c r="B81">
        <v>1.0285946953141101</v>
      </c>
      <c r="C81">
        <v>14.6611725156624</v>
      </c>
      <c r="D81">
        <v>0.95563019024177098</v>
      </c>
      <c r="G81">
        <f t="shared" si="4"/>
        <v>-1.2028399522054512E-4</v>
      </c>
      <c r="H81" s="2"/>
      <c r="I81" s="2">
        <f t="shared" si="3"/>
        <v>1.2429346172789662E-4</v>
      </c>
    </row>
    <row r="82" spans="1:9" x14ac:dyDescent="0.25">
      <c r="A82">
        <v>9.8043783425864603</v>
      </c>
      <c r="B82">
        <v>1.0677371120977199</v>
      </c>
      <c r="C82">
        <v>14.941142695739501</v>
      </c>
      <c r="D82">
        <v>0.98499563972637905</v>
      </c>
      <c r="G82">
        <f t="shared" si="4"/>
        <v>-1.0677149621361302E-4</v>
      </c>
      <c r="H82" s="2"/>
      <c r="I82" s="2">
        <f t="shared" si="3"/>
        <v>1.1033054608740012E-4</v>
      </c>
    </row>
    <row r="83" spans="1:9" x14ac:dyDescent="0.25">
      <c r="A83">
        <v>9.97645291091529</v>
      </c>
      <c r="B83">
        <v>1.09433875457201</v>
      </c>
      <c r="G83">
        <f t="shared" si="4"/>
        <v>-9.6221705407282797E-5</v>
      </c>
      <c r="H83" s="2"/>
      <c r="I83" s="2">
        <f t="shared" si="3"/>
        <v>9.9429095587525565E-5</v>
      </c>
    </row>
    <row r="84" spans="1:9" x14ac:dyDescent="0.25">
      <c r="A84">
        <v>10.169563490042201</v>
      </c>
      <c r="B84">
        <v>1.11219985737618</v>
      </c>
      <c r="G84">
        <f t="shared" si="4"/>
        <v>-8.5796274698815008E-5</v>
      </c>
      <c r="H84" s="2"/>
      <c r="I84" s="2">
        <f t="shared" si="3"/>
        <v>8.8656150522108842E-5</v>
      </c>
    </row>
    <row r="85" spans="1:9" x14ac:dyDescent="0.25">
      <c r="A85">
        <v>10.352997504202101</v>
      </c>
      <c r="B85">
        <v>1.1152400450875299</v>
      </c>
      <c r="G85">
        <f t="shared" si="4"/>
        <v>-7.7092597996619548E-5</v>
      </c>
      <c r="H85" s="2"/>
      <c r="I85" s="2">
        <f t="shared" si="3"/>
        <v>7.9662351263173534E-5</v>
      </c>
    </row>
    <row r="86" spans="1:9" x14ac:dyDescent="0.25">
      <c r="A86">
        <v>10.533306168186201</v>
      </c>
      <c r="B86">
        <v>1.10872535713464</v>
      </c>
      <c r="G86">
        <f t="shared" si="4"/>
        <v>-6.9523475477137038E-5</v>
      </c>
      <c r="H86" s="2"/>
      <c r="I86" s="2">
        <f t="shared" si="3"/>
        <v>7.1840924659708275E-5</v>
      </c>
    </row>
    <row r="87" spans="1:9" x14ac:dyDescent="0.25">
      <c r="A87">
        <v>10.716018947690101</v>
      </c>
      <c r="B87">
        <v>1.09026707460145</v>
      </c>
      <c r="G87">
        <f t="shared" si="4"/>
        <v>-6.2721726705023236E-5</v>
      </c>
      <c r="H87" s="2"/>
      <c r="I87" s="2">
        <f t="shared" si="3"/>
        <v>6.4812450928524015E-5</v>
      </c>
    </row>
    <row r="88" spans="1:9" x14ac:dyDescent="0.25">
      <c r="A88">
        <v>10.9195673950321</v>
      </c>
      <c r="B88">
        <v>1.06372575331191</v>
      </c>
      <c r="G88">
        <f t="shared" si="4"/>
        <v>-5.6038122692122935E-5</v>
      </c>
      <c r="H88" s="2"/>
      <c r="I88" s="2">
        <f t="shared" si="3"/>
        <v>5.7906060115193704E-5</v>
      </c>
    </row>
    <row r="89" spans="1:9" x14ac:dyDescent="0.25">
      <c r="A89">
        <v>11.105245250343801</v>
      </c>
      <c r="B89">
        <v>1.0377152584481599</v>
      </c>
      <c r="G89">
        <f t="shared" si="4"/>
        <v>-5.0655381840420714E-5</v>
      </c>
      <c r="H89" s="2"/>
      <c r="I89" s="2">
        <f t="shared" si="3"/>
        <v>5.234389456843474E-5</v>
      </c>
    </row>
    <row r="90" spans="1:9" x14ac:dyDescent="0.25">
      <c r="A90">
        <v>11.2757771778807</v>
      </c>
      <c r="B90">
        <v>1.01136696494981</v>
      </c>
      <c r="G90">
        <f t="shared" si="4"/>
        <v>-4.6235961782920741E-5</v>
      </c>
      <c r="H90" s="2"/>
      <c r="I90" s="2">
        <f t="shared" si="3"/>
        <v>4.7777160509018105E-5</v>
      </c>
    </row>
    <row r="91" spans="1:9" x14ac:dyDescent="0.25">
      <c r="A91">
        <v>11.5571922556693</v>
      </c>
      <c r="B91">
        <v>0.97420911514445097</v>
      </c>
      <c r="G91">
        <f t="shared" si="4"/>
        <v>-3.9887524158601335E-5</v>
      </c>
      <c r="H91" s="2"/>
      <c r="I91" s="2">
        <f t="shared" si="3"/>
        <v>4.1217108297221378E-5</v>
      </c>
    </row>
    <row r="92" spans="1:9" x14ac:dyDescent="0.25">
      <c r="A92">
        <v>11.7890558413555</v>
      </c>
      <c r="B92">
        <v>0.95056321072285699</v>
      </c>
      <c r="G92">
        <f t="shared" si="4"/>
        <v>-3.5411310827937997E-5</v>
      </c>
      <c r="H92" s="2"/>
      <c r="I92" s="2">
        <f t="shared" si="3"/>
        <v>3.6591687855535933E-5</v>
      </c>
    </row>
    <row r="93" spans="1:9" x14ac:dyDescent="0.25">
      <c r="A93">
        <v>12.0527071766923</v>
      </c>
      <c r="B93">
        <v>0.93282878240666101</v>
      </c>
      <c r="G93">
        <f t="shared" si="4"/>
        <v>-3.1015042074368078E-5</v>
      </c>
      <c r="H93" s="2"/>
      <c r="I93" s="2">
        <f t="shared" si="3"/>
        <v>3.2048876810180351E-5</v>
      </c>
    </row>
    <row r="94" spans="1:9" x14ac:dyDescent="0.25">
      <c r="A94">
        <v>12.1957520501196</v>
      </c>
      <c r="B94">
        <v>0.93282878240666101</v>
      </c>
      <c r="G94">
        <f t="shared" si="4"/>
        <v>-2.8897431139422572E-5</v>
      </c>
      <c r="H94" s="2"/>
      <c r="I94" s="2">
        <f t="shared" si="3"/>
        <v>2.9860678844069992E-5</v>
      </c>
    </row>
    <row r="95" spans="1:9" x14ac:dyDescent="0.25">
      <c r="A95">
        <v>12.4633301074721</v>
      </c>
      <c r="B95">
        <v>0.93282878240666101</v>
      </c>
      <c r="G95">
        <f t="shared" si="4"/>
        <v>-2.537215402245533E-5</v>
      </c>
      <c r="H95" s="2"/>
      <c r="I95" s="2">
        <f t="shared" si="3"/>
        <v>2.6217892489870507E-5</v>
      </c>
    </row>
    <row r="96" spans="1:9" x14ac:dyDescent="0.25">
      <c r="A96">
        <v>12.648927825599699</v>
      </c>
      <c r="B96">
        <v>0.94368659566147595</v>
      </c>
      <c r="G96">
        <f t="shared" si="4"/>
        <v>-2.3220462466232089E-5</v>
      </c>
      <c r="H96" s="2"/>
      <c r="I96" s="2">
        <f t="shared" si="3"/>
        <v>2.3994477881773159E-5</v>
      </c>
    </row>
    <row r="97" spans="1:9" x14ac:dyDescent="0.25">
      <c r="A97">
        <v>12.8287022416905</v>
      </c>
      <c r="B97">
        <v>0.95225220389582799</v>
      </c>
      <c r="G97">
        <f t="shared" si="4"/>
        <v>-2.133654689842121E-5</v>
      </c>
      <c r="H97" s="2"/>
      <c r="I97" s="2">
        <f t="shared" si="3"/>
        <v>2.2047765128368582E-5</v>
      </c>
    </row>
    <row r="98" spans="1:9" x14ac:dyDescent="0.25">
      <c r="A98">
        <v>13.070850099322501</v>
      </c>
      <c r="B98">
        <v>0.97387131650985703</v>
      </c>
      <c r="G98">
        <f t="shared" si="4"/>
        <v>-1.907349625890105E-5</v>
      </c>
      <c r="H98" s="2"/>
      <c r="I98" s="2">
        <f t="shared" si="3"/>
        <v>1.9709279467531084E-5</v>
      </c>
    </row>
    <row r="99" spans="1:9" x14ac:dyDescent="0.25">
      <c r="A99">
        <v>13.2223093770692</v>
      </c>
      <c r="B99">
        <v>0.99363253663361795</v>
      </c>
      <c r="G99">
        <f t="shared" si="4"/>
        <v>-1.7800323299094211E-5</v>
      </c>
      <c r="H99" s="2"/>
      <c r="I99" s="2">
        <f t="shared" ref="I99:I107" si="5">4*$L$3*(($K$3/(A99*0.0000000001))^12-($K$3/(A99*0.0000000001))^6)+($M$3*$N$3*$Q$3^2)/(4*PI()*$R$3*(A99*0.0000000001))*EXP(-(A99*0.0000000001)/$O$3)</f>
        <v>1.8393667409064017E-5</v>
      </c>
    </row>
    <row r="100" spans="1:9" x14ac:dyDescent="0.25">
      <c r="A100">
        <v>13.5487882646564</v>
      </c>
      <c r="B100">
        <v>1.01947413218007</v>
      </c>
      <c r="G100">
        <f t="shared" si="4"/>
        <v>-1.5378152584338963E-5</v>
      </c>
      <c r="H100" s="2"/>
      <c r="I100" s="2">
        <f t="shared" si="5"/>
        <v>1.5890757670483596E-5</v>
      </c>
    </row>
    <row r="101" spans="1:9" x14ac:dyDescent="0.25">
      <c r="A101">
        <v>13.740396271583499</v>
      </c>
      <c r="B101">
        <v>1.0327206643509399</v>
      </c>
      <c r="G101">
        <f t="shared" si="4"/>
        <v>-1.4136091920599867E-5</v>
      </c>
      <c r="H101" s="2"/>
      <c r="I101" s="2">
        <f t="shared" si="5"/>
        <v>1.4607294984619863E-5</v>
      </c>
    </row>
    <row r="102" spans="1:9" x14ac:dyDescent="0.25">
      <c r="A102">
        <v>13.9038761269291</v>
      </c>
      <c r="B102">
        <v>1.03923535230383</v>
      </c>
      <c r="G102">
        <f t="shared" si="4"/>
        <v>-1.3168114699201388E-5</v>
      </c>
      <c r="H102" s="2"/>
      <c r="I102" s="2">
        <f t="shared" si="5"/>
        <v>1.3607051855841434E-5</v>
      </c>
    </row>
    <row r="103" spans="1:9" x14ac:dyDescent="0.25">
      <c r="A103">
        <v>14.1394794478683</v>
      </c>
      <c r="B103">
        <v>1.0468358215822</v>
      </c>
      <c r="G103">
        <f t="shared" si="4"/>
        <v>-1.1905748707218983E-5</v>
      </c>
      <c r="H103" s="2"/>
      <c r="I103" s="2">
        <f t="shared" si="5"/>
        <v>1.2302606997459617E-5</v>
      </c>
    </row>
    <row r="104" spans="1:9" x14ac:dyDescent="0.25">
      <c r="A104">
        <v>14.290938725615</v>
      </c>
      <c r="B104">
        <v>1.0468358215822</v>
      </c>
      <c r="G104">
        <f t="shared" si="4"/>
        <v>-1.1168719317417393E-5</v>
      </c>
      <c r="H104" s="2"/>
      <c r="I104" s="2">
        <f t="shared" si="5"/>
        <v>1.1541009961331307E-5</v>
      </c>
    </row>
    <row r="105" spans="1:9" x14ac:dyDescent="0.25">
      <c r="A105">
        <v>14.5265420465542</v>
      </c>
      <c r="B105">
        <v>1.03888987642754</v>
      </c>
      <c r="G105">
        <f t="shared" si="4"/>
        <v>-1.0125338877281021E-5</v>
      </c>
      <c r="H105" s="2"/>
      <c r="I105" s="2">
        <f t="shared" si="5"/>
        <v>1.0462850173190388E-5</v>
      </c>
    </row>
    <row r="106" spans="1:9" x14ac:dyDescent="0.25">
      <c r="A106">
        <v>14.725682948776701</v>
      </c>
      <c r="B106">
        <v>1.029101393266</v>
      </c>
      <c r="G106">
        <f t="shared" si="4"/>
        <v>-9.3312939867604754E-6</v>
      </c>
      <c r="H106" s="2"/>
      <c r="I106" s="2">
        <f t="shared" si="5"/>
        <v>9.6423371196524911E-6</v>
      </c>
    </row>
    <row r="107" spans="1:9" x14ac:dyDescent="0.25">
      <c r="A107">
        <v>14.8986457042281</v>
      </c>
      <c r="B107">
        <v>1.01812293764169</v>
      </c>
      <c r="G107">
        <f t="shared" si="4"/>
        <v>-8.700073805907991E-6</v>
      </c>
      <c r="H107" s="2"/>
      <c r="I107" s="2">
        <f t="shared" si="5"/>
        <v>8.9900762661049243E-6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5B36-8FC9-456B-9DF2-95376578DC53}">
  <dimension ref="A1:AC112"/>
  <sheetViews>
    <sheetView tabSelected="1" workbookViewId="0">
      <selection activeCell="K9" sqref="K9"/>
    </sheetView>
  </sheetViews>
  <sheetFormatPr defaultRowHeight="15" x14ac:dyDescent="0.25"/>
  <cols>
    <col min="13" max="13" width="12" bestFit="1" customWidth="1"/>
    <col min="14" max="14" width="12.7109375" bestFit="1" customWidth="1"/>
    <col min="17" max="17" width="12" bestFit="1" customWidth="1"/>
    <col min="18" max="18" width="12" customWidth="1"/>
    <col min="19" max="19" width="12" bestFit="1" customWidth="1"/>
    <col min="25" max="25" width="11" bestFit="1" customWidth="1"/>
  </cols>
  <sheetData>
    <row r="1" spans="1:29" x14ac:dyDescent="0.25">
      <c r="A1" t="s">
        <v>0</v>
      </c>
      <c r="C1" t="s">
        <v>1</v>
      </c>
      <c r="E1" t="s">
        <v>2</v>
      </c>
      <c r="G1" t="s">
        <v>43</v>
      </c>
      <c r="I1" t="s">
        <v>46</v>
      </c>
      <c r="J1">
        <f>1</f>
        <v>1</v>
      </c>
    </row>
    <row r="2" spans="1:29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G2" t="s">
        <v>0</v>
      </c>
      <c r="H2" t="s">
        <v>1</v>
      </c>
      <c r="I2" t="s">
        <v>47</v>
      </c>
      <c r="J2">
        <f>K8</f>
        <v>4.30268684870373</v>
      </c>
    </row>
    <row r="3" spans="1:29" x14ac:dyDescent="0.25">
      <c r="A3">
        <v>2.3172413793103401</v>
      </c>
      <c r="B3">
        <v>3.0273055600285401E-2</v>
      </c>
      <c r="C3">
        <v>3.1839250241939498</v>
      </c>
      <c r="D3">
        <v>1.77129580639956E-3</v>
      </c>
      <c r="E3">
        <v>2.7632048082310399</v>
      </c>
      <c r="F3">
        <v>1.7663186115718099E-2</v>
      </c>
      <c r="I3" t="s">
        <v>48</v>
      </c>
      <c r="J3">
        <f>J8</f>
        <v>2.7884480211888101</v>
      </c>
      <c r="V3" s="2"/>
      <c r="W3" s="2"/>
      <c r="X3" s="2"/>
      <c r="Y3" s="2"/>
      <c r="Z3" s="2"/>
      <c r="AA3" s="2"/>
      <c r="AB3" s="2"/>
      <c r="AC3" s="2"/>
    </row>
    <row r="4" spans="1:29" x14ac:dyDescent="0.25">
      <c r="A4">
        <v>2.3761422095451499</v>
      </c>
      <c r="B4">
        <v>0.13857974281704999</v>
      </c>
      <c r="C4">
        <v>3.3615069865362699</v>
      </c>
      <c r="D4">
        <v>3.9012163920266199E-2</v>
      </c>
      <c r="E4">
        <v>2.9483217032547202</v>
      </c>
      <c r="F4">
        <v>5.6011008383855199E-2</v>
      </c>
      <c r="G4" t="str">
        <f>IF(AND(C3&gt;=C2, C3&gt;C4), C3, "")</f>
        <v/>
      </c>
      <c r="H4" t="str">
        <f>IF(AND(D3&gt;=D2, D3&gt;D4), D3, "")</f>
        <v/>
      </c>
      <c r="I4" t="s">
        <v>49</v>
      </c>
      <c r="J4">
        <f>J1*J2*J3^-1</f>
        <v>1.5430400050524695</v>
      </c>
      <c r="Q4" s="1"/>
      <c r="R4" s="1"/>
    </row>
    <row r="5" spans="1:29" x14ac:dyDescent="0.25">
      <c r="A5">
        <v>2.4097998268221801</v>
      </c>
      <c r="B5">
        <v>0.27918842446688602</v>
      </c>
      <c r="C5">
        <v>3.4447715580909701</v>
      </c>
      <c r="D5">
        <v>0.122428745600515</v>
      </c>
      <c r="E5">
        <v>3.0997809810013699</v>
      </c>
      <c r="F5">
        <v>0.134236617515125</v>
      </c>
      <c r="G5" t="str">
        <f>IF(AND(B4&gt;=B3, B4&gt;B5), B4, "")</f>
        <v/>
      </c>
      <c r="H5" t="str">
        <f>IF(AND(D4&gt;=D3, D4&gt;D5), D4, "")</f>
        <v/>
      </c>
      <c r="J5" s="1" t="s">
        <v>39</v>
      </c>
      <c r="K5" s="1" t="s">
        <v>39</v>
      </c>
      <c r="M5" s="1"/>
      <c r="N5" s="1" t="s">
        <v>40</v>
      </c>
      <c r="O5" s="1" t="s">
        <v>40</v>
      </c>
    </row>
    <row r="6" spans="1:29" x14ac:dyDescent="0.25">
      <c r="A6">
        <v>2.4350430397799601</v>
      </c>
      <c r="B6">
        <v>0.45997101515953098</v>
      </c>
      <c r="C6">
        <v>3.5036723883257701</v>
      </c>
      <c r="D6">
        <v>0.22218490487911499</v>
      </c>
      <c r="E6">
        <v>3.2007538328324698</v>
      </c>
      <c r="F6">
        <v>0.22294495180695201</v>
      </c>
      <c r="G6" t="str">
        <f>IF(AND(B5&gt;=B4, B5&gt;B6), B5, "")</f>
        <v/>
      </c>
      <c r="H6" t="str">
        <f>IF(AND(D5&gt;=D4, D5&gt;D6), D5, "")</f>
        <v/>
      </c>
      <c r="J6" t="s">
        <v>0</v>
      </c>
      <c r="L6" s="1" t="s">
        <v>45</v>
      </c>
      <c r="N6" t="s">
        <v>1</v>
      </c>
      <c r="P6" s="1" t="s">
        <v>45</v>
      </c>
    </row>
    <row r="7" spans="1:29" x14ac:dyDescent="0.25">
      <c r="A7">
        <v>2.4602862527377298</v>
      </c>
      <c r="B7">
        <v>0.64021071518943695</v>
      </c>
      <c r="C7">
        <v>3.5541588142413199</v>
      </c>
      <c r="D7">
        <v>0.33872543381411402</v>
      </c>
      <c r="E7">
        <v>3.2764834717058</v>
      </c>
      <c r="F7">
        <v>0.30864024292056702</v>
      </c>
      <c r="G7" t="str">
        <f>IF(AND(B6&gt;=B5, B6&gt;B7), B6, "")</f>
        <v/>
      </c>
      <c r="H7" t="str">
        <f>IF(AND(D6&gt;=D5, D6&gt;D7), D6, "")</f>
        <v/>
      </c>
      <c r="I7" t="s">
        <v>35</v>
      </c>
      <c r="J7" t="s">
        <v>37</v>
      </c>
      <c r="K7" t="s">
        <v>36</v>
      </c>
      <c r="L7" t="s">
        <v>1</v>
      </c>
      <c r="N7" t="s">
        <v>37</v>
      </c>
      <c r="O7" t="s">
        <v>36</v>
      </c>
      <c r="P7" t="s">
        <v>0</v>
      </c>
    </row>
    <row r="8" spans="1:29" x14ac:dyDescent="0.25">
      <c r="A8">
        <v>2.4602862527377298</v>
      </c>
      <c r="B8">
        <v>0.75801798900416295</v>
      </c>
      <c r="C8">
        <v>3.60464524015687</v>
      </c>
      <c r="D8">
        <v>0.45304915920958799</v>
      </c>
      <c r="E8">
        <v>3.34379870625986</v>
      </c>
      <c r="F8">
        <v>0.40364610890018598</v>
      </c>
      <c r="G8" t="str">
        <f>IF(AND(B7&gt;=B6, B7&gt;B8), B7, "")</f>
        <v/>
      </c>
      <c r="H8" t="str">
        <f>IF(AND(D7&gt;=D6, D7&gt;D8), D7, "")</f>
        <v/>
      </c>
      <c r="I8">
        <v>1</v>
      </c>
      <c r="J8">
        <f>IFERROR(INDEX(A$3:A$200, MATCH(K8, B$3:B$200, 0)),0)</f>
        <v>2.7884480211888101</v>
      </c>
      <c r="K8" s="1">
        <f>IFERROR(LARGE(G$4:G$108,I8),0)</f>
        <v>4.30268684870373</v>
      </c>
      <c r="L8">
        <f>IFERROR(_xlfn.FORECAST.LINEAR(
  J$8,
  INDEX(D$3:D$82, MATCH(J$8, C$3:C$82, 1)):INDEX(D$3:D$82, MATCH(J$8, C$3:C$82, 1)+1),
  INDEX(C$3:C$82, MATCH(J$8, C$3:C$82, 1)):INDEX(C3:C$82, MATCH(J$8, C$3:C$82, 1)+1)
),0)</f>
        <v>0</v>
      </c>
      <c r="N8">
        <f>INDEX(C$3:C$200, MATCH(O8, D$3:D$200, 0))</f>
        <v>4.3282840116130998</v>
      </c>
      <c r="O8" s="1">
        <f>LARGE(H$4:H$108,I8)</f>
        <v>1.96407427313088</v>
      </c>
      <c r="P8">
        <f>IFERROR(_xlfn.FORECAST.LINEAR(
  N8,
  INDEX($B$3:$B$200, MATCH(N8, $A$3:$A$200, 1)):INDEX($B$3:$B$200, MATCH(N8, $A$3:$A$200, 1)+1),
  INDEX($A$3:$A$200, MATCH(N8, $A$3:$A$200, 1)):INDEX($A$3:$A$200, MATCH(N8, $A$3:$A$200, 1)+1)
),0)</f>
        <v>0.46213360441111007</v>
      </c>
    </row>
    <row r="9" spans="1:29" x14ac:dyDescent="0.25">
      <c r="A9">
        <v>2.4855294656955098</v>
      </c>
      <c r="B9">
        <v>0.95278001426238201</v>
      </c>
      <c r="C9">
        <v>3.62988845311465</v>
      </c>
      <c r="D9">
        <v>0.55660555312737203</v>
      </c>
      <c r="E9">
        <v>3.4153211429735602</v>
      </c>
      <c r="F9">
        <v>0.50625244415817505</v>
      </c>
      <c r="G9" t="str">
        <f>IF(AND(B8&gt;=B7, B8&gt;B9), B8, "")</f>
        <v/>
      </c>
      <c r="H9" t="str">
        <f>IF(AND(D8&gt;=D7, D8&gt;D9), D8, "")</f>
        <v/>
      </c>
      <c r="I9">
        <v>2</v>
      </c>
      <c r="J9">
        <f>IFERROR(INDEX(A$3:A$200, MATCH(K9, B$3:B$200, 0)),0)</f>
        <v>6.4705913512962798</v>
      </c>
      <c r="K9" s="1">
        <f>IFERROR(LARGE(G$4:G$108,I9),0)</f>
        <v>1.36263532009845</v>
      </c>
      <c r="L9">
        <f>IFERROR(_xlfn.FORECAST.LINEAR(
  J9,
  INDEX(D$3:D$82, MATCH(J9, C$3:C$82, 1)):INDEX(D$3:D$82, MATCH(J9, C$3:C$82, 1)+1),
  INDEX(C$3:C$82, MATCH(J9, C$3:C$82, 1)):INDEX(C$3:C$82, MATCH(J9, C$3:C$82, 1)+1)
),0)</f>
        <v>0.67835439262158415</v>
      </c>
      <c r="N9">
        <f>INDEX(C$3:C$200, MATCH(O9, D$3:D$200, 0))</f>
        <v>8.4008557021341606</v>
      </c>
      <c r="O9" s="1">
        <f>LARGE(H$4:H$108,I9)</f>
        <v>1.22233756673728</v>
      </c>
      <c r="P9">
        <f>IFERROR(_xlfn.FORECAST.LINEAR(
  N9,
  INDEX($B$3:$B$200, MATCH(N9, $A$3:$A$200, 1)):INDEX($B$3:$B$200, MATCH(N9, $A$3:$A$200, 1)+1),
  INDEX($A$3:$A$200, MATCH(N9, $A$3:$A$200, 1)):INDEX($A$3:$A$200, MATCH(N9, $A$3:$A$200, 1)+1)
),0)</f>
        <v>0.83535027467491008</v>
      </c>
    </row>
    <row r="10" spans="1:29" x14ac:dyDescent="0.25">
      <c r="A10">
        <v>2.51077267865328</v>
      </c>
      <c r="B10">
        <v>1.21024591106714</v>
      </c>
      <c r="C10">
        <v>3.6685947129832401</v>
      </c>
      <c r="D10">
        <v>0.66301212302454504</v>
      </c>
      <c r="E10">
        <v>3.4531859624102199</v>
      </c>
      <c r="F10">
        <v>0.58447394048139401</v>
      </c>
      <c r="G10" t="str">
        <f>IF(AND(B9&gt;=B8, B9&gt;B10), B9, "")</f>
        <v/>
      </c>
      <c r="H10" t="str">
        <f>IF(AND(D9&gt;=D8, D9&gt;D10), D9, "")</f>
        <v/>
      </c>
      <c r="I10">
        <v>3</v>
      </c>
      <c r="J10">
        <f>IFERROR(INDEX(A$3:A$200, MATCH(K10, B$3:B$200, 0)),0)</f>
        <v>10.352997504202101</v>
      </c>
      <c r="K10" s="1">
        <f>IFERROR(LARGE(G$4:G$108,I10),0)</f>
        <v>1.1152400450875299</v>
      </c>
      <c r="L10">
        <f>IFERROR(_xlfn.FORECAST.LINEAR(
  J10,
  INDEX(D$3:D$82, MATCH(J10, C$3:C$82, 1)):INDEX(D$3:D$82, MATCH(J10, C$3:C$82, 1)+1),
  INDEX(C$3:C$82, MATCH(J10, C$3:C$82, 1)):INDEX(C$3:C$82, MATCH(J10, C$3:C$82, 1)+1)
),0)</f>
        <v>0.8763905869800912</v>
      </c>
      <c r="N10">
        <f>INDEX(C$3:C$200, MATCH(O10, D$3:D$200, 0))</f>
        <v>12.30513930627</v>
      </c>
      <c r="O10" s="1">
        <f>LARGE(H$4:H$108,I10)</f>
        <v>1.0810379333348601</v>
      </c>
      <c r="P10">
        <f>IFERROR(_xlfn.FORECAST.LINEAR(
  N10,
  INDEX($B$3:$B$200, MATCH(N10, $A$3:$A$200, 1)):INDEX($B$3:$B$200, MATCH(N10, $A$3:$A$200, 1)+1),
  INDEX($A$3:$A$200, MATCH(N10, $A$3:$A$200, 1)):INDEX($A$3:$A$200, MATCH(N10, $A$3:$A$200, 1)+1)
),0)</f>
        <v>0.93282878240666101</v>
      </c>
    </row>
    <row r="11" spans="1:29" x14ac:dyDescent="0.25">
      <c r="A11">
        <v>2.5332110901713101</v>
      </c>
      <c r="B11">
        <v>1.65335326999609</v>
      </c>
      <c r="C11">
        <v>3.7056180919879802</v>
      </c>
      <c r="D11">
        <v>0.79982057003519602</v>
      </c>
      <c r="E11">
        <v>3.5036723883257701</v>
      </c>
      <c r="F11">
        <v>0.66586229900393401</v>
      </c>
      <c r="G11" t="str">
        <f>IF(AND(B10&gt;=B9, B10&gt;B11), B10, "")</f>
        <v/>
      </c>
      <c r="H11" t="str">
        <f>IF(AND(D10&gt;=D9, D10&gt;D11), D10, "")</f>
        <v/>
      </c>
      <c r="I11">
        <v>4</v>
      </c>
      <c r="J11">
        <f>IFERROR(INDEX(A$3:A$200, MATCH(K11, B$3:B$200, 0)),0)</f>
        <v>14.1394794478683</v>
      </c>
      <c r="K11" s="1">
        <f>IFERROR(LARGE(G$4:G$108,I11),0)</f>
        <v>1.0468358215822</v>
      </c>
      <c r="L11">
        <f>IFERROR(_xlfn.FORECAST.LINEAR(
  J11,
  INDEX(D$3:D$82, MATCH(J11, C$3:C$82, 1)):INDEX(D$3:D$82, MATCH(J11, C$3:C$82, 1)+1),
  INDEX(C$3:C$82, MATCH(J11, C$3:C$82, 1)):INDEX(C$3:C$82, MATCH(J11, C$3:C$82, 1)+1)
),0)</f>
        <v>0.94589405190997589</v>
      </c>
      <c r="O11" s="1"/>
      <c r="P11">
        <f>IFERROR(_xlfn.FORECAST.LINEAR(
  N11,
  INDEX($B$3:$B$200, MATCH(N11, $A$3:$A$200, 1)):INDEX($B$3:$B$200, MATCH(N11, $A$3:$A$200, 1)+1),
  INDEX($A$3:$A$200, MATCH(N11, $A$3:$A$200, 1)):INDEX($A$3:$A$200, MATCH(N11, $A$3:$A$200, 1)+1)
),0)</f>
        <v>0</v>
      </c>
    </row>
    <row r="12" spans="1:29" x14ac:dyDescent="0.25">
      <c r="A12">
        <v>2.54443029593032</v>
      </c>
      <c r="B12">
        <v>1.76127993374893</v>
      </c>
      <c r="C12">
        <v>3.73086130494575</v>
      </c>
      <c r="D12">
        <v>0.91002737457155303</v>
      </c>
      <c r="E12">
        <v>3.5541588142413199</v>
      </c>
      <c r="F12">
        <v>0.76181822364334895</v>
      </c>
      <c r="G12" t="str">
        <f>IF(AND(B11&gt;=B10, B11&gt;B12), B11, "")</f>
        <v/>
      </c>
      <c r="H12" t="str">
        <f>IF(AND(D11&gt;=D10, D11&gt;D12), D11, "")</f>
        <v/>
      </c>
      <c r="I12">
        <v>5</v>
      </c>
      <c r="J12">
        <f>IFERROR(INDEX(A$3:A$200, MATCH(K12, B$3:B$200, 0)),0)</f>
        <v>0</v>
      </c>
      <c r="K12" s="1">
        <f>IFERROR(LARGE(G$4:G$108,I12),0)</f>
        <v>0</v>
      </c>
      <c r="L12">
        <f>IFERROR(_xlfn.FORECAST.LINEAR(
  J12,
  INDEX(D$3:D$82, MATCH(J12, C$3:C$82, 1)):INDEX(D$3:D$82, MATCH(J12, C$3:C$82, 1)+1),
  INDEX(C$3:C$82, MATCH(J12, C$3:C$82, 1)):INDEX(C$3:C$82, MATCH(J12, C$3:C$82, 1)+1)
),0)</f>
        <v>0</v>
      </c>
      <c r="O12" s="1"/>
      <c r="P12">
        <f>IFERROR(_xlfn.FORECAST.LINEAR(
  N12,
  INDEX($B$3:$B$200, MATCH(N12, $A$3:$A$200, 1)):INDEX($B$3:$B$200, MATCH(N12, $A$3:$A$200, 1)+1),
  INDEX($A$3:$A$200, MATCH(N12, $A$3:$A$200, 1)):INDEX($A$3:$A$200, MATCH(N12, $A$3:$A$200, 1)+1)
),0)</f>
        <v>0</v>
      </c>
    </row>
    <row r="13" spans="1:29" x14ac:dyDescent="0.25">
      <c r="A13">
        <v>2.5612591045688302</v>
      </c>
      <c r="B13">
        <v>1.96649260426491</v>
      </c>
      <c r="C13">
        <v>3.7695675648143401</v>
      </c>
      <c r="D13">
        <v>1.01643394446872</v>
      </c>
      <c r="E13">
        <v>3.6186692473556401</v>
      </c>
      <c r="F13">
        <v>0.87392514549929801</v>
      </c>
      <c r="G13" t="str">
        <f>IF(AND(B12&gt;=B11, B12&gt;B13), B12, "")</f>
        <v/>
      </c>
      <c r="H13" t="str">
        <f>IF(AND(D12&gt;=D11, D12&gt;D13), D12, "")</f>
        <v/>
      </c>
      <c r="I13">
        <v>6</v>
      </c>
      <c r="J13">
        <f>IFERROR(INDEX(A$3:A$200, MATCH(K13, B$3:B$200, 0)),0)</f>
        <v>0</v>
      </c>
      <c r="K13" s="1">
        <f>IFERROR(LARGE(G$4:G$108,I13),0)</f>
        <v>0</v>
      </c>
      <c r="L13">
        <f>IFERROR(_xlfn.FORECAST.LINEAR(
  J13,
  INDEX(D$3:D$82, MATCH(J13, C$3:C$82, 1)):INDEX(D$3:D$82, MATCH(J13, C$3:C$82, 1)+1),
  INDEX(C$3:C$82, MATCH(J13, C$3:C$82, 1)):INDEX(C$3:C$82, MATCH(J13, C$3:C$82, 1)+1)
),0)</f>
        <v>0</v>
      </c>
      <c r="O13" s="1"/>
      <c r="P13">
        <f>IFERROR(_xlfn.FORECAST.LINEAR(
  N13,
  INDEX($B$3:$B$200, MATCH(N13, $A$3:$A$200, 1)):INDEX($B$3:$B$200, MATCH(N13, $A$3:$A$200, 1)+1),
  INDEX($A$3:$A$200, MATCH(N13, $A$3:$A$200, 1)):INDEX($A$3:$A$200, MATCH(N13, $A$3:$A$200, 1)+1)
),0)</f>
        <v>0</v>
      </c>
    </row>
    <row r="14" spans="1:29" x14ac:dyDescent="0.25">
      <c r="A14">
        <v>2.5780879132073502</v>
      </c>
      <c r="B14">
        <v>2.42927673365896</v>
      </c>
      <c r="C14">
        <v>3.8065909438190801</v>
      </c>
      <c r="D14">
        <v>1.16179291941754</v>
      </c>
      <c r="E14">
        <v>3.6677532725513098</v>
      </c>
      <c r="F14">
        <v>0.97748153941708205</v>
      </c>
      <c r="G14" t="str">
        <f>IF(AND(B13&gt;=B12, B13&gt;B14), B13, "")</f>
        <v/>
      </c>
      <c r="H14" t="str">
        <f>IF(AND(D13&gt;=D12, D13&gt;D14), D13, "")</f>
        <v/>
      </c>
      <c r="J14" s="2"/>
      <c r="K14" s="2"/>
    </row>
    <row r="15" spans="1:29" x14ac:dyDescent="0.25">
      <c r="A15">
        <v>2.61174553048438</v>
      </c>
      <c r="B15">
        <v>2.93175220261783</v>
      </c>
      <c r="C15">
        <v>3.8402485610961099</v>
      </c>
      <c r="D15">
        <v>1.29309102620137</v>
      </c>
      <c r="E15">
        <v>3.7056180919879802</v>
      </c>
      <c r="F15">
        <v>1.05950327037948</v>
      </c>
      <c r="G15" t="str">
        <f>IF(AND(B14&gt;=B13, B14&gt;B15), B14, "")</f>
        <v/>
      </c>
      <c r="H15" t="str">
        <f>IF(AND(D14&gt;=D13, D14&gt;D15), D14, "")</f>
        <v/>
      </c>
      <c r="J15" s="2"/>
      <c r="K15" s="2"/>
    </row>
    <row r="16" spans="1:29" x14ac:dyDescent="0.25">
      <c r="A16">
        <v>2.6369887434421599</v>
      </c>
      <c r="B16">
        <v>3.2664103655310401</v>
      </c>
      <c r="C16">
        <v>3.8823205826924001</v>
      </c>
      <c r="D16">
        <v>1.4221089922016901</v>
      </c>
      <c r="E16">
        <v>3.7561045179035299</v>
      </c>
      <c r="F16">
        <v>1.14184168756182</v>
      </c>
      <c r="G16" t="str">
        <f>IF(AND(B15&gt;=B14, B15&gt;B16), B15, "")</f>
        <v/>
      </c>
      <c r="H16" t="str">
        <f>IF(AND(D15&gt;=D14, D15&gt;D16), D15, "")</f>
        <v/>
      </c>
      <c r="J16" s="2" t="s">
        <v>38</v>
      </c>
      <c r="K16" s="2"/>
    </row>
    <row r="17" spans="1:24" x14ac:dyDescent="0.25">
      <c r="A17">
        <v>2.6622319563999302</v>
      </c>
      <c r="B17">
        <v>3.5093878677739099</v>
      </c>
      <c r="C17">
        <v>3.91878300140919</v>
      </c>
      <c r="D17">
        <v>1.51553142708165</v>
      </c>
      <c r="E17">
        <v>3.8192125502979599</v>
      </c>
      <c r="F17">
        <v>1.25964896137655</v>
      </c>
      <c r="G17" t="str">
        <f>IF(AND(B16&gt;=B15, B16&gt;B17), B16, "")</f>
        <v/>
      </c>
      <c r="H17" t="str">
        <f>IF(AND(D16&gt;=D15, D16&gt;D17), D16, "")</f>
        <v/>
      </c>
      <c r="K17" s="2" t="s">
        <v>43</v>
      </c>
      <c r="L17" s="2" t="s">
        <v>44</v>
      </c>
      <c r="S17">
        <v>1</v>
      </c>
    </row>
    <row r="18" spans="1:24" x14ac:dyDescent="0.25">
      <c r="A18">
        <v>2.6846703679179602</v>
      </c>
      <c r="B18">
        <v>3.8248073428262499</v>
      </c>
      <c r="C18">
        <v>3.9580502215657298</v>
      </c>
      <c r="D18">
        <v>1.63333870089638</v>
      </c>
      <c r="E18">
        <v>3.8654917740538801</v>
      </c>
      <c r="F18">
        <v>1.33755377147983</v>
      </c>
      <c r="G18" t="str">
        <f>IF(AND(B17&gt;=B16, B17&gt;B18), B17, "")</f>
        <v/>
      </c>
      <c r="H18" t="str">
        <f>IF(AND(D17&gt;=D16, D17&gt;D18), D17, "")</f>
        <v/>
      </c>
      <c r="I18" t="s">
        <v>35</v>
      </c>
      <c r="J18" t="s">
        <v>37</v>
      </c>
      <c r="K18" t="s">
        <v>36</v>
      </c>
      <c r="L18" t="s">
        <v>36</v>
      </c>
      <c r="N18" t="s">
        <v>42</v>
      </c>
      <c r="O18" t="s">
        <v>41</v>
      </c>
      <c r="P18" t="s">
        <v>50</v>
      </c>
      <c r="Q18" t="s">
        <v>56</v>
      </c>
      <c r="R18" t="s">
        <v>57</v>
      </c>
      <c r="S18" t="s">
        <v>51</v>
      </c>
      <c r="T18" t="s">
        <v>52</v>
      </c>
      <c r="U18" t="s">
        <v>53</v>
      </c>
      <c r="V18" t="s">
        <v>55</v>
      </c>
      <c r="W18" t="s">
        <v>54</v>
      </c>
    </row>
    <row r="19" spans="1:24" x14ac:dyDescent="0.25">
      <c r="A19">
        <v>2.7160698823409501</v>
      </c>
      <c r="B19">
        <v>4.0616134894527303</v>
      </c>
      <c r="C19">
        <v>4.0085366474812796</v>
      </c>
      <c r="D19">
        <v>1.7473457400719199</v>
      </c>
      <c r="E19">
        <v>3.9412214129272098</v>
      </c>
      <c r="F19">
        <v>1.4390200363460699</v>
      </c>
      <c r="G19" t="str">
        <f>IF(AND(B18&gt;=B17, B18&gt;B19), B18, "")</f>
        <v/>
      </c>
      <c r="H19" t="str">
        <f>IF(AND(D18&gt;=D17, D18&gt;D19), D18, "")</f>
        <v/>
      </c>
      <c r="I19">
        <v>1</v>
      </c>
      <c r="J19" s="2">
        <v>2.7884480211888101</v>
      </c>
      <c r="K19">
        <v>4.30268684870373</v>
      </c>
      <c r="L19">
        <f>SUM(K8:M8)</f>
        <v>4.30268684870373</v>
      </c>
      <c r="M19" s="2" t="str">
        <f>IF(ISODD(ROW()), $J$5, $N$5)</f>
        <v>+-</v>
      </c>
      <c r="N19" s="5">
        <f>IFERROR(1-(K19/L19),0)</f>
        <v>0</v>
      </c>
      <c r="O19" s="4">
        <f>IFERROR(1-(K19/K18),0)</f>
        <v>0</v>
      </c>
      <c r="P19">
        <f>N19/(1-N19)</f>
        <v>0</v>
      </c>
      <c r="Q19">
        <f>O19/(1-O19)</f>
        <v>0</v>
      </c>
      <c r="R19">
        <f>SUM(P19:Q19)</f>
        <v>0</v>
      </c>
      <c r="T19">
        <f>EXP(S19)</f>
        <v>1</v>
      </c>
      <c r="U19" s="3">
        <f>T19*J19</f>
        <v>2.7884480211888101</v>
      </c>
      <c r="V19" s="3">
        <f>T27/J27</f>
        <v>1.9222733924835492E-2</v>
      </c>
      <c r="W19">
        <f>IFERROR(_xlfn.FORECAST.LINEAR(
  V19,
  INDEX(J19:J26, MATCH(V19, S19:S26, 1)):INDEX(J19:J26, MATCH(V19, S19:S26, 1)+1),
  INDEX(S19:S26, MATCH(V19, S19:S26, 1)):INDEX(S19:S26, MATCH(V19, S19:S26, 1)+1)
),0)</f>
        <v>0</v>
      </c>
      <c r="X19">
        <f>IFERROR(_xlfn.FORECAST.LINEAR(
  V19,
  INDEX(S19:S26, MATCH(V19, J19:J26, 1)):INDEX(S19:S26, MATCH(V19, J19:J26, 1)+1),
  INDEX(J19:J26, MATCH(V19, J19:J26, 1)):INDEX(J19:J26, MATCH(V19, J19:J26, 1)+1)
),0)</f>
        <v>0</v>
      </c>
    </row>
    <row r="20" spans="1:24" x14ac:dyDescent="0.25">
      <c r="A20">
        <v>2.7367493505831999</v>
      </c>
      <c r="B20">
        <v>4.2152814520024799</v>
      </c>
      <c r="C20">
        <v>4.0674374777160898</v>
      </c>
      <c r="D20">
        <v>1.8572358583883499</v>
      </c>
      <c r="E20">
        <v>4.0421942647583098</v>
      </c>
      <c r="F20">
        <v>1.5392376526879901</v>
      </c>
      <c r="G20" t="str">
        <f>IF(AND(B19&gt;=B18, B19&gt;B20), B19, "")</f>
        <v/>
      </c>
      <c r="H20" t="str">
        <f>IF(AND(D19&gt;=D18, D19&gt;D20), D19, "")</f>
        <v/>
      </c>
      <c r="I20">
        <v>2</v>
      </c>
      <c r="J20" s="2">
        <v>4.3282840116130998</v>
      </c>
      <c r="K20" s="2">
        <v>1.96407427313088</v>
      </c>
      <c r="L20">
        <f>SUM(O8:P8)</f>
        <v>2.42620787754199</v>
      </c>
      <c r="M20" s="2" t="str">
        <f>IF(ISODD(ROW()), $J$5, $N$5)</f>
        <v>++</v>
      </c>
      <c r="N20" s="5">
        <f>IFERROR(1-(K20/L20),0)</f>
        <v>0.19047568375686796</v>
      </c>
      <c r="O20" s="4">
        <f>IFERROR((1-(K20/K19)),0)</f>
        <v>0.5435237696365014</v>
      </c>
      <c r="P20">
        <f>N20/(1-N20)</f>
        <v>0.23529334441840363</v>
      </c>
      <c r="Q20">
        <f>O20/(1-O20)</f>
        <v>1.1906945717714275</v>
      </c>
      <c r="R20">
        <f>SUM(P20:Q20)</f>
        <v>1.425987916189831</v>
      </c>
      <c r="S20" s="2">
        <f>-R20*(J20-J19)</f>
        <v>-2.1957875152592377</v>
      </c>
      <c r="T20">
        <f>EXP(SUM(S$19:$S20))</f>
        <v>0.11127089946061003</v>
      </c>
      <c r="U20" s="3">
        <f>T20*J20</f>
        <v>0.48161205509316707</v>
      </c>
      <c r="V20" s="3"/>
    </row>
    <row r="21" spans="1:24" x14ac:dyDescent="0.25">
      <c r="A21">
        <v>2.7884480211888101</v>
      </c>
      <c r="B21">
        <v>4.30268684870373</v>
      </c>
      <c r="C21">
        <v>4.1684103295471902</v>
      </c>
      <c r="D21">
        <v>1.9536668123576599</v>
      </c>
      <c r="E21">
        <v>4.1936535425049604</v>
      </c>
      <c r="F21">
        <v>1.6068522170475099</v>
      </c>
      <c r="G21" t="str">
        <f>IF(AND(B20&gt;=B19, B20&gt;B21), B20, "")</f>
        <v/>
      </c>
      <c r="H21" t="str">
        <f>IF(AND(D20&gt;=D19, D20&gt;D21), D20, "")</f>
        <v/>
      </c>
      <c r="I21">
        <v>3</v>
      </c>
      <c r="J21" s="2">
        <v>6.4705913512962798</v>
      </c>
      <c r="K21" s="2">
        <v>1.36263532009845</v>
      </c>
      <c r="L21">
        <f>SUM(K9:M9)</f>
        <v>2.0409897127200343</v>
      </c>
      <c r="M21" s="2" t="str">
        <f>IF(ISODD(ROW()), $J$5, $N$5)</f>
        <v>+-</v>
      </c>
      <c r="N21" s="5">
        <f>IFERROR(1-(K21/L21),0)</f>
        <v>0.3323654148739138</v>
      </c>
      <c r="O21" s="4">
        <f t="shared" ref="O21:O25" si="0">IFERROR(1-(K21/K20),0)</f>
        <v>0.30622006573798843</v>
      </c>
      <c r="P21">
        <f t="shared" ref="P21:P25" si="1">N21/(1-N21)</f>
        <v>0.49782534080547203</v>
      </c>
      <c r="Q21">
        <f t="shared" ref="Q21:Q25" si="2">O21/(1-O21)</f>
        <v>0.44137924810944729</v>
      </c>
      <c r="R21">
        <f t="shared" ref="R21:R25" si="3">SUM(P21:Q21)</f>
        <v>0.93920458891491931</v>
      </c>
      <c r="S21" s="2">
        <f t="shared" ref="S21:S25" si="4">-R21*(J21-J20)</f>
        <v>-2.0120648842965556</v>
      </c>
      <c r="T21">
        <f>EXP(SUM(S$19:$S21))</f>
        <v>1.487828666696542E-2</v>
      </c>
      <c r="U21" s="3">
        <f>T21*J21</f>
        <v>9.6271313029373196E-2</v>
      </c>
      <c r="V21" s="3"/>
    </row>
    <row r="22" spans="1:24" x14ac:dyDescent="0.25">
      <c r="A22">
        <v>2.8480619365354198</v>
      </c>
      <c r="B22">
        <v>4.1742541004347702</v>
      </c>
      <c r="C22">
        <v>4.3282840116130998</v>
      </c>
      <c r="D22">
        <v>1.96407427313088</v>
      </c>
      <c r="E22">
        <v>4.37877043752865</v>
      </c>
      <c r="F22">
        <v>1.59372413374851</v>
      </c>
      <c r="G22">
        <f>IF(AND(B21&gt;=B20, B21&gt;B22), B21, "")</f>
        <v>4.30268684870373</v>
      </c>
      <c r="H22" t="str">
        <f>IF(AND(D21&gt;=D20, D21&gt;D22), D21, "")</f>
        <v/>
      </c>
      <c r="I22">
        <v>4</v>
      </c>
      <c r="J22" s="2">
        <v>8.4008557021341606</v>
      </c>
      <c r="K22" s="2">
        <v>1.22233756673728</v>
      </c>
      <c r="L22">
        <f>SUM(O9:P9)</f>
        <v>2.0576878414121902</v>
      </c>
      <c r="M22" s="2" t="str">
        <f>IF(ISODD(ROW()), $J$5, $N$5)</f>
        <v>++</v>
      </c>
      <c r="N22" s="5">
        <f t="shared" ref="N22:N25" si="5">IFERROR(1-(K22/L22),0)</f>
        <v>0.4059655006279328</v>
      </c>
      <c r="O22" s="4">
        <f t="shared" si="0"/>
        <v>0.10296060236500659</v>
      </c>
      <c r="P22">
        <f t="shared" si="1"/>
        <v>0.68340391182172844</v>
      </c>
      <c r="Q22">
        <f t="shared" si="2"/>
        <v>0.11477823898979006</v>
      </c>
      <c r="R22">
        <f t="shared" si="3"/>
        <v>0.79818215081151855</v>
      </c>
      <c r="S22" s="2">
        <f t="shared" si="4"/>
        <v>-1.5407025511865793</v>
      </c>
      <c r="T22">
        <f>EXP(SUM(S$19:$S22))</f>
        <v>3.1873833962275883E-3</v>
      </c>
      <c r="U22" s="3">
        <f>T22*J22</f>
        <v>2.6776747979086281E-2</v>
      </c>
      <c r="V22" s="3"/>
    </row>
    <row r="23" spans="1:24" x14ac:dyDescent="0.25">
      <c r="A23">
        <v>2.8836448836143198</v>
      </c>
      <c r="B23">
        <v>3.9971061167214899</v>
      </c>
      <c r="C23">
        <v>4.4629144807212304</v>
      </c>
      <c r="D23">
        <v>1.8752869729244701</v>
      </c>
      <c r="E23">
        <v>4.5470585239138099</v>
      </c>
      <c r="F23">
        <v>1.5243986412397501</v>
      </c>
      <c r="G23" t="str">
        <f>IF(AND(B22&gt;=B21, B22&gt;B23), B22, "")</f>
        <v/>
      </c>
      <c r="H23">
        <f>IF(AND(D22&gt;=D21, D22&gt;D23), D22, "")</f>
        <v>1.96407427313088</v>
      </c>
      <c r="I23">
        <v>5</v>
      </c>
      <c r="J23" s="2">
        <v>10.352997504202101</v>
      </c>
      <c r="K23" s="2">
        <v>1.1152400450875299</v>
      </c>
      <c r="L23">
        <f>SUM(K10:M10)</f>
        <v>1.9916306320676211</v>
      </c>
      <c r="M23" s="2" t="str">
        <f>IF(ISODD(ROW()), $J$5, $N$5)</f>
        <v>+-</v>
      </c>
      <c r="N23" s="5">
        <f t="shared" si="5"/>
        <v>0.44003670804674355</v>
      </c>
      <c r="O23" s="4">
        <f t="shared" si="0"/>
        <v>8.7616976328085627E-2</v>
      </c>
      <c r="P23">
        <f t="shared" si="1"/>
        <v>0.78583134710815317</v>
      </c>
      <c r="Q23">
        <f t="shared" si="2"/>
        <v>9.6030914708899698E-2</v>
      </c>
      <c r="R23">
        <f t="shared" si="3"/>
        <v>0.88186226181705285</v>
      </c>
      <c r="S23" s="2">
        <f t="shared" si="4"/>
        <v>-1.7215201849592512</v>
      </c>
      <c r="T23">
        <f>EXP(SUM(S$19:$S23))</f>
        <v>5.6988547652388742E-4</v>
      </c>
      <c r="U23" s="3">
        <f>T23*J23</f>
        <v>5.9000229161328315E-3</v>
      </c>
      <c r="V23" s="3"/>
    </row>
    <row r="24" spans="1:24" x14ac:dyDescent="0.25">
      <c r="A24">
        <v>2.9164230292534601</v>
      </c>
      <c r="B24">
        <v>3.7895488946653999</v>
      </c>
      <c r="C24">
        <v>4.5470585239138099</v>
      </c>
      <c r="D24">
        <v>1.79396195164592</v>
      </c>
      <c r="E24">
        <v>4.6985178016604703</v>
      </c>
      <c r="F24">
        <v>1.43825998941823</v>
      </c>
      <c r="G24" t="str">
        <f>IF(AND(B23&gt;=B22, B23&gt;B24), B23, "")</f>
        <v/>
      </c>
      <c r="H24" t="str">
        <f>IF(AND(D23&gt;=D22, D23&gt;D24), D23, "")</f>
        <v/>
      </c>
      <c r="I24">
        <v>6</v>
      </c>
      <c r="J24" s="2">
        <v>12.30513930627</v>
      </c>
      <c r="K24" s="2">
        <v>1.0810379333348601</v>
      </c>
      <c r="L24">
        <f>SUM(O10:P10)</f>
        <v>2.0138667157415213</v>
      </c>
      <c r="M24" s="2" t="str">
        <f>IF(ISODD(ROW()), $J$5, $N$5)</f>
        <v>++</v>
      </c>
      <c r="N24" s="5">
        <f t="shared" si="5"/>
        <v>0.46320284014584667</v>
      </c>
      <c r="O24" s="4">
        <f t="shared" si="0"/>
        <v>3.0667937278010426E-2</v>
      </c>
      <c r="P24">
        <f t="shared" si="1"/>
        <v>0.86290106354455731</v>
      </c>
      <c r="Q24">
        <f t="shared" si="2"/>
        <v>3.1638216105110084E-2</v>
      </c>
      <c r="R24">
        <f t="shared" si="3"/>
        <v>0.8945392796496674</v>
      </c>
      <c r="S24" s="2">
        <f t="shared" si="4"/>
        <v>-1.7462675213958223</v>
      </c>
      <c r="T24">
        <f>EXP(SUM(S$19:$S24))</f>
        <v>9.9401569260494326E-5</v>
      </c>
      <c r="U24" s="3">
        <f>T24*J24</f>
        <v>1.2231501570122284E-3</v>
      </c>
      <c r="V24" s="3"/>
    </row>
    <row r="25" spans="1:24" x14ac:dyDescent="0.25">
      <c r="A25">
        <v>2.95481077777211</v>
      </c>
      <c r="B25">
        <v>3.53740654689333</v>
      </c>
      <c r="C25">
        <v>4.6312025671064001</v>
      </c>
      <c r="D25">
        <v>1.7027563203054901</v>
      </c>
      <c r="E25">
        <v>4.84156267508786</v>
      </c>
      <c r="F25">
        <v>1.35560488601596</v>
      </c>
      <c r="G25" t="str">
        <f>IF(AND(B24&gt;=B23, B24&gt;B25), B24, "")</f>
        <v/>
      </c>
      <c r="H25" t="str">
        <f>IF(AND(D24&gt;=D23, D24&gt;D25), D24, "")</f>
        <v/>
      </c>
      <c r="I25">
        <v>7</v>
      </c>
      <c r="J25" s="2">
        <v>14.1394794478683</v>
      </c>
      <c r="K25" s="2">
        <v>1.0468358215822</v>
      </c>
      <c r="L25">
        <f>SUM(K11:M11)</f>
        <v>1.9927298734921759</v>
      </c>
      <c r="M25" s="2" t="str">
        <f>IF(ISODD(ROW()), $J$5, $N$5)</f>
        <v>+-</v>
      </c>
      <c r="N25" s="5">
        <f t="shared" si="5"/>
        <v>0.47467249048278481</v>
      </c>
      <c r="O25" s="4">
        <f t="shared" si="0"/>
        <v>3.163821610510098E-2</v>
      </c>
      <c r="P25">
        <f t="shared" si="1"/>
        <v>0.9035744024123481</v>
      </c>
      <c r="Q25">
        <f t="shared" si="2"/>
        <v>3.2671896631285099E-2</v>
      </c>
      <c r="R25">
        <f t="shared" si="3"/>
        <v>0.93624629904363321</v>
      </c>
      <c r="S25" s="2">
        <f t="shared" si="4"/>
        <v>-1.7173941687585828</v>
      </c>
      <c r="T25">
        <f>EXP(SUM(S$19:$S25))</f>
        <v>1.7845898967482041E-5</v>
      </c>
      <c r="U25" s="3">
        <f>T25*J25</f>
        <v>2.5233172167944646E-4</v>
      </c>
      <c r="V25" s="3"/>
    </row>
    <row r="26" spans="1:24" x14ac:dyDescent="0.25">
      <c r="A26">
        <v>2.9651505118932402</v>
      </c>
      <c r="B26">
        <v>3.4257827057118502</v>
      </c>
      <c r="C26">
        <v>4.7069322059797196</v>
      </c>
      <c r="D26">
        <v>1.6168710174599099</v>
      </c>
      <c r="E26">
        <v>5.0014363571537697</v>
      </c>
      <c r="F26">
        <v>1.2693222859126501</v>
      </c>
      <c r="G26" t="str">
        <f>IF(AND(B25&gt;=B24, B25&gt;B26), B25, "")</f>
        <v/>
      </c>
      <c r="H26" t="str">
        <f>IF(AND(D25&gt;=D24, D25&gt;D26), D25, "")</f>
        <v/>
      </c>
      <c r="I26">
        <v>8</v>
      </c>
      <c r="J26" s="2"/>
      <c r="K26" s="2"/>
      <c r="L26">
        <f>SUM(O11:P11)</f>
        <v>0</v>
      </c>
      <c r="M26" s="2" t="str">
        <f>IF(ISODD(ROW()), $J$5, $N$5)</f>
        <v>++</v>
      </c>
    </row>
    <row r="27" spans="1:24" x14ac:dyDescent="0.25">
      <c r="A27">
        <v>2.98758892341126</v>
      </c>
      <c r="B27">
        <v>3.2743363178687801</v>
      </c>
      <c r="C27">
        <v>4.7910762491723098</v>
      </c>
      <c r="D27">
        <v>1.5224985239201601</v>
      </c>
      <c r="E27">
        <v>5.1865532521774496</v>
      </c>
      <c r="F27">
        <v>1.1933175931289599</v>
      </c>
      <c r="G27" t="str">
        <f>IF(AND(B26&gt;=B25, B26&gt;B27), B26, "")</f>
        <v/>
      </c>
      <c r="H27" t="str">
        <f>IF(AND(D26&gt;=D25, D26&gt;D27), D26, "")</f>
        <v/>
      </c>
      <c r="J27" s="2">
        <f>SUM(J19:J26)</f>
        <v>58.785795344572747</v>
      </c>
      <c r="K27" s="2"/>
      <c r="T27" s="2">
        <f>SUM(T19:T26)</f>
        <v>1.1300237024685549</v>
      </c>
    </row>
    <row r="28" spans="1:24" x14ac:dyDescent="0.25">
      <c r="A28">
        <v>3.0156369378087899</v>
      </c>
      <c r="B28">
        <v>3.13696487313381</v>
      </c>
      <c r="C28">
        <v>4.8920491010034102</v>
      </c>
      <c r="D28">
        <v>1.4287594028202699</v>
      </c>
      <c r="E28">
        <v>5.3716701472011401</v>
      </c>
      <c r="F28">
        <v>1.1235314661184701</v>
      </c>
      <c r="G28" t="str">
        <f>IF(AND(B27&gt;=B26, B27&gt;B28), B27, "")</f>
        <v/>
      </c>
      <c r="H28" t="str">
        <f>IF(AND(D27&gt;=D26, D27&gt;D28), D27, "")</f>
        <v/>
      </c>
      <c r="J28" s="2"/>
    </row>
    <row r="29" spans="1:24" x14ac:dyDescent="0.25">
      <c r="A29">
        <v>3.0408801507665602</v>
      </c>
      <c r="B29">
        <v>2.90705067746313</v>
      </c>
      <c r="C29">
        <v>4.9930219528345097</v>
      </c>
      <c r="D29">
        <v>1.3394538887994201</v>
      </c>
      <c r="E29">
        <v>5.54837263790556</v>
      </c>
      <c r="F29">
        <v>1.05405626739665</v>
      </c>
      <c r="G29" t="str">
        <f>IF(AND(B28&gt;=B27, B28&gt;B29), B28, "")</f>
        <v/>
      </c>
      <c r="H29" t="str">
        <f>IF(AND(D28&gt;=D27, D28&gt;D29), D28, "")</f>
        <v/>
      </c>
      <c r="J29" s="2"/>
    </row>
    <row r="30" spans="1:24" x14ac:dyDescent="0.25">
      <c r="A30">
        <v>3.0661233637243401</v>
      </c>
      <c r="B30">
        <v>2.7284396494214498</v>
      </c>
      <c r="C30">
        <v>5.10240920898487</v>
      </c>
      <c r="D30">
        <v>1.2498769294472101</v>
      </c>
      <c r="E30">
        <v>5.7250751286099897</v>
      </c>
      <c r="F30">
        <v>0.96599446653045595</v>
      </c>
      <c r="G30" t="str">
        <f>IF(AND(B29&gt;=B28, B29&gt;B30), B29, "")</f>
        <v/>
      </c>
      <c r="H30" t="str">
        <f>IF(AND(D29&gt;=D28, D29&gt;D30), D29, "")</f>
        <v/>
      </c>
      <c r="J30" s="2"/>
    </row>
    <row r="31" spans="1:24" x14ac:dyDescent="0.25">
      <c r="A31">
        <v>3.08856177524236</v>
      </c>
      <c r="B31">
        <v>2.5500397455263899</v>
      </c>
      <c r="C31">
        <v>5.2258204723339903</v>
      </c>
      <c r="D31">
        <v>1.1659098402766599</v>
      </c>
      <c r="E31">
        <v>5.9017776193144202</v>
      </c>
      <c r="F31">
        <v>0.88114559131375003</v>
      </c>
      <c r="G31" t="str">
        <f>IF(AND(B30&gt;=B29, B30&gt;B31), B30, "")</f>
        <v/>
      </c>
      <c r="H31" t="str">
        <f>IF(AND(D30&gt;=D29, D30&gt;D31), D30, "")</f>
        <v/>
      </c>
      <c r="J31" s="2"/>
    </row>
    <row r="32" spans="1:24" x14ac:dyDescent="0.25">
      <c r="A32">
        <v>3.1166097896398899</v>
      </c>
      <c r="B32">
        <v>2.39021876653401</v>
      </c>
      <c r="C32">
        <v>5.3464269342433601</v>
      </c>
      <c r="D32">
        <v>1.0905385199328199</v>
      </c>
      <c r="E32">
        <v>6.0784801100188401</v>
      </c>
      <c r="F32">
        <v>0.80845746694243303</v>
      </c>
      <c r="G32" t="str">
        <f>IF(AND(B31&gt;=B30, B31&gt;B32), B31, "")</f>
        <v/>
      </c>
      <c r="H32" t="str">
        <f>IF(AND(D31&gt;=D30, D31&gt;D32), D31, "")</f>
        <v/>
      </c>
      <c r="J32" s="2"/>
    </row>
    <row r="33" spans="1:11" x14ac:dyDescent="0.25">
      <c r="A33">
        <v>3.1390482011579102</v>
      </c>
      <c r="B33">
        <v>2.2299755392483802</v>
      </c>
      <c r="C33">
        <v>5.4894718076707498</v>
      </c>
      <c r="D33">
        <v>1.0143227030025099</v>
      </c>
      <c r="E33">
        <v>6.2635970050425298</v>
      </c>
      <c r="F33">
        <v>0.75698156137529504</v>
      </c>
      <c r="G33" t="str">
        <f>IF(AND(B32&gt;=B31, B32&gt;B33), B32, "")</f>
        <v/>
      </c>
      <c r="H33" t="str">
        <f>IF(AND(D32&gt;=D31, D32&gt;D33), D32, "")</f>
        <v/>
      </c>
      <c r="J33" s="2"/>
    </row>
    <row r="34" spans="1:11" x14ac:dyDescent="0.25">
      <c r="A34">
        <v>3.1670962155554401</v>
      </c>
      <c r="B34">
        <v>2.0861999953992298</v>
      </c>
      <c r="C34">
        <v>5.6409310854174102</v>
      </c>
      <c r="D34">
        <v>0.92987304435396201</v>
      </c>
      <c r="E34">
        <v>6.4487139000662097</v>
      </c>
      <c r="F34">
        <v>0.73348920178760701</v>
      </c>
      <c r="G34" t="str">
        <f>IF(AND(B33&gt;=B32, B33&gt;B34), B33, "")</f>
        <v/>
      </c>
      <c r="H34" t="str">
        <f>IF(AND(D33&gt;=D32, D33&gt;D34), D33, "")</f>
        <v/>
      </c>
      <c r="J34" s="2"/>
    </row>
    <row r="35" spans="1:11" x14ac:dyDescent="0.25">
      <c r="A35">
        <v>3.1923394285132098</v>
      </c>
      <c r="B35">
        <v>1.97409307354328</v>
      </c>
      <c r="C35">
        <v>5.8092191718025701</v>
      </c>
      <c r="D35">
        <v>0.84680528921056997</v>
      </c>
      <c r="E35">
        <v>6.6338307950899003</v>
      </c>
      <c r="F35">
        <v>0.73452562941647503</v>
      </c>
      <c r="G35" t="str">
        <f>IF(AND(B34&gt;=B33, B34&gt;B35), B34, "")</f>
        <v/>
      </c>
      <c r="H35" t="str">
        <f>IF(AND(D34&gt;=D33, D34&gt;D35), D34, "")</f>
        <v/>
      </c>
      <c r="J35" s="2"/>
    </row>
    <row r="36" spans="1:11" x14ac:dyDescent="0.25">
      <c r="A36">
        <v>3.2175826414709898</v>
      </c>
      <c r="B36">
        <v>1.8296841572542599</v>
      </c>
      <c r="C36">
        <v>5.9943360668262597</v>
      </c>
      <c r="D36">
        <v>0.76941869292171805</v>
      </c>
      <c r="E36">
        <v>6.8189476901135802</v>
      </c>
      <c r="F36">
        <v>0.75767251312787398</v>
      </c>
      <c r="G36" t="str">
        <f>IF(AND(B35&gt;=B34, B35&gt;B36), B35, "")</f>
        <v/>
      </c>
      <c r="H36" t="str">
        <f>IF(AND(D35&gt;=D34, D35&gt;D36), D35, "")</f>
        <v/>
      </c>
      <c r="J36" s="2"/>
      <c r="K36" s="2"/>
    </row>
    <row r="37" spans="1:11" x14ac:dyDescent="0.25">
      <c r="A37">
        <v>3.24282585442876</v>
      </c>
      <c r="B37">
        <v>1.73087805663545</v>
      </c>
      <c r="C37">
        <v>6.1794529618499396</v>
      </c>
      <c r="D37">
        <v>0.71586993209684202</v>
      </c>
      <c r="E37">
        <v>7.0040645851372698</v>
      </c>
      <c r="F37">
        <v>0.80223890116922203</v>
      </c>
      <c r="G37" t="str">
        <f>IF(AND(B36&gt;=B35, B36&gt;B37), B36, "")</f>
        <v/>
      </c>
      <c r="H37" t="str">
        <f>IF(AND(D36&gt;=D35, D36&gt;D37), D36, "")</f>
        <v/>
      </c>
      <c r="J37" s="2"/>
      <c r="K37" s="2"/>
    </row>
    <row r="38" spans="1:11" x14ac:dyDescent="0.25">
      <c r="A38">
        <v>3.26806906738654</v>
      </c>
      <c r="B38">
        <v>1.6016700789031699</v>
      </c>
      <c r="C38">
        <v>6.3645698568736302</v>
      </c>
      <c r="D38">
        <v>0.68132234446788897</v>
      </c>
      <c r="E38">
        <v>7.1891814801609497</v>
      </c>
      <c r="F38">
        <v>0.86338813127246805</v>
      </c>
      <c r="G38" t="str">
        <f>IF(AND(B37&gt;=B36, B37&gt;B38), B37, "")</f>
        <v/>
      </c>
      <c r="H38" t="str">
        <f>IF(AND(D37&gt;=D36, D37&gt;D38), D37, "")</f>
        <v/>
      </c>
      <c r="J38" s="2"/>
      <c r="K38" s="2"/>
    </row>
    <row r="39" spans="1:11" x14ac:dyDescent="0.25">
      <c r="A39">
        <v>3.28489787602506</v>
      </c>
      <c r="B39">
        <v>1.5218651514802899</v>
      </c>
      <c r="C39">
        <v>6.5496867518973101</v>
      </c>
      <c r="D39">
        <v>0.67614020632354699</v>
      </c>
      <c r="E39">
        <v>7.3742983751846296</v>
      </c>
      <c r="F39">
        <v>0.93144687890150402</v>
      </c>
      <c r="G39" t="str">
        <f>IF(AND(B38&gt;=B37, B38&gt;B39), B38, "")</f>
        <v/>
      </c>
      <c r="H39" t="str">
        <f>IF(AND(D38&gt;=D37, D38&gt;D39), D38, "")</f>
        <v/>
      </c>
      <c r="J39" s="2"/>
      <c r="K39" s="2"/>
    </row>
    <row r="40" spans="1:11" x14ac:dyDescent="0.25">
      <c r="A40">
        <v>3.3185554933020902</v>
      </c>
      <c r="B40">
        <v>1.4344597547790401</v>
      </c>
      <c r="C40">
        <v>6.7348036469209998</v>
      </c>
      <c r="D40">
        <v>0.69583233127205002</v>
      </c>
      <c r="E40">
        <v>7.5594152702083202</v>
      </c>
      <c r="F40">
        <v>0.99777824714909102</v>
      </c>
      <c r="G40" t="str">
        <f>IF(AND(B39&gt;=B38, B39&gt;B40), B39, "")</f>
        <v/>
      </c>
      <c r="H40" t="str">
        <f>IF(AND(D39&gt;=D38, D39&gt;D40), D39, "")</f>
        <v/>
      </c>
      <c r="J40" s="2"/>
      <c r="K40" s="2"/>
    </row>
    <row r="41" spans="1:11" x14ac:dyDescent="0.25">
      <c r="A41">
        <v>3.3353843019406102</v>
      </c>
      <c r="B41">
        <v>1.3508545927169799</v>
      </c>
      <c r="C41">
        <v>6.9199205419446796</v>
      </c>
      <c r="D41">
        <v>0.73314372591131804</v>
      </c>
      <c r="E41">
        <v>7.7445321652320001</v>
      </c>
      <c r="F41">
        <v>1.0599639048812</v>
      </c>
      <c r="G41" t="str">
        <f>IF(AND(B40&gt;=B39, B40&gt;B41), B40, "")</f>
        <v/>
      </c>
      <c r="H41" t="str">
        <f>IF(AND(D40&gt;=D39, D40&gt;D41), D40, "")</f>
        <v/>
      </c>
      <c r="J41" s="2"/>
      <c r="K41" s="2"/>
    </row>
    <row r="42" spans="1:11" x14ac:dyDescent="0.25">
      <c r="A42">
        <v>3.3774563235369</v>
      </c>
      <c r="B42">
        <v>1.22544684962388</v>
      </c>
      <c r="C42">
        <v>7.1050374369683702</v>
      </c>
      <c r="D42">
        <v>0.79360200426198402</v>
      </c>
      <c r="E42">
        <v>7.9296490602556897</v>
      </c>
      <c r="F42">
        <v>1.11178528632463</v>
      </c>
      <c r="G42" t="str">
        <f>IF(AND(B41&gt;=B40, B41&gt;B42), B41, "")</f>
        <v/>
      </c>
      <c r="H42" t="str">
        <f>IF(AND(D41&gt;=D40, D41&gt;D42), D41, "")</f>
        <v/>
      </c>
      <c r="J42" s="2"/>
      <c r="K42" s="2"/>
    </row>
    <row r="43" spans="1:11" x14ac:dyDescent="0.25">
      <c r="A43">
        <v>3.4111139408139302</v>
      </c>
      <c r="B43">
        <v>1.1456419222009999</v>
      </c>
      <c r="C43">
        <v>7.2817399276727901</v>
      </c>
      <c r="D43">
        <v>0.86746474661268402</v>
      </c>
      <c r="E43">
        <v>8.1147659552793705</v>
      </c>
      <c r="F43">
        <v>1.1435690669432701</v>
      </c>
      <c r="G43" t="str">
        <f>IF(AND(B42&gt;=B41, B42&gt;B43), B42, "")</f>
        <v/>
      </c>
      <c r="H43" t="str">
        <f>IF(AND(D42&gt;=D41, D42&gt;D43), D42, "")</f>
        <v/>
      </c>
      <c r="J43" s="2"/>
      <c r="K43" s="2"/>
    </row>
    <row r="44" spans="1:11" x14ac:dyDescent="0.25">
      <c r="A44">
        <v>3.4531859624102199</v>
      </c>
      <c r="B44">
        <v>1.0430355869430199</v>
      </c>
      <c r="C44">
        <v>7.4295930321397599</v>
      </c>
      <c r="D44">
        <v>0.93554323572036502</v>
      </c>
      <c r="E44">
        <v>8.2998828503030602</v>
      </c>
      <c r="F44">
        <v>1.15946095725258</v>
      </c>
      <c r="G44" t="str">
        <f>IF(AND(B43&gt;=B42, B43&gt;B44), B43, "")</f>
        <v/>
      </c>
      <c r="H44" t="str">
        <f>IF(AND(D43&gt;=D42, D43&gt;D44), D43, "")</f>
        <v/>
      </c>
      <c r="J44" s="2"/>
      <c r="K44" s="2"/>
    </row>
    <row r="45" spans="1:11" x14ac:dyDescent="0.25">
      <c r="A45">
        <v>3.5036723883257701</v>
      </c>
      <c r="B45">
        <v>0.936629017045847</v>
      </c>
      <c r="C45">
        <v>7.6603881220394197</v>
      </c>
      <c r="D45">
        <v>1.05754557374717</v>
      </c>
      <c r="E45">
        <v>8.4849997453267392</v>
      </c>
      <c r="F45">
        <v>1.15946095725258</v>
      </c>
      <c r="G45" t="str">
        <f>IF(AND(B44&gt;=B43, B44&gt;B45), B44, "")</f>
        <v/>
      </c>
      <c r="H45" t="str">
        <f>IF(AND(D44&gt;=D43, D44&gt;D45), D44, "")</f>
        <v/>
      </c>
      <c r="J45" s="2"/>
      <c r="K45" s="2"/>
    </row>
    <row r="46" spans="1:11" x14ac:dyDescent="0.25">
      <c r="A46">
        <v>3.5373300056028101</v>
      </c>
      <c r="B46">
        <v>0.87202502817970595</v>
      </c>
      <c r="C46">
        <v>7.8455050170631004</v>
      </c>
      <c r="D46">
        <v>1.1314774112731301</v>
      </c>
      <c r="E46">
        <v>8.6701166403504306</v>
      </c>
      <c r="F46">
        <v>1.14495097044842</v>
      </c>
      <c r="G46" t="str">
        <f>IF(AND(B45&gt;=B44, B45&gt;B46), B45, "")</f>
        <v/>
      </c>
      <c r="H46" t="str">
        <f>IF(AND(D45&gt;=D44, D45&gt;D46), D45, "")</f>
        <v/>
      </c>
      <c r="J46" s="2"/>
      <c r="K46" s="2"/>
    </row>
    <row r="47" spans="1:11" x14ac:dyDescent="0.25">
      <c r="A47">
        <v>3.61305964447613</v>
      </c>
      <c r="B47">
        <v>0.77036875158151397</v>
      </c>
      <c r="C47">
        <v>8.0306219120867901</v>
      </c>
      <c r="D47">
        <v>1.1905537861186399</v>
      </c>
      <c r="E47">
        <v>8.8552335353741096</v>
      </c>
      <c r="F47">
        <v>1.1204221832318699</v>
      </c>
      <c r="G47" t="str">
        <f>IF(AND(B46&gt;=B45, B46&gt;B47), B46, "")</f>
        <v/>
      </c>
      <c r="H47" t="str">
        <f>IF(AND(D46&gt;=D45, D46&gt;D47), D46, "")</f>
        <v/>
      </c>
      <c r="J47" s="2"/>
      <c r="K47" s="2"/>
    </row>
    <row r="48" spans="1:11" x14ac:dyDescent="0.25">
      <c r="A48">
        <v>3.74769011358427</v>
      </c>
      <c r="B48">
        <v>0.63973568585953799</v>
      </c>
      <c r="C48">
        <v>8.2157388071104709</v>
      </c>
      <c r="D48">
        <v>1.22026471147954</v>
      </c>
      <c r="E48">
        <v>9.0403504303977993</v>
      </c>
      <c r="F48">
        <v>1.08932935436581</v>
      </c>
      <c r="G48" t="str">
        <f>IF(AND(B47&gt;=B46, B47&gt;B48), B47, "")</f>
        <v/>
      </c>
      <c r="H48" t="str">
        <f>IF(AND(D47&gt;=D46, D47&gt;D48), D47, "")</f>
        <v/>
      </c>
      <c r="J48" s="2"/>
      <c r="K48" s="2"/>
    </row>
    <row r="49" spans="1:11" x14ac:dyDescent="0.25">
      <c r="A49">
        <v>3.8907349870116601</v>
      </c>
      <c r="B49">
        <v>0.54647159408954504</v>
      </c>
      <c r="C49">
        <v>8.4008557021341606</v>
      </c>
      <c r="D49">
        <v>1.22233756673728</v>
      </c>
      <c r="E49">
        <v>9.2254673254214801</v>
      </c>
      <c r="F49">
        <v>1.0513270079739601</v>
      </c>
      <c r="G49" t="str">
        <f>IF(AND(B48&gt;=B47, B48&gt;B49), B48, "")</f>
        <v/>
      </c>
      <c r="H49" t="str">
        <f>IF(AND(D48&gt;=D47, D48&gt;D49), D48, "")</f>
        <v/>
      </c>
      <c r="J49" s="2"/>
      <c r="K49" s="2"/>
    </row>
    <row r="50" spans="1:11" x14ac:dyDescent="0.25">
      <c r="A50">
        <v>4.0539744308052699</v>
      </c>
      <c r="B50">
        <v>0.48858135308596501</v>
      </c>
      <c r="C50">
        <v>8.5859725971578396</v>
      </c>
      <c r="D50">
        <v>1.2029909176650599</v>
      </c>
      <c r="E50">
        <v>9.4105842204451697</v>
      </c>
      <c r="F50">
        <v>1.0126337098295399</v>
      </c>
      <c r="G50" t="str">
        <f>IF(AND(B49&gt;=B48, B49&gt;B50), B49, "")</f>
        <v/>
      </c>
      <c r="H50">
        <f>IF(AND(D49&gt;=D48, D49&gt;D50), D49, "")</f>
        <v>1.22233756673728</v>
      </c>
      <c r="J50" s="2"/>
      <c r="K50" s="2"/>
    </row>
    <row r="51" spans="1:11" x14ac:dyDescent="0.25">
      <c r="A51">
        <v>4.2441399684205097</v>
      </c>
      <c r="B51">
        <v>0.46056325951888499</v>
      </c>
      <c r="C51">
        <v>8.7710894921815292</v>
      </c>
      <c r="D51">
        <v>1.1663704747783701</v>
      </c>
      <c r="E51">
        <v>9.5957011154688505</v>
      </c>
      <c r="F51">
        <v>0.97601326694285095</v>
      </c>
      <c r="G51" t="str">
        <f>IF(AND(B50&gt;=B49, B50&gt;B51), B50, "")</f>
        <v/>
      </c>
      <c r="H51" t="str">
        <f>IF(AND(D50&gt;=D49, D50&gt;D51), D50, "")</f>
        <v/>
      </c>
      <c r="J51" s="2"/>
      <c r="K51" s="2"/>
    </row>
    <row r="52" spans="1:11" x14ac:dyDescent="0.25">
      <c r="A52">
        <v>4.4292568634442002</v>
      </c>
      <c r="B52">
        <v>0.46401801828178002</v>
      </c>
      <c r="C52">
        <v>8.9393775785667007</v>
      </c>
      <c r="D52">
        <v>1.1236850109523799</v>
      </c>
      <c r="E52">
        <v>9.7808180104925402</v>
      </c>
      <c r="F52">
        <v>0.94561138982937398</v>
      </c>
      <c r="G52" t="str">
        <f>IF(AND(B51&gt;=B50, B51&gt;B52), B51, "")</f>
        <v/>
      </c>
      <c r="H52" t="str">
        <f>IF(AND(D51&gt;=D50, D51&gt;D52), D51, "")</f>
        <v/>
      </c>
      <c r="J52" s="2"/>
      <c r="K52" s="2"/>
    </row>
    <row r="53" spans="1:11" x14ac:dyDescent="0.25">
      <c r="A53">
        <v>4.6143737584678801</v>
      </c>
      <c r="B53">
        <v>0.486819426116889</v>
      </c>
      <c r="C53">
        <v>9.2759537513370294</v>
      </c>
      <c r="D53">
        <v>1.0281801242625599</v>
      </c>
      <c r="E53">
        <v>9.9659349055162192</v>
      </c>
      <c r="F53">
        <v>0.92177355436539699</v>
      </c>
      <c r="G53" t="str">
        <f>IF(AND(B52&gt;=B51, B52&gt;B53), B52, "")</f>
        <v/>
      </c>
      <c r="H53" t="str">
        <f>IF(AND(D52&gt;=D51, D52&gt;D53), D52, "")</f>
        <v/>
      </c>
      <c r="J53" s="2"/>
      <c r="K53" s="2"/>
    </row>
    <row r="54" spans="1:11" x14ac:dyDescent="0.25">
      <c r="A54">
        <v>4.8045392960831199</v>
      </c>
      <c r="B54">
        <v>0.535704262611856</v>
      </c>
      <c r="C54">
        <v>9.4610706463607208</v>
      </c>
      <c r="D54">
        <v>0.98361373622122095</v>
      </c>
      <c r="E54">
        <v>10.1510518005399</v>
      </c>
      <c r="F54">
        <v>0.90588166405607895</v>
      </c>
      <c r="G54" t="str">
        <f>IF(AND(B53&gt;=B52, B53&gt;B54), B53, "")</f>
        <v/>
      </c>
      <c r="H54" t="str">
        <f>IF(AND(D53&gt;=D52, D53&gt;D54), D53, "")</f>
        <v/>
      </c>
      <c r="J54" s="2"/>
      <c r="K54" s="2"/>
    </row>
    <row r="55" spans="1:11" x14ac:dyDescent="0.25">
      <c r="A55">
        <v>4.9846075485152497</v>
      </c>
      <c r="B55">
        <v>0.59668075477695603</v>
      </c>
      <c r="C55">
        <v>9.6461875413843998</v>
      </c>
      <c r="D55">
        <v>0.94630234158195303</v>
      </c>
      <c r="E55">
        <v>10.336168695563501</v>
      </c>
      <c r="F55">
        <v>0.90104500178802605</v>
      </c>
      <c r="G55" t="str">
        <f>IF(AND(B54&gt;=B53, B54&gt;B55), B54, "")</f>
        <v/>
      </c>
      <c r="H55" t="str">
        <f>IF(AND(D54&gt;=D53, D54&gt;D55), D54, "")</f>
        <v/>
      </c>
      <c r="J55" s="2"/>
      <c r="K55" s="2"/>
    </row>
    <row r="56" spans="1:11" x14ac:dyDescent="0.25">
      <c r="A56">
        <v>5.1486884327407898</v>
      </c>
      <c r="B56">
        <v>0.66633732833383097</v>
      </c>
      <c r="C56">
        <v>9.8313044364080895</v>
      </c>
      <c r="D56">
        <v>0.91140927807671102</v>
      </c>
      <c r="E56">
        <v>10.521285590587199</v>
      </c>
      <c r="F56">
        <v>0.90208142941689395</v>
      </c>
      <c r="G56" t="str">
        <f>IF(AND(B55&gt;=B54, B55&gt;B56), B55, "")</f>
        <v/>
      </c>
      <c r="H56" t="str">
        <f>IF(AND(D55&gt;=D54, D55&gt;D56), D55, "")</f>
        <v/>
      </c>
      <c r="J56" s="2"/>
      <c r="K56" s="2"/>
    </row>
    <row r="57" spans="1:11" x14ac:dyDescent="0.25">
      <c r="A57">
        <v>5.3043549126470699</v>
      </c>
      <c r="B57">
        <v>0.75379550607173595</v>
      </c>
      <c r="C57">
        <v>10.016421331431699</v>
      </c>
      <c r="D57">
        <v>0.88929882199418198</v>
      </c>
      <c r="E57">
        <v>10.7064024856109</v>
      </c>
      <c r="F57">
        <v>0.91417308508702799</v>
      </c>
      <c r="G57" t="str">
        <f>IF(AND(B56&gt;=B55, B56&gt;B57), B56, "")</f>
        <v/>
      </c>
      <c r="H57" t="str">
        <f>IF(AND(D56&gt;=D55, D56&gt;D57), D56, "")</f>
        <v/>
      </c>
      <c r="J57" s="2"/>
      <c r="K57" s="2"/>
    </row>
    <row r="58" spans="1:11" x14ac:dyDescent="0.25">
      <c r="A58">
        <v>5.4417901831949598</v>
      </c>
      <c r="B58">
        <v>0.83718954398717904</v>
      </c>
      <c r="C58">
        <v>10.2015382264554</v>
      </c>
      <c r="D58">
        <v>0.87893454570549601</v>
      </c>
      <c r="E58">
        <v>10.8915193806346</v>
      </c>
      <c r="F58">
        <v>0.93386521003553002</v>
      </c>
      <c r="G58" t="str">
        <f>IF(AND(B57&gt;=B56, B57&gt;B58), B57, "")</f>
        <v/>
      </c>
      <c r="H58" t="str">
        <f>IF(AND(D57&gt;=D56, D57&gt;D58), D57, "")</f>
        <v/>
      </c>
      <c r="J58" s="2"/>
      <c r="K58" s="2"/>
    </row>
    <row r="59" spans="1:11" x14ac:dyDescent="0.25">
      <c r="A59">
        <v>5.5680062479838304</v>
      </c>
      <c r="B59">
        <v>0.92142807848910802</v>
      </c>
      <c r="C59">
        <v>10.3866551214791</v>
      </c>
      <c r="D59">
        <v>0.87582526281889095</v>
      </c>
      <c r="E59">
        <v>11.0766362756583</v>
      </c>
      <c r="F59">
        <v>0.95609082474349005</v>
      </c>
      <c r="G59" t="str">
        <f>IF(AND(B58&gt;=B57, B58&gt;B59), B58, "")</f>
        <v/>
      </c>
      <c r="H59" t="str">
        <f>IF(AND(D58&gt;=D57, D58&gt;D59), D58, "")</f>
        <v/>
      </c>
      <c r="J59" s="2"/>
      <c r="K59" s="2"/>
    </row>
    <row r="60" spans="1:11" x14ac:dyDescent="0.25">
      <c r="A60">
        <v>5.6947832730606596</v>
      </c>
      <c r="B60">
        <v>1.00731338133468</v>
      </c>
      <c r="C60">
        <v>10.5717720165028</v>
      </c>
      <c r="D60">
        <v>0.886535014983866</v>
      </c>
      <c r="E60">
        <v>11.261753170682001</v>
      </c>
      <c r="F60">
        <v>0.97843159807687896</v>
      </c>
      <c r="G60" t="str">
        <f>IF(AND(B59&gt;=B58, B59&gt;B60), B59, "")</f>
        <v/>
      </c>
      <c r="H60" t="str">
        <f>IF(AND(D59&gt;=D58, D59&gt;D60), D59, "")</f>
        <v/>
      </c>
      <c r="J60" s="2"/>
      <c r="K60" s="2"/>
    </row>
    <row r="61" spans="1:11" x14ac:dyDescent="0.25">
      <c r="A61">
        <v>5.8092191718025701</v>
      </c>
      <c r="B61">
        <v>1.0908099652641901</v>
      </c>
      <c r="C61">
        <v>10.756888911526501</v>
      </c>
      <c r="D61">
        <v>0.90208142941689395</v>
      </c>
      <c r="E61">
        <v>11.446870065705699</v>
      </c>
      <c r="F61">
        <v>1.0049180819257399</v>
      </c>
      <c r="G61" t="str">
        <f>IF(AND(B60&gt;=B59, B60&gt;B61), B60, "")</f>
        <v/>
      </c>
      <c r="H61" t="str">
        <f>IF(AND(D60&gt;=D59, D60&gt;D61), D60, "")</f>
        <v/>
      </c>
      <c r="J61" s="2"/>
      <c r="K61" s="2"/>
    </row>
    <row r="62" spans="1:11" x14ac:dyDescent="0.25">
      <c r="A62">
        <v>5.9438496409107104</v>
      </c>
      <c r="B62">
        <v>1.1768882959009701</v>
      </c>
      <c r="C62">
        <v>10.9420058065501</v>
      </c>
      <c r="D62">
        <v>0.92557378900458098</v>
      </c>
      <c r="E62">
        <v>11.6319869607293</v>
      </c>
      <c r="F62">
        <v>1.02403441374709</v>
      </c>
      <c r="G62" t="str">
        <f>IF(AND(B61&gt;=B60, B61&gt;B62), B61, "")</f>
        <v/>
      </c>
      <c r="H62" t="str">
        <f>IF(AND(D61&gt;=D60, D61&gt;D62), D61, "")</f>
        <v/>
      </c>
      <c r="J62" s="2"/>
      <c r="K62" s="2"/>
    </row>
    <row r="63" spans="1:11" x14ac:dyDescent="0.25">
      <c r="A63">
        <v>6.1037233229766201</v>
      </c>
      <c r="B63">
        <v>1.2683895010466699</v>
      </c>
      <c r="C63">
        <v>11.107889777415499</v>
      </c>
      <c r="D63">
        <v>0.94911550228888197</v>
      </c>
      <c r="E63">
        <v>11.817103855753</v>
      </c>
      <c r="F63">
        <v>1.04199915931415</v>
      </c>
      <c r="G63" t="str">
        <f>IF(AND(B62&gt;=B61, B62&gt;B63), B62, "")</f>
        <v/>
      </c>
      <c r="H63" t="str">
        <f>IF(AND(D62&gt;=D61, D62&gt;D63), D62, "")</f>
        <v/>
      </c>
      <c r="J63" s="2"/>
      <c r="K63" s="2"/>
    </row>
    <row r="64" spans="1:11" x14ac:dyDescent="0.25">
      <c r="A64">
        <v>6.28042581368104</v>
      </c>
      <c r="B64">
        <v>1.3342717506550801</v>
      </c>
      <c r="C64">
        <v>11.389171293230699</v>
      </c>
      <c r="D64">
        <v>1.00557613121391</v>
      </c>
      <c r="E64">
        <v>12.002220750776701</v>
      </c>
      <c r="F64">
        <v>1.0558181943657301</v>
      </c>
      <c r="G64" t="str">
        <f>IF(AND(B63&gt;=B62, B63&gt;B64), B63, "")</f>
        <v/>
      </c>
      <c r="H64" t="str">
        <f>IF(AND(D63&gt;=D62, D63&gt;D64), D63, "")</f>
        <v/>
      </c>
      <c r="J64" s="2"/>
      <c r="K64" s="2"/>
    </row>
    <row r="65" spans="1:11" x14ac:dyDescent="0.25">
      <c r="A65">
        <v>6.4705913512962798</v>
      </c>
      <c r="B65">
        <v>1.36263532009845</v>
      </c>
      <c r="C65">
        <v>11.5646717261753</v>
      </c>
      <c r="D65">
        <v>1.0302529795202999</v>
      </c>
      <c r="E65">
        <v>12.187337645800399</v>
      </c>
      <c r="F65">
        <v>1.0610003325100701</v>
      </c>
      <c r="G65" t="str">
        <f>IF(AND(B64&gt;=B63, B64&gt;B65), B64, "")</f>
        <v/>
      </c>
      <c r="H65" t="str">
        <f>IF(AND(D64&gt;=D63, D64&gt;D65), D64, "")</f>
        <v/>
      </c>
      <c r="J65" s="2"/>
      <c r="K65" s="2"/>
    </row>
    <row r="66" spans="1:11" x14ac:dyDescent="0.25">
      <c r="A66">
        <v>6.6543993389814204</v>
      </c>
      <c r="B66">
        <v>1.33734264733321</v>
      </c>
      <c r="C66">
        <v>11.749788621199</v>
      </c>
      <c r="D66">
        <v>1.0537453391079901</v>
      </c>
      <c r="E66">
        <v>12.3724545408241</v>
      </c>
      <c r="F66">
        <v>1.0610003325100701</v>
      </c>
      <c r="G66">
        <f>IF(AND(B65&gt;=B64, B65&gt;B66), B65, "")</f>
        <v>1.36263532009845</v>
      </c>
      <c r="H66" t="str">
        <f>IF(AND(D65&gt;=D64, D65&gt;D66), D65, "")</f>
        <v/>
      </c>
      <c r="J66" s="2"/>
      <c r="K66" s="2"/>
    </row>
    <row r="67" spans="1:11" x14ac:dyDescent="0.25">
      <c r="A67">
        <v>6.8357764987521001</v>
      </c>
      <c r="B67">
        <v>1.2776137069436</v>
      </c>
      <c r="C67">
        <v>11.934905516222599</v>
      </c>
      <c r="D67">
        <v>1.07171008467504</v>
      </c>
      <c r="E67">
        <v>12.5575714358478</v>
      </c>
      <c r="F67">
        <v>1.0558181943657301</v>
      </c>
      <c r="G67" t="str">
        <f>IF(AND(B66&gt;=B65, B66&gt;B67), B66, "")</f>
        <v/>
      </c>
      <c r="H67" t="str">
        <f>IF(AND(D66&gt;=D65, D66&gt;D67), D66, "")</f>
        <v/>
      </c>
      <c r="J67" s="2"/>
      <c r="K67" s="2"/>
    </row>
    <row r="68" spans="1:11" x14ac:dyDescent="0.25">
      <c r="A68">
        <v>7.02089339377578</v>
      </c>
      <c r="B68">
        <v>1.19953615890217</v>
      </c>
      <c r="C68">
        <v>12.1200224112463</v>
      </c>
      <c r="D68">
        <v>1.0806924574585699</v>
      </c>
      <c r="E68">
        <v>12.742688330871401</v>
      </c>
      <c r="F68">
        <v>1.04222947656501</v>
      </c>
      <c r="G68" t="str">
        <f>IF(AND(B67&gt;=B66, B67&gt;B68), B67, "")</f>
        <v/>
      </c>
      <c r="H68" t="str">
        <f>IF(AND(D67&gt;=D66, D67&gt;D68), D67, "")</f>
        <v/>
      </c>
      <c r="J68" s="2"/>
      <c r="K68" s="2"/>
    </row>
    <row r="69" spans="1:11" x14ac:dyDescent="0.25">
      <c r="A69">
        <v>7.1891814801609497</v>
      </c>
      <c r="B69">
        <v>1.1194625280199499</v>
      </c>
      <c r="C69">
        <v>12.30513930627</v>
      </c>
      <c r="D69">
        <v>1.0810379333348601</v>
      </c>
      <c r="E69">
        <v>12.927805225895099</v>
      </c>
      <c r="F69">
        <v>1.03163488302546</v>
      </c>
      <c r="G69" t="str">
        <f>IF(AND(B68&gt;=B67, B68&gt;B69), B68, "")</f>
        <v/>
      </c>
      <c r="H69" t="str">
        <f>IF(AND(D68&gt;=D67, D68&gt;D69), D68, "")</f>
        <v/>
      </c>
      <c r="J69" s="2"/>
      <c r="K69" s="2"/>
    </row>
    <row r="70" spans="1:11" x14ac:dyDescent="0.25">
      <c r="A70">
        <v>7.3742983751846296</v>
      </c>
      <c r="B70">
        <v>1.03474416591207</v>
      </c>
      <c r="C70">
        <v>12.4902562012937</v>
      </c>
      <c r="D70">
        <v>1.0730919881801999</v>
      </c>
      <c r="E70">
        <v>13.1129221209188</v>
      </c>
      <c r="F70">
        <v>1.01643394446872</v>
      </c>
      <c r="G70" t="str">
        <f>IF(AND(B69&gt;=B68, B69&gt;B70), B69, "")</f>
        <v/>
      </c>
      <c r="H70">
        <f>IF(AND(D69&gt;=D68, D69&gt;D70), D69, "")</f>
        <v>1.0810379333348601</v>
      </c>
      <c r="J70" s="2"/>
      <c r="K70" s="2"/>
    </row>
    <row r="71" spans="1:11" x14ac:dyDescent="0.25">
      <c r="A71">
        <v>7.56876460834083</v>
      </c>
      <c r="B71">
        <v>0.96280841122689698</v>
      </c>
      <c r="C71">
        <v>12.675373096317401</v>
      </c>
      <c r="D71">
        <v>1.06169128426265</v>
      </c>
      <c r="E71">
        <v>13.2980390159425</v>
      </c>
      <c r="F71">
        <v>1.0028452266679999</v>
      </c>
      <c r="G71" t="str">
        <f>IF(AND(B70&gt;=B69, B70&gt;B71), B70, "")</f>
        <v/>
      </c>
      <c r="H71" t="str">
        <f>IF(AND(D70&gt;=D69, D70&gt;D71), D70, "")</f>
        <v/>
      </c>
      <c r="J71" s="2"/>
      <c r="K71" s="2"/>
    </row>
    <row r="72" spans="1:11" x14ac:dyDescent="0.25">
      <c r="A72">
        <v>7.7445321652320001</v>
      </c>
      <c r="B72">
        <v>0.90760904343752602</v>
      </c>
      <c r="C72">
        <v>12.826832374064001</v>
      </c>
      <c r="D72">
        <v>1.0487359389017901</v>
      </c>
      <c r="E72">
        <v>13.4831559109662</v>
      </c>
      <c r="F72">
        <v>0.98741397086040605</v>
      </c>
      <c r="G72" t="str">
        <f>IF(AND(B71&gt;=B70, B71&gt;B72), B71, "")</f>
        <v/>
      </c>
      <c r="H72" t="str">
        <f>IF(AND(D71&gt;=D70, D71&gt;D72), D71, "")</f>
        <v/>
      </c>
      <c r="J72" s="2"/>
      <c r="K72" s="2"/>
    </row>
    <row r="73" spans="1:11" x14ac:dyDescent="0.25">
      <c r="A73">
        <v>7.9330148219833898</v>
      </c>
      <c r="B73">
        <v>0.86594465275701005</v>
      </c>
      <c r="C73">
        <v>13.225915550348899</v>
      </c>
      <c r="D73">
        <v>0.99797566193554299</v>
      </c>
      <c r="E73">
        <v>13.668272805989901</v>
      </c>
      <c r="F73">
        <v>0.97589810831742096</v>
      </c>
      <c r="G73" t="str">
        <f>IF(AND(B72&gt;=B71, B72&gt;B73), B72, "")</f>
        <v/>
      </c>
      <c r="H73" t="str">
        <f>IF(AND(D72&gt;=D71, D72&gt;D73), D72, "")</f>
        <v/>
      </c>
      <c r="J73" s="2"/>
      <c r="K73" s="2"/>
    </row>
    <row r="74" spans="1:11" x14ac:dyDescent="0.25">
      <c r="A74">
        <v>8.1332776447817405</v>
      </c>
      <c r="B74">
        <v>0.83706286949920605</v>
      </c>
      <c r="C74">
        <v>13.415840676412101</v>
      </c>
      <c r="D74">
        <v>0.982774723378804</v>
      </c>
      <c r="E74">
        <v>13.853389701013599</v>
      </c>
      <c r="F74">
        <v>0.96703089415932397</v>
      </c>
      <c r="G74" t="str">
        <f>IF(AND(B73&gt;=B72, B73&gt;B74), B73, "")</f>
        <v/>
      </c>
      <c r="H74" t="str">
        <f>IF(AND(D73&gt;=D72, D73&gt;D74), D73, "")</f>
        <v/>
      </c>
      <c r="J74" s="2"/>
      <c r="K74" s="2"/>
    </row>
    <row r="75" spans="1:11" x14ac:dyDescent="0.25">
      <c r="A75">
        <v>8.2325676157489909</v>
      </c>
      <c r="B75">
        <v>0.83402268178785899</v>
      </c>
      <c r="C75">
        <v>13.595908928844199</v>
      </c>
      <c r="D75">
        <v>0.96969105840675396</v>
      </c>
      <c r="E75">
        <v>14.0385065960372</v>
      </c>
      <c r="F75">
        <v>0.96081232838611197</v>
      </c>
      <c r="G75" t="str">
        <f>IF(AND(B74&gt;=B73, B74&gt;B75), B74, "")</f>
        <v/>
      </c>
      <c r="H75" t="str">
        <f>IF(AND(D74&gt;=D73, D74&gt;D75), D74, "")</f>
        <v/>
      </c>
      <c r="J75" s="2"/>
      <c r="K75" s="2"/>
    </row>
    <row r="76" spans="1:11" x14ac:dyDescent="0.25">
      <c r="A76">
        <v>8.6179473335710295</v>
      </c>
      <c r="B76">
        <v>0.83706286949920605</v>
      </c>
      <c r="C76">
        <v>13.7860744664595</v>
      </c>
      <c r="D76">
        <v>0.95701209374692797</v>
      </c>
      <c r="E76">
        <v>14.2236234910609</v>
      </c>
      <c r="F76">
        <v>0.960466852509823</v>
      </c>
      <c r="G76" t="str">
        <f>IF(AND(B75&gt;=B74, B75&gt;B76), B75, "")</f>
        <v/>
      </c>
      <c r="H76" t="str">
        <f>IF(AND(D75&gt;=D74, D75&gt;D76), D75, "")</f>
        <v/>
      </c>
      <c r="J76" s="2"/>
      <c r="K76" s="2"/>
    </row>
    <row r="77" spans="1:11" x14ac:dyDescent="0.25">
      <c r="A77">
        <v>8.8178361828440792</v>
      </c>
      <c r="B77">
        <v>0.85893533108918096</v>
      </c>
      <c r="C77">
        <v>13.9711913614832</v>
      </c>
      <c r="D77">
        <v>0.94872067271598004</v>
      </c>
      <c r="E77">
        <v>14.408740386084601</v>
      </c>
      <c r="F77">
        <v>0.96184875601498199</v>
      </c>
      <c r="G77" t="str">
        <f>IF(AND(B76&gt;=B75, B76&gt;B77), B76, "")</f>
        <v/>
      </c>
      <c r="H77" t="str">
        <f>IF(AND(D76&gt;=D75, D76&gt;D77), D76, "")</f>
        <v/>
      </c>
      <c r="J77" s="2"/>
      <c r="K77" s="2"/>
    </row>
    <row r="78" spans="1:11" x14ac:dyDescent="0.25">
      <c r="A78">
        <v>8.98986400448225</v>
      </c>
      <c r="B78">
        <v>0.88791691848902499</v>
      </c>
      <c r="C78">
        <v>14.1563082565069</v>
      </c>
      <c r="D78">
        <v>0.94561138982937398</v>
      </c>
      <c r="E78">
        <v>14.593857281108299</v>
      </c>
      <c r="F78">
        <v>0.96633994240674603</v>
      </c>
      <c r="G78" t="str">
        <f>IF(AND(B77&gt;=B76, B77&gt;B78), B77, "")</f>
        <v/>
      </c>
      <c r="H78" t="str">
        <f>IF(AND(D77&gt;=D76, D77&gt;D78), D77, "")</f>
        <v/>
      </c>
      <c r="J78" s="2"/>
      <c r="K78" s="2"/>
    </row>
    <row r="79" spans="1:11" x14ac:dyDescent="0.25">
      <c r="A79">
        <v>9.1699322569143806</v>
      </c>
      <c r="B79">
        <v>0.92750845391180203</v>
      </c>
      <c r="C79">
        <v>14.341425151530499</v>
      </c>
      <c r="D79">
        <v>0.94802972096340099</v>
      </c>
      <c r="E79">
        <v>14.778974176131999</v>
      </c>
      <c r="F79">
        <v>0.97359493580882595</v>
      </c>
      <c r="G79" t="str">
        <f>IF(AND(B78&gt;=B77, B78&gt;B79), B78, "")</f>
        <v/>
      </c>
      <c r="H79" t="str">
        <f>IF(AND(D78&gt;=D77, D78&gt;D79), D78, "")</f>
        <v/>
      </c>
      <c r="J79" s="2"/>
      <c r="K79" s="2"/>
    </row>
    <row r="80" spans="1:11" x14ac:dyDescent="0.25">
      <c r="A80">
        <v>9.33906178373147</v>
      </c>
      <c r="B80">
        <v>0.96513077683973203</v>
      </c>
      <c r="C80">
        <v>14.5315906891458</v>
      </c>
      <c r="D80">
        <v>0.95335004945825996</v>
      </c>
      <c r="E80">
        <v>14.930433453878599</v>
      </c>
      <c r="F80">
        <v>0.98006027006509999</v>
      </c>
      <c r="G80" t="str">
        <f>IF(AND(B79&gt;=B78, B79&gt;B80), B79, "")</f>
        <v/>
      </c>
      <c r="H80" t="str">
        <f>IF(AND(D79&gt;=D78, D79&gt;D80), D79, "")</f>
        <v/>
      </c>
      <c r="J80" s="2"/>
      <c r="K80" s="2"/>
    </row>
    <row r="81" spans="1:11" x14ac:dyDescent="0.25">
      <c r="A81">
        <v>9.6108470432435098</v>
      </c>
      <c r="B81">
        <v>1.0285946953141101</v>
      </c>
      <c r="C81">
        <v>14.6611725156624</v>
      </c>
      <c r="D81">
        <v>0.95563019024177098</v>
      </c>
      <c r="G81" t="str">
        <f>IF(AND(B80&gt;=B79, B80&gt;B81), B80, "")</f>
        <v/>
      </c>
      <c r="H81" t="str">
        <f>IF(AND(D80&gt;=D79, D80&gt;D81), D80, "")</f>
        <v/>
      </c>
      <c r="J81" s="2"/>
      <c r="K81" s="2"/>
    </row>
    <row r="82" spans="1:11" x14ac:dyDescent="0.25">
      <c r="A82">
        <v>9.8043783425864603</v>
      </c>
      <c r="B82">
        <v>1.0677371120977199</v>
      </c>
      <c r="C82">
        <v>14.941142695739501</v>
      </c>
      <c r="D82">
        <v>0.98499563972637905</v>
      </c>
      <c r="G82" t="str">
        <f>IF(AND(B81&gt;=B80, B81&gt;B82), B81, "")</f>
        <v/>
      </c>
      <c r="H82" t="str">
        <f>IF(AND(D81&gt;=D80, D81&gt;D82), D81, "")</f>
        <v/>
      </c>
      <c r="J82" s="2"/>
      <c r="K82" s="2"/>
    </row>
    <row r="83" spans="1:11" x14ac:dyDescent="0.25">
      <c r="A83">
        <v>9.97645291091529</v>
      </c>
      <c r="B83">
        <v>1.09433875457201</v>
      </c>
      <c r="G83" t="str">
        <f>IF(AND(B82&gt;=B81, B82&gt;B83), B82, "")</f>
        <v/>
      </c>
      <c r="J83" s="2"/>
      <c r="K83" s="2"/>
    </row>
    <row r="84" spans="1:11" x14ac:dyDescent="0.25">
      <c r="A84">
        <v>10.169563490042201</v>
      </c>
      <c r="B84">
        <v>1.11219985737618</v>
      </c>
      <c r="G84" t="str">
        <f>IF(AND(B83&gt;=B82, B83&gt;B84), B83, "")</f>
        <v/>
      </c>
      <c r="H84" t="str">
        <f>IF(AND(D83&gt;=D82, D83&gt;D84), D83, "")</f>
        <v/>
      </c>
      <c r="J84" s="2"/>
      <c r="K84" s="2"/>
    </row>
    <row r="85" spans="1:11" x14ac:dyDescent="0.25">
      <c r="A85">
        <v>10.352997504202101</v>
      </c>
      <c r="B85">
        <v>1.1152400450875299</v>
      </c>
      <c r="G85" t="str">
        <f>IF(AND(B84&gt;=B83, B84&gt;B85), B84, "")</f>
        <v/>
      </c>
      <c r="H85" t="str">
        <f>IF(AND(D84&gt;=D83, D84&gt;D85), D84, "")</f>
        <v/>
      </c>
      <c r="J85" s="2"/>
      <c r="K85" s="2"/>
    </row>
    <row r="86" spans="1:11" x14ac:dyDescent="0.25">
      <c r="A86">
        <v>10.533306168186201</v>
      </c>
      <c r="B86">
        <v>1.10872535713464</v>
      </c>
      <c r="G86">
        <f>IF(AND(B85&gt;=B84, B85&gt;B86), B85, "")</f>
        <v>1.1152400450875299</v>
      </c>
      <c r="H86" t="str">
        <f>IF(AND(D85&gt;=D84, D85&gt;D86), D85, "")</f>
        <v/>
      </c>
      <c r="J86" s="2"/>
      <c r="K86" s="2"/>
    </row>
    <row r="87" spans="1:11" x14ac:dyDescent="0.25">
      <c r="A87">
        <v>10.716018947690101</v>
      </c>
      <c r="B87">
        <v>1.09026707460145</v>
      </c>
      <c r="G87" t="str">
        <f>IF(AND(B86&gt;=B85, B86&gt;B87), B86, "")</f>
        <v/>
      </c>
      <c r="H87" t="str">
        <f>IF(AND(D86&gt;=D85, D86&gt;D87), D86, "")</f>
        <v/>
      </c>
      <c r="J87" s="2"/>
      <c r="K87" s="2"/>
    </row>
    <row r="88" spans="1:11" x14ac:dyDescent="0.25">
      <c r="A88">
        <v>10.9195673950321</v>
      </c>
      <c r="B88">
        <v>1.06372575331191</v>
      </c>
      <c r="G88" t="str">
        <f>IF(AND(B87&gt;=B86, B87&gt;B88), B87, "")</f>
        <v/>
      </c>
      <c r="H88" t="str">
        <f>IF(AND(D87&gt;=D86, D87&gt;D88), D87, "")</f>
        <v/>
      </c>
      <c r="J88" s="2"/>
      <c r="K88" s="2"/>
    </row>
    <row r="89" spans="1:11" x14ac:dyDescent="0.25">
      <c r="A89">
        <v>11.105245250343801</v>
      </c>
      <c r="B89">
        <v>1.0377152584481599</v>
      </c>
      <c r="G89" t="str">
        <f>IF(AND(B88&gt;=B87, B88&gt;B89), B88, "")</f>
        <v/>
      </c>
      <c r="H89" t="str">
        <f>IF(AND(D88&gt;=D87, D88&gt;D89), D88, "")</f>
        <v/>
      </c>
      <c r="J89" s="2"/>
      <c r="K89" s="2"/>
    </row>
    <row r="90" spans="1:11" x14ac:dyDescent="0.25">
      <c r="A90">
        <v>11.2757771778807</v>
      </c>
      <c r="B90">
        <v>1.01136696494981</v>
      </c>
      <c r="G90" t="str">
        <f>IF(AND(B89&gt;=B88, B89&gt;B90), B89, "")</f>
        <v/>
      </c>
      <c r="H90" t="str">
        <f>IF(AND(D89&gt;=D88, D89&gt;D90), D89, "")</f>
        <v/>
      </c>
      <c r="J90" s="2"/>
      <c r="K90" s="2"/>
    </row>
    <row r="91" spans="1:11" x14ac:dyDescent="0.25">
      <c r="A91">
        <v>11.5571922556693</v>
      </c>
      <c r="B91">
        <v>0.97420911514445097</v>
      </c>
      <c r="G91" t="str">
        <f>IF(AND(B90&gt;=B89, B90&gt;B91), B90, "")</f>
        <v/>
      </c>
      <c r="H91" t="str">
        <f>IF(AND(D90&gt;=D89, D90&gt;D91), D90, "")</f>
        <v/>
      </c>
      <c r="J91" s="2"/>
      <c r="K91" s="2"/>
    </row>
    <row r="92" spans="1:11" x14ac:dyDescent="0.25">
      <c r="A92">
        <v>11.7890558413555</v>
      </c>
      <c r="B92">
        <v>0.95056321072285699</v>
      </c>
      <c r="G92" t="str">
        <f>IF(AND(B91&gt;=B90, B91&gt;B92), B91, "")</f>
        <v/>
      </c>
      <c r="H92" t="str">
        <f>IF(AND(D91&gt;=D90, D91&gt;D92), D91, "")</f>
        <v/>
      </c>
      <c r="J92" s="2"/>
      <c r="K92" s="2"/>
    </row>
    <row r="93" spans="1:11" x14ac:dyDescent="0.25">
      <c r="A93">
        <v>12.0527071766923</v>
      </c>
      <c r="B93">
        <v>0.93282878240666101</v>
      </c>
      <c r="G93" t="str">
        <f>IF(AND(B92&gt;=B91, B92&gt;B93), B92, "")</f>
        <v/>
      </c>
      <c r="H93" t="str">
        <f>IF(AND(D92&gt;=D91, D92&gt;D93), D92, "")</f>
        <v/>
      </c>
      <c r="J93" s="2"/>
      <c r="K93" s="2"/>
    </row>
    <row r="94" spans="1:11" x14ac:dyDescent="0.25">
      <c r="A94">
        <v>12.1957520501196</v>
      </c>
      <c r="B94">
        <v>0.93282878240666101</v>
      </c>
      <c r="G94" t="str">
        <f>IF(AND(B93&gt;=B92, B93&gt;B94), B93, "")</f>
        <v/>
      </c>
      <c r="H94" t="str">
        <f>IF(AND(D93&gt;=D92, D93&gt;D94), D93, "")</f>
        <v/>
      </c>
      <c r="J94" s="2"/>
      <c r="K94" s="2"/>
    </row>
    <row r="95" spans="1:11" x14ac:dyDescent="0.25">
      <c r="A95">
        <v>12.4633301074721</v>
      </c>
      <c r="B95">
        <v>0.93282878240666101</v>
      </c>
      <c r="G95" t="str">
        <f>IF(AND(B94&gt;=B93, B94&gt;B95), B94, "")</f>
        <v/>
      </c>
      <c r="H95" t="str">
        <f>IF(AND(D94&gt;=D93, D94&gt;D95), D94, "")</f>
        <v/>
      </c>
      <c r="J95" s="2"/>
      <c r="K95" s="2"/>
    </row>
    <row r="96" spans="1:11" x14ac:dyDescent="0.25">
      <c r="A96">
        <v>12.648927825599699</v>
      </c>
      <c r="B96">
        <v>0.94368659566147595</v>
      </c>
      <c r="G96" t="str">
        <f>IF(AND(B95&gt;=B94, B95&gt;B96), B95, "")</f>
        <v/>
      </c>
      <c r="H96" t="str">
        <f>IF(AND(D95&gt;=D94, D95&gt;D96), D95, "")</f>
        <v/>
      </c>
      <c r="J96" s="2"/>
      <c r="K96" s="2"/>
    </row>
    <row r="97" spans="1:11" x14ac:dyDescent="0.25">
      <c r="A97">
        <v>12.8287022416905</v>
      </c>
      <c r="B97">
        <v>0.95225220389582799</v>
      </c>
      <c r="G97" t="str">
        <f>IF(AND(B96&gt;=B95, B96&gt;B97), B96, "")</f>
        <v/>
      </c>
      <c r="H97" t="str">
        <f>IF(AND(D96&gt;=D95, D96&gt;D97), D96, "")</f>
        <v/>
      </c>
      <c r="J97" s="2"/>
      <c r="K97" s="2"/>
    </row>
    <row r="98" spans="1:11" x14ac:dyDescent="0.25">
      <c r="A98">
        <v>13.070850099322501</v>
      </c>
      <c r="B98">
        <v>0.97387131650985703</v>
      </c>
      <c r="G98" t="str">
        <f>IF(AND(B97&gt;=B96, B97&gt;B98), B97, "")</f>
        <v/>
      </c>
      <c r="H98" t="str">
        <f>IF(AND(D97&gt;=D96, D97&gt;D98), D97, "")</f>
        <v/>
      </c>
      <c r="J98" s="2"/>
      <c r="K98" s="2"/>
    </row>
    <row r="99" spans="1:11" x14ac:dyDescent="0.25">
      <c r="A99">
        <v>13.2223093770692</v>
      </c>
      <c r="B99">
        <v>0.99363253663361795</v>
      </c>
      <c r="G99" t="str">
        <f>IF(AND(B98&gt;=B97, B98&gt;B99), B98, "")</f>
        <v/>
      </c>
      <c r="H99" t="str">
        <f>IF(AND(D98&gt;=D97, D98&gt;D99), D98, "")</f>
        <v/>
      </c>
      <c r="J99" s="2"/>
      <c r="K99" s="2"/>
    </row>
    <row r="100" spans="1:11" x14ac:dyDescent="0.25">
      <c r="A100">
        <v>13.5487882646564</v>
      </c>
      <c r="B100">
        <v>1.01947413218007</v>
      </c>
      <c r="G100" t="str">
        <f>IF(AND(B99&gt;=B98, B99&gt;B100), B99, "")</f>
        <v/>
      </c>
      <c r="H100" t="str">
        <f>IF(AND(D99&gt;=D98, D99&gt;D100), D99, "")</f>
        <v/>
      </c>
      <c r="J100" s="2"/>
      <c r="K100" s="2"/>
    </row>
    <row r="101" spans="1:11" x14ac:dyDescent="0.25">
      <c r="A101">
        <v>13.740396271583499</v>
      </c>
      <c r="B101">
        <v>1.0327206643509399</v>
      </c>
      <c r="G101" t="str">
        <f>IF(AND(B100&gt;=B99, B100&gt;B101), B100, "")</f>
        <v/>
      </c>
      <c r="H101" t="str">
        <f>IF(AND(D100&gt;=D99, D100&gt;D101), D100, "")</f>
        <v/>
      </c>
      <c r="J101" s="2"/>
      <c r="K101" s="2"/>
    </row>
    <row r="102" spans="1:11" x14ac:dyDescent="0.25">
      <c r="A102">
        <v>13.9038761269291</v>
      </c>
      <c r="B102">
        <v>1.03923535230383</v>
      </c>
      <c r="G102" t="str">
        <f>IF(AND(B101&gt;=B100, B101&gt;B102), B101, "")</f>
        <v/>
      </c>
      <c r="H102" t="str">
        <f>IF(AND(D101&gt;=D100, D101&gt;D102), D101, "")</f>
        <v/>
      </c>
      <c r="J102" s="2"/>
      <c r="K102" s="2"/>
    </row>
    <row r="103" spans="1:11" x14ac:dyDescent="0.25">
      <c r="A103">
        <v>14.1394794478683</v>
      </c>
      <c r="B103">
        <v>1.0468358215822</v>
      </c>
      <c r="G103" t="str">
        <f>IF(AND(B102&gt;=B101, B102&gt;B103), B102, "")</f>
        <v/>
      </c>
      <c r="H103" t="str">
        <f>IF(AND(D102&gt;=D101, D102&gt;D103), D102, "")</f>
        <v/>
      </c>
      <c r="J103" s="2"/>
      <c r="K103" s="2"/>
    </row>
    <row r="104" spans="1:11" x14ac:dyDescent="0.25">
      <c r="A104">
        <v>14.290938725615</v>
      </c>
      <c r="B104">
        <v>1.0468358215822</v>
      </c>
      <c r="G104" t="str">
        <f>IF(AND(B103&gt;=B102, B103&gt;B104), B103, "")</f>
        <v/>
      </c>
      <c r="H104" t="str">
        <f>IF(AND(D103&gt;=D102, D103&gt;D104), D103, "")</f>
        <v/>
      </c>
      <c r="J104" s="2"/>
      <c r="K104" s="2"/>
    </row>
    <row r="105" spans="1:11" x14ac:dyDescent="0.25">
      <c r="A105">
        <v>14.5265420465542</v>
      </c>
      <c r="B105">
        <v>1.03888987642754</v>
      </c>
      <c r="G105">
        <f>IF(AND(B104&gt;=B103, B104&gt;B105), B104, "")</f>
        <v>1.0468358215822</v>
      </c>
      <c r="H105" t="str">
        <f>IF(AND(D104&gt;=D103, D104&gt;D105), D104, "")</f>
        <v/>
      </c>
      <c r="J105" s="2"/>
      <c r="K105" s="2"/>
    </row>
    <row r="106" spans="1:11" x14ac:dyDescent="0.25">
      <c r="A106">
        <v>14.725682948776701</v>
      </c>
      <c r="B106">
        <v>1.029101393266</v>
      </c>
      <c r="G106" t="str">
        <f>IF(AND(B105&gt;=B104, B105&gt;B106), B105, "")</f>
        <v/>
      </c>
      <c r="H106" t="str">
        <f>IF(AND(D105&gt;=D104, D105&gt;D106), D105, "")</f>
        <v/>
      </c>
      <c r="J106" s="2"/>
      <c r="K106" s="2"/>
    </row>
    <row r="107" spans="1:11" x14ac:dyDescent="0.25">
      <c r="A107">
        <v>14.8986457042281</v>
      </c>
      <c r="B107">
        <v>1.01812293764169</v>
      </c>
      <c r="G107" t="str">
        <f>IF(AND(B106&gt;=B105, B106&gt;B107), B106, "")</f>
        <v/>
      </c>
      <c r="H107" t="str">
        <f>IF(AND(D106&gt;=D105, D106&gt;D107), D106, "")</f>
        <v/>
      </c>
      <c r="J107" s="2"/>
      <c r="K107" s="2"/>
    </row>
    <row r="108" spans="1:11" x14ac:dyDescent="0.25">
      <c r="G108" t="str">
        <f>IF(AND(B107&gt;=B106, B107&gt;B108), B107, "")</f>
        <v/>
      </c>
      <c r="H108" t="str">
        <f>IF(AND(D107&gt;=D106, D107&gt;D108), D107, "")</f>
        <v/>
      </c>
      <c r="J108" s="2"/>
      <c r="K108" s="2"/>
    </row>
    <row r="109" spans="1:11" x14ac:dyDescent="0.25">
      <c r="J109" s="2"/>
      <c r="K109" s="2"/>
    </row>
    <row r="110" spans="1:11" x14ac:dyDescent="0.25">
      <c r="J110" s="2"/>
      <c r="K110" s="2"/>
    </row>
    <row r="111" spans="1:11" x14ac:dyDescent="0.25">
      <c r="J111" s="2"/>
      <c r="K111" s="2"/>
    </row>
    <row r="112" spans="1:11" x14ac:dyDescent="0.25">
      <c r="J112" s="2"/>
      <c r="K112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PDF_CsF</vt:lpstr>
      <vt:lpstr>PDF_CsF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2025-05-23T09:53:49Z</dcterms:created>
  <dcterms:modified xsi:type="dcterms:W3CDTF">2025-05-30T23:07:52Z</dcterms:modified>
</cp:coreProperties>
</file>