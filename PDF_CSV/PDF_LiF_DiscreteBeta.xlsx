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Code\TC_Comparison_Code\RDF_Plots\RDF_CSV\"/>
    </mc:Choice>
  </mc:AlternateContent>
  <xr:revisionPtr revIDLastSave="0" documentId="13_ncr:1_{D2F32835-3C7A-4ED1-A76E-17E1A73FE0CF}" xr6:coauthVersionLast="36" xr6:coauthVersionMax="36" xr10:uidLastSave="{00000000-0000-0000-0000-000000000000}"/>
  <bookViews>
    <workbookView xWindow="0" yWindow="0" windowWidth="16200" windowHeight="10605" xr2:uid="{00000000-000D-0000-FFFF-FFFF00000000}"/>
  </bookViews>
  <sheets>
    <sheet name="PDF_LiF" sheetId="1" r:id="rId1"/>
  </sheets>
  <calcPr calcId="191029"/>
</workbook>
</file>

<file path=xl/calcChain.xml><?xml version="1.0" encoding="utf-8"?>
<calcChain xmlns="http://schemas.openxmlformats.org/spreadsheetml/2006/main">
  <c r="AA27" i="1" l="1"/>
  <c r="AA21" i="1"/>
  <c r="AA22" i="1"/>
  <c r="AA23" i="1"/>
  <c r="AA24" i="1"/>
  <c r="AA25" i="1"/>
  <c r="AA20" i="1"/>
  <c r="AA19" i="1"/>
  <c r="AB20" i="1"/>
  <c r="AB19" i="1"/>
  <c r="W27" i="1"/>
  <c r="V24" i="1"/>
  <c r="V27" i="1"/>
  <c r="V20" i="1"/>
  <c r="V19" i="1"/>
  <c r="W19" i="1"/>
  <c r="Z20" i="1"/>
  <c r="Z21" i="1"/>
  <c r="Z22" i="1"/>
  <c r="Z23" i="1"/>
  <c r="Z24" i="1"/>
  <c r="Z25" i="1"/>
  <c r="AE19" i="1"/>
  <c r="G52" i="1" l="1"/>
  <c r="G43" i="1"/>
  <c r="G44" i="1"/>
  <c r="G45" i="1"/>
  <c r="G46" i="1"/>
  <c r="G47" i="1"/>
  <c r="G48" i="1"/>
  <c r="G49" i="1"/>
  <c r="G50" i="1"/>
  <c r="G53" i="1"/>
  <c r="G54" i="1"/>
  <c r="G55" i="1"/>
  <c r="G56" i="1"/>
  <c r="G57" i="1"/>
  <c r="G58" i="1"/>
  <c r="G59" i="1"/>
  <c r="G60" i="1"/>
  <c r="G61" i="1"/>
  <c r="G62" i="1"/>
  <c r="G63" i="1"/>
  <c r="G4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3" i="1"/>
  <c r="G1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64" i="1"/>
  <c r="G65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M26" i="1"/>
  <c r="M25" i="1"/>
  <c r="M24" i="1"/>
  <c r="M23" i="1"/>
  <c r="M22" i="1"/>
  <c r="M21" i="1"/>
  <c r="M20" i="1"/>
  <c r="M19" i="1"/>
  <c r="J1" i="1"/>
  <c r="O11" i="1" l="1"/>
  <c r="N11" i="1" s="1"/>
  <c r="K11" i="1"/>
  <c r="K9" i="1"/>
  <c r="K8" i="1"/>
  <c r="O9" i="1"/>
  <c r="O8" i="1"/>
  <c r="K20" i="1" s="1"/>
  <c r="K10" i="1"/>
  <c r="K12" i="1"/>
  <c r="J12" i="1" s="1"/>
  <c r="L12" i="1" s="1"/>
  <c r="K13" i="1"/>
  <c r="J13" i="1" s="1"/>
  <c r="L13" i="1" s="1"/>
  <c r="O10" i="1"/>
  <c r="N9" i="1" l="1"/>
  <c r="J22" i="1" s="1"/>
  <c r="K22" i="1"/>
  <c r="N10" i="1"/>
  <c r="J24" i="1" s="1"/>
  <c r="K24" i="1"/>
  <c r="J9" i="1"/>
  <c r="K21" i="1"/>
  <c r="J11" i="1"/>
  <c r="J25" i="1" s="1"/>
  <c r="K25" i="1"/>
  <c r="J10" i="1"/>
  <c r="K23" i="1"/>
  <c r="P24" i="1" s="1"/>
  <c r="J8" i="1"/>
  <c r="J19" i="1" s="1"/>
  <c r="K19" i="1"/>
  <c r="P21" i="1" s="1"/>
  <c r="J2" i="1"/>
  <c r="N8" i="1"/>
  <c r="J20" i="1" s="1"/>
  <c r="T21" i="1" l="1"/>
  <c r="P22" i="1"/>
  <c r="T22" i="1" s="1"/>
  <c r="P25" i="1"/>
  <c r="T25" i="1" s="1"/>
  <c r="P23" i="1"/>
  <c r="T23" i="1" s="1"/>
  <c r="L9" i="1"/>
  <c r="L21" i="1" s="1"/>
  <c r="J21" i="1"/>
  <c r="T24" i="1"/>
  <c r="L11" i="1"/>
  <c r="L25" i="1" s="1"/>
  <c r="O25" i="1" s="1"/>
  <c r="S25" i="1" s="1"/>
  <c r="L10" i="1"/>
  <c r="L23" i="1" s="1"/>
  <c r="O23" i="1" s="1"/>
  <c r="S23" i="1" s="1"/>
  <c r="J23" i="1"/>
  <c r="T19" i="1"/>
  <c r="T20" i="1"/>
  <c r="L8" i="1"/>
  <c r="J3" i="1"/>
  <c r="J4" i="1" s="1"/>
  <c r="U25" i="1" l="1"/>
  <c r="V25" i="1" s="1"/>
  <c r="O21" i="1"/>
  <c r="S21" i="1" s="1"/>
  <c r="U21" i="1" s="1"/>
  <c r="V21" i="1" s="1"/>
  <c r="U23" i="1"/>
  <c r="V23" i="1" s="1"/>
  <c r="J27" i="1"/>
  <c r="L19" i="1"/>
  <c r="O19" i="1" s="1"/>
  <c r="S19" i="1" l="1"/>
  <c r="U19" i="1" s="1"/>
  <c r="P13" i="1" l="1"/>
  <c r="P12" i="1"/>
  <c r="P11" i="1"/>
  <c r="L26" i="1" s="1"/>
  <c r="P9" i="1"/>
  <c r="L22" i="1" s="1"/>
  <c r="O22" i="1" s="1"/>
  <c r="S22" i="1" s="1"/>
  <c r="U22" i="1" s="1"/>
  <c r="V22" i="1" s="1"/>
  <c r="P10" i="1"/>
  <c r="L24" i="1" s="1"/>
  <c r="O24" i="1" s="1"/>
  <c r="S24" i="1" s="1"/>
  <c r="U24" i="1" s="1"/>
  <c r="P8" i="1"/>
  <c r="L20" i="1" l="1"/>
  <c r="O20" i="1" s="1"/>
  <c r="S20" i="1" s="1"/>
  <c r="U20" i="1" l="1"/>
  <c r="W24" i="1" l="1"/>
  <c r="W21" i="1"/>
  <c r="W25" i="1"/>
  <c r="W20" i="1"/>
  <c r="W23" i="1"/>
  <c r="W22" i="1"/>
  <c r="X20" i="1" l="1"/>
  <c r="AB22" i="1"/>
  <c r="X22" i="1"/>
  <c r="AB23" i="1"/>
  <c r="X23" i="1"/>
  <c r="X19" i="1"/>
  <c r="AB25" i="1"/>
  <c r="X25" i="1"/>
  <c r="AB21" i="1"/>
  <c r="X21" i="1"/>
  <c r="AB24" i="1"/>
  <c r="X24" i="1"/>
  <c r="AC19" i="1"/>
  <c r="Y19" i="1" l="1"/>
  <c r="Z19" i="1"/>
  <c r="Z26" i="1" s="1"/>
  <c r="AF19" i="1"/>
  <c r="X26" i="1"/>
  <c r="AD19" i="1"/>
  <c r="Y21" i="1" l="1"/>
  <c r="Y24" i="1"/>
  <c r="Y25" i="1"/>
  <c r="Y20" i="1"/>
  <c r="Y22" i="1"/>
  <c r="Y23" i="1"/>
</calcChain>
</file>

<file path=xl/sharedStrings.xml><?xml version="1.0" encoding="utf-8"?>
<sst xmlns="http://schemas.openxmlformats.org/spreadsheetml/2006/main" count="55" uniqueCount="35">
  <si>
    <t>Li-F</t>
  </si>
  <si>
    <t>Li-Li</t>
  </si>
  <si>
    <t>F-F</t>
  </si>
  <si>
    <t>R (A)</t>
  </si>
  <si>
    <t>RDF</t>
  </si>
  <si>
    <t>Ideal</t>
  </si>
  <si>
    <t>x_i</t>
  </si>
  <si>
    <t>w_m,i</t>
  </si>
  <si>
    <t>r_m,i</t>
  </si>
  <si>
    <t>c_i</t>
  </si>
  <si>
    <t>+-</t>
  </si>
  <si>
    <t>++</t>
  </si>
  <si>
    <t>w(r ) Non-ideal</t>
  </si>
  <si>
    <t>Peak</t>
  </si>
  <si>
    <t>r</t>
  </si>
  <si>
    <t>w(r )</t>
  </si>
  <si>
    <t>Constructed Sequence</t>
  </si>
  <si>
    <t>Total</t>
  </si>
  <si>
    <t>b_NI</t>
  </si>
  <si>
    <t>b_SRO</t>
  </si>
  <si>
    <t>Beta_NI</t>
  </si>
  <si>
    <t>Beta_SRO</t>
  </si>
  <si>
    <t>Beta_TOTAL</t>
  </si>
  <si>
    <t>Area_Interval</t>
  </si>
  <si>
    <t>P(r )</t>
  </si>
  <si>
    <t>P_i*r_i</t>
  </si>
  <si>
    <t>⟨P⟩</t>
  </si>
  <si>
    <t>lambda</t>
  </si>
  <si>
    <t>⟨P_i*r_i⟩</t>
  </si>
  <si>
    <t>r(⟨P_i*r_i⟩)</t>
  </si>
  <si>
    <t>Share</t>
  </si>
  <si>
    <t>Norm Share</t>
  </si>
  <si>
    <t>b_RTO</t>
  </si>
  <si>
    <t>b_k</t>
  </si>
  <si>
    <t>P_i*delta_r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</si>
</sst>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PDF_LiF!$A$1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PDF_LiF!$A$3:$A$62</c:f>
              <c:numCache>
                <c:formatCode>General</c:formatCode>
                <c:ptCount val="60"/>
                <c:pt idx="0">
                  <c:v>1.510219515</c:v>
                </c:pt>
                <c:pt idx="1">
                  <c:v>1.561460361</c:v>
                </c:pt>
                <c:pt idx="2">
                  <c:v>1.578540643</c:v>
                </c:pt>
                <c:pt idx="3">
                  <c:v>1.612701207</c:v>
                </c:pt>
                <c:pt idx="4">
                  <c:v>1.629781489</c:v>
                </c:pt>
                <c:pt idx="5">
                  <c:v>1.6810223360000001</c:v>
                </c:pt>
                <c:pt idx="6">
                  <c:v>1.7322631820000001</c:v>
                </c:pt>
                <c:pt idx="7">
                  <c:v>1.7835040280000001</c:v>
                </c:pt>
                <c:pt idx="8">
                  <c:v>1.8347448740000001</c:v>
                </c:pt>
                <c:pt idx="9">
                  <c:v>1.877445579</c:v>
                </c:pt>
                <c:pt idx="10">
                  <c:v>1.9372265660000001</c:v>
                </c:pt>
                <c:pt idx="11">
                  <c:v>1.9884674120000001</c:v>
                </c:pt>
                <c:pt idx="12">
                  <c:v>2.0397082590000002</c:v>
                </c:pt>
                <c:pt idx="13">
                  <c:v>2.056788541</c:v>
                </c:pt>
                <c:pt idx="14">
                  <c:v>2.1080293870000002</c:v>
                </c:pt>
                <c:pt idx="15">
                  <c:v>2.159270233</c:v>
                </c:pt>
                <c:pt idx="16">
                  <c:v>2.2105110790000002</c:v>
                </c:pt>
                <c:pt idx="17">
                  <c:v>2.261751925</c:v>
                </c:pt>
                <c:pt idx="18">
                  <c:v>2.3129927709999998</c:v>
                </c:pt>
                <c:pt idx="19">
                  <c:v>2.3642336180000001</c:v>
                </c:pt>
                <c:pt idx="20">
                  <c:v>2.5179561559999999</c:v>
                </c:pt>
                <c:pt idx="21">
                  <c:v>2.6375181300000001</c:v>
                </c:pt>
                <c:pt idx="22">
                  <c:v>2.791240669</c:v>
                </c:pt>
                <c:pt idx="23">
                  <c:v>3.0645251820000001</c:v>
                </c:pt>
                <c:pt idx="24">
                  <c:v>3.491532233</c:v>
                </c:pt>
                <c:pt idx="25">
                  <c:v>3.5940139250000001</c:v>
                </c:pt>
                <c:pt idx="26">
                  <c:v>3.6452547719999999</c:v>
                </c:pt>
                <c:pt idx="27">
                  <c:v>4.0210209770000001</c:v>
                </c:pt>
                <c:pt idx="28">
                  <c:v>4.3967871819999997</c:v>
                </c:pt>
                <c:pt idx="29">
                  <c:v>4.4480280280000004</c:v>
                </c:pt>
                <c:pt idx="30">
                  <c:v>4.4992688740000002</c:v>
                </c:pt>
                <c:pt idx="31">
                  <c:v>4.55050972</c:v>
                </c:pt>
                <c:pt idx="32">
                  <c:v>4.6529914129999996</c:v>
                </c:pt>
                <c:pt idx="33">
                  <c:v>4.8237942330000001</c:v>
                </c:pt>
                <c:pt idx="34">
                  <c:v>5.079998464</c:v>
                </c:pt>
                <c:pt idx="35">
                  <c:v>5.2508012839999996</c:v>
                </c:pt>
                <c:pt idx="36">
                  <c:v>5.3618231180000002</c:v>
                </c:pt>
                <c:pt idx="37">
                  <c:v>5.7717498870000004</c:v>
                </c:pt>
                <c:pt idx="38">
                  <c:v>6.8136470920000001</c:v>
                </c:pt>
                <c:pt idx="39">
                  <c:v>6.8563477969999997</c:v>
                </c:pt>
                <c:pt idx="40">
                  <c:v>7.3004351310000004</c:v>
                </c:pt>
                <c:pt idx="41">
                  <c:v>7.3943766819999999</c:v>
                </c:pt>
                <c:pt idx="42">
                  <c:v>7.4883182330000002</c:v>
                </c:pt>
                <c:pt idx="43">
                  <c:v>7.5907999259999999</c:v>
                </c:pt>
                <c:pt idx="44">
                  <c:v>7.7018217590000004</c:v>
                </c:pt>
                <c:pt idx="45">
                  <c:v>7.9751062719999997</c:v>
                </c:pt>
                <c:pt idx="46">
                  <c:v>8.3337921949999991</c:v>
                </c:pt>
                <c:pt idx="47">
                  <c:v>8.9145217849999998</c:v>
                </c:pt>
                <c:pt idx="48">
                  <c:v>9.0853246050000003</c:v>
                </c:pt>
                <c:pt idx="49">
                  <c:v>9.7685358870000005</c:v>
                </c:pt>
                <c:pt idx="50">
                  <c:v>9.79415631</c:v>
                </c:pt>
                <c:pt idx="51">
                  <c:v>9.990579554</c:v>
                </c:pt>
                <c:pt idx="52">
                  <c:v>10.01619998</c:v>
                </c:pt>
                <c:pt idx="53">
                  <c:v>10.229703499999999</c:v>
                </c:pt>
                <c:pt idx="54">
                  <c:v>10.255323929999999</c:v>
                </c:pt>
                <c:pt idx="55">
                  <c:v>10.63963027</c:v>
                </c:pt>
                <c:pt idx="56">
                  <c:v>10.665250690000001</c:v>
                </c:pt>
                <c:pt idx="57">
                  <c:v>10.707951400000001</c:v>
                </c:pt>
                <c:pt idx="58">
                  <c:v>10.742111960000001</c:v>
                </c:pt>
                <c:pt idx="59">
                  <c:v>10.77627253</c:v>
                </c:pt>
              </c:numCache>
            </c:numRef>
          </c:xVal>
          <c:yVal>
            <c:numRef>
              <c:f>PDF_LiF!$B$3:$B$62</c:f>
              <c:numCache>
                <c:formatCode>General</c:formatCode>
                <c:ptCount val="60"/>
                <c:pt idx="0">
                  <c:v>1.7394069666666668E-2</c:v>
                </c:pt>
                <c:pt idx="1">
                  <c:v>6.7540172666666662E-2</c:v>
                </c:pt>
                <c:pt idx="2">
                  <c:v>0.11897207366666666</c:v>
                </c:pt>
                <c:pt idx="3">
                  <c:v>0.20254891233333336</c:v>
                </c:pt>
                <c:pt idx="4">
                  <c:v>0.30798430900000001</c:v>
                </c:pt>
                <c:pt idx="5">
                  <c:v>0.56578671133333336</c:v>
                </c:pt>
                <c:pt idx="6">
                  <c:v>0.85444825466666663</c:v>
                </c:pt>
                <c:pt idx="7">
                  <c:v>1.0897492006666667</c:v>
                </c:pt>
                <c:pt idx="8">
                  <c:v>1.2260437376666666</c:v>
                </c:pt>
                <c:pt idx="9">
                  <c:v>1.2421162066666667</c:v>
                </c:pt>
                <c:pt idx="10">
                  <c:v>1.1720402416666666</c:v>
                </c:pt>
                <c:pt idx="11">
                  <c:v>1.0498894773333334</c:v>
                </c:pt>
                <c:pt idx="12">
                  <c:v>0.92002392799999999</c:v>
                </c:pt>
                <c:pt idx="13">
                  <c:v>0.85444825466666663</c:v>
                </c:pt>
                <c:pt idx="14">
                  <c:v>0.72329690766666666</c:v>
                </c:pt>
                <c:pt idx="15">
                  <c:v>0.61014672599999997</c:v>
                </c:pt>
                <c:pt idx="16">
                  <c:v>0.51756930466666662</c:v>
                </c:pt>
                <c:pt idx="17">
                  <c:v>0.43784985833333329</c:v>
                </c:pt>
                <c:pt idx="18">
                  <c:v>0.37098838733333334</c:v>
                </c:pt>
                <c:pt idx="19">
                  <c:v>0.32212808166666668</c:v>
                </c:pt>
                <c:pt idx="20">
                  <c:v>0.22440747033333333</c:v>
                </c:pt>
                <c:pt idx="21">
                  <c:v>0.18326194966666667</c:v>
                </c:pt>
                <c:pt idx="22">
                  <c:v>0.16011759433333334</c:v>
                </c:pt>
                <c:pt idx="23">
                  <c:v>0.16011759433333334</c:v>
                </c:pt>
                <c:pt idx="24">
                  <c:v>0.23983704033333333</c:v>
                </c:pt>
                <c:pt idx="25">
                  <c:v>0.27069618099999998</c:v>
                </c:pt>
                <c:pt idx="26">
                  <c:v>0.28869734600000002</c:v>
                </c:pt>
                <c:pt idx="27">
                  <c:v>0.42242028800000003</c:v>
                </c:pt>
                <c:pt idx="28">
                  <c:v>0.45070783366666661</c:v>
                </c:pt>
                <c:pt idx="29">
                  <c:v>0.44299304833333331</c:v>
                </c:pt>
                <c:pt idx="30">
                  <c:v>0.43527826333333336</c:v>
                </c:pt>
                <c:pt idx="31">
                  <c:v>0.42499188299999996</c:v>
                </c:pt>
                <c:pt idx="32">
                  <c:v>0.40184752766666665</c:v>
                </c:pt>
                <c:pt idx="33">
                  <c:v>0.36070200733333335</c:v>
                </c:pt>
                <c:pt idx="34">
                  <c:v>0.31184170133333333</c:v>
                </c:pt>
                <c:pt idx="35">
                  <c:v>0.28869734600000002</c:v>
                </c:pt>
                <c:pt idx="36">
                  <c:v>0.28098256100000002</c:v>
                </c:pt>
                <c:pt idx="37">
                  <c:v>0.28098256100000002</c:v>
                </c:pt>
                <c:pt idx="38">
                  <c:v>0.37613157666666663</c:v>
                </c:pt>
                <c:pt idx="39">
                  <c:v>0.37613157733333336</c:v>
                </c:pt>
                <c:pt idx="40">
                  <c:v>0.35298722200000004</c:v>
                </c:pt>
                <c:pt idx="41">
                  <c:v>0.34527243666666668</c:v>
                </c:pt>
                <c:pt idx="42">
                  <c:v>0.33755765200000004</c:v>
                </c:pt>
                <c:pt idx="43">
                  <c:v>0.32984286666666668</c:v>
                </c:pt>
                <c:pt idx="44">
                  <c:v>0.32212808166666668</c:v>
                </c:pt>
                <c:pt idx="45">
                  <c:v>0.31184170133333333</c:v>
                </c:pt>
                <c:pt idx="46">
                  <c:v>0.31184170133333333</c:v>
                </c:pt>
                <c:pt idx="47">
                  <c:v>0.33755765200000004</c:v>
                </c:pt>
                <c:pt idx="48">
                  <c:v>0.3452724333333333</c:v>
                </c:pt>
                <c:pt idx="49">
                  <c:v>0.34527243699999999</c:v>
                </c:pt>
                <c:pt idx="50">
                  <c:v>0.3452724333333333</c:v>
                </c:pt>
                <c:pt idx="51">
                  <c:v>0.33755765200000004</c:v>
                </c:pt>
                <c:pt idx="52">
                  <c:v>0.33755765200000004</c:v>
                </c:pt>
                <c:pt idx="53">
                  <c:v>0.32984286666666668</c:v>
                </c:pt>
                <c:pt idx="54">
                  <c:v>0.32984286666666668</c:v>
                </c:pt>
                <c:pt idx="55">
                  <c:v>0.32212808166666668</c:v>
                </c:pt>
                <c:pt idx="56">
                  <c:v>0.32212808166666668</c:v>
                </c:pt>
                <c:pt idx="57">
                  <c:v>0.32212808166666668</c:v>
                </c:pt>
                <c:pt idx="58">
                  <c:v>0.32212808166666668</c:v>
                </c:pt>
                <c:pt idx="59">
                  <c:v>0.32212808166666668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1F-4190-ABA6-018881FB7B5C}"/>
            </c:ext>
          </c:extLst>
        </c:ser>
        <c:ser>
          <c:idx val="1"/>
          <c:order val="1"/>
          <c:tx>
            <c:strRef>
              <c:f>PDF_LiF!$C$1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PDF_LiF!$C$3:$C$59</c:f>
              <c:numCache>
                <c:formatCode>General</c:formatCode>
                <c:ptCount val="57"/>
                <c:pt idx="0">
                  <c:v>1.8410104009999999</c:v>
                </c:pt>
                <c:pt idx="1">
                  <c:v>1.9658246660000001</c:v>
                </c:pt>
                <c:pt idx="2">
                  <c:v>2.090949105</c:v>
                </c:pt>
                <c:pt idx="3">
                  <c:v>2.159270233</c:v>
                </c:pt>
                <c:pt idx="4">
                  <c:v>2.1915697490000001</c:v>
                </c:pt>
                <c:pt idx="5">
                  <c:v>2.242810596</c:v>
                </c:pt>
                <c:pt idx="6">
                  <c:v>2.2940514420000002</c:v>
                </c:pt>
                <c:pt idx="7">
                  <c:v>2.3538324290000001</c:v>
                </c:pt>
                <c:pt idx="8">
                  <c:v>2.3818722139999999</c:v>
                </c:pt>
                <c:pt idx="9">
                  <c:v>2.4130757799999998</c:v>
                </c:pt>
                <c:pt idx="10">
                  <c:v>2.465081724</c:v>
                </c:pt>
                <c:pt idx="11">
                  <c:v>2.5066864780000002</c:v>
                </c:pt>
                <c:pt idx="12">
                  <c:v>2.5378900450000001</c:v>
                </c:pt>
                <c:pt idx="13">
                  <c:v>2.5539777680000002</c:v>
                </c:pt>
                <c:pt idx="14">
                  <c:v>2.5777371429999998</c:v>
                </c:pt>
                <c:pt idx="15">
                  <c:v>2.6204378479999999</c:v>
                </c:pt>
                <c:pt idx="16">
                  <c:v>2.6802188359999999</c:v>
                </c:pt>
                <c:pt idx="17">
                  <c:v>2.8083209509999998</c:v>
                </c:pt>
                <c:pt idx="18">
                  <c:v>2.9535033479999999</c:v>
                </c:pt>
                <c:pt idx="19">
                  <c:v>3.0474448999999999</c:v>
                </c:pt>
                <c:pt idx="20">
                  <c:v>3.0986857460000001</c:v>
                </c:pt>
                <c:pt idx="21">
                  <c:v>3.1827637439999998</c:v>
                </c:pt>
                <c:pt idx="22">
                  <c:v>3.3036491300000002</c:v>
                </c:pt>
                <c:pt idx="23">
                  <c:v>3.3975906820000001</c:v>
                </c:pt>
                <c:pt idx="24">
                  <c:v>3.5086125149999998</c:v>
                </c:pt>
                <c:pt idx="25">
                  <c:v>3.6367146300000002</c:v>
                </c:pt>
                <c:pt idx="26">
                  <c:v>3.7794569880000002</c:v>
                </c:pt>
                <c:pt idx="27">
                  <c:v>3.9099991429999998</c:v>
                </c:pt>
                <c:pt idx="28">
                  <c:v>4.1084695389999997</c:v>
                </c:pt>
                <c:pt idx="29">
                  <c:v>4.3372956909999996</c:v>
                </c:pt>
                <c:pt idx="30">
                  <c:v>4.5453194650000004</c:v>
                </c:pt>
                <c:pt idx="31">
                  <c:v>4.6805349180000002</c:v>
                </c:pt>
                <c:pt idx="32">
                  <c:v>4.7554731050000001</c:v>
                </c:pt>
                <c:pt idx="33">
                  <c:v>4.9547430620000004</c:v>
                </c:pt>
                <c:pt idx="34">
                  <c:v>5.0848785440000004</c:v>
                </c:pt>
                <c:pt idx="35">
                  <c:v>5.2386010829999998</c:v>
                </c:pt>
                <c:pt idx="36">
                  <c:v>5.3959836819999998</c:v>
                </c:pt>
                <c:pt idx="37">
                  <c:v>5.677808336</c:v>
                </c:pt>
                <c:pt idx="38">
                  <c:v>5.9510928490000001</c:v>
                </c:pt>
                <c:pt idx="39">
                  <c:v>6.1347058810000004</c:v>
                </c:pt>
                <c:pt idx="40">
                  <c:v>6.343939336</c:v>
                </c:pt>
                <c:pt idx="41">
                  <c:v>6.5423476970000003</c:v>
                </c:pt>
                <c:pt idx="42">
                  <c:v>6.7503714710000002</c:v>
                </c:pt>
                <c:pt idx="43">
                  <c:v>7.1040118870000004</c:v>
                </c:pt>
                <c:pt idx="44">
                  <c:v>7.334595695</c:v>
                </c:pt>
                <c:pt idx="45">
                  <c:v>7.6762013360000001</c:v>
                </c:pt>
                <c:pt idx="46">
                  <c:v>7.9569093610000001</c:v>
                </c:pt>
                <c:pt idx="47">
                  <c:v>8.3105497770000003</c:v>
                </c:pt>
                <c:pt idx="48">
                  <c:v>8.6121842500000003</c:v>
                </c:pt>
                <c:pt idx="49">
                  <c:v>8.8306092120000006</c:v>
                </c:pt>
                <c:pt idx="50">
                  <c:v>9.0178306090000007</c:v>
                </c:pt>
                <c:pt idx="51">
                  <c:v>9.3298662700000001</c:v>
                </c:pt>
                <c:pt idx="52">
                  <c:v>9.7459138190000001</c:v>
                </c:pt>
                <c:pt idx="53">
                  <c:v>9.9955423480000007</c:v>
                </c:pt>
                <c:pt idx="54">
                  <c:v>10.34918276</c:v>
                </c:pt>
                <c:pt idx="55">
                  <c:v>10.640416050000001</c:v>
                </c:pt>
                <c:pt idx="56">
                  <c:v>10.8692422</c:v>
                </c:pt>
              </c:numCache>
            </c:numRef>
          </c:xVal>
          <c:yVal>
            <c:numRef>
              <c:f>PDF_LiF!$D$3:$D$59</c:f>
              <c:numCache>
                <c:formatCode>General</c:formatCode>
                <c:ptCount val="57"/>
                <c:pt idx="0">
                  <c:v>1.5659956666666667E-3</c:v>
                </c:pt>
                <c:pt idx="1">
                  <c:v>7.8299776666666664E-3</c:v>
                </c:pt>
                <c:pt idx="2">
                  <c:v>2.9737725666666669E-2</c:v>
                </c:pt>
                <c:pt idx="3">
                  <c:v>5.7682391999999999E-2</c:v>
                </c:pt>
                <c:pt idx="4">
                  <c:v>8.168394566666666E-2</c:v>
                </c:pt>
                <c:pt idx="5">
                  <c:v>0.11768627599999999</c:v>
                </c:pt>
                <c:pt idx="6">
                  <c:v>0.16268918933333334</c:v>
                </c:pt>
                <c:pt idx="7">
                  <c:v>0.22697906533333334</c:v>
                </c:pt>
                <c:pt idx="8">
                  <c:v>0.26778523500000001</c:v>
                </c:pt>
                <c:pt idx="9">
                  <c:v>0.29910514533333332</c:v>
                </c:pt>
                <c:pt idx="10">
                  <c:v>0.34608501133333336</c:v>
                </c:pt>
                <c:pt idx="11">
                  <c:v>0.40559284099999998</c:v>
                </c:pt>
                <c:pt idx="12">
                  <c:v>0.43691275166666665</c:v>
                </c:pt>
                <c:pt idx="13">
                  <c:v>0.46099421366666665</c:v>
                </c:pt>
                <c:pt idx="14">
                  <c:v>0.487781662</c:v>
                </c:pt>
                <c:pt idx="15">
                  <c:v>0.5222838953333333</c:v>
                </c:pt>
                <c:pt idx="16">
                  <c:v>0.56032207200000006</c:v>
                </c:pt>
                <c:pt idx="17">
                  <c:v>0.59535547866666672</c:v>
                </c:pt>
                <c:pt idx="18">
                  <c:v>0.57435869500000003</c:v>
                </c:pt>
                <c:pt idx="19">
                  <c:v>0.54011362100000004</c:v>
                </c:pt>
                <c:pt idx="20">
                  <c:v>0.52142669699999999</c:v>
                </c:pt>
                <c:pt idx="21">
                  <c:v>0.47449664433333333</c:v>
                </c:pt>
                <c:pt idx="22">
                  <c:v>0.42499188299999996</c:v>
                </c:pt>
                <c:pt idx="23">
                  <c:v>0.39713293700000002</c:v>
                </c:pt>
                <c:pt idx="24">
                  <c:v>0.36657993866666666</c:v>
                </c:pt>
                <c:pt idx="25">
                  <c:v>0.33916489866666666</c:v>
                </c:pt>
                <c:pt idx="26">
                  <c:v>0.3103722186666667</c:v>
                </c:pt>
                <c:pt idx="27">
                  <c:v>0.282482658</c:v>
                </c:pt>
                <c:pt idx="28">
                  <c:v>0.25525727066666665</c:v>
                </c:pt>
                <c:pt idx="29">
                  <c:v>0.23333333333333331</c:v>
                </c:pt>
                <c:pt idx="30">
                  <c:v>0.24429530200000002</c:v>
                </c:pt>
                <c:pt idx="31">
                  <c:v>0.26152125266666665</c:v>
                </c:pt>
                <c:pt idx="32">
                  <c:v>0.283554156</c:v>
                </c:pt>
                <c:pt idx="33">
                  <c:v>0.32555687500000002</c:v>
                </c:pt>
                <c:pt idx="34">
                  <c:v>0.35445670499999998</c:v>
                </c:pt>
                <c:pt idx="35">
                  <c:v>0.38127476766666663</c:v>
                </c:pt>
                <c:pt idx="36">
                  <c:v>0.39770993733333332</c:v>
                </c:pt>
                <c:pt idx="37">
                  <c:v>0.39726473366666665</c:v>
                </c:pt>
                <c:pt idx="38">
                  <c:v>0.37069158500000005</c:v>
                </c:pt>
                <c:pt idx="39">
                  <c:v>0.34776152933333332</c:v>
                </c:pt>
                <c:pt idx="40">
                  <c:v>0.32240827966666669</c:v>
                </c:pt>
                <c:pt idx="41">
                  <c:v>0.30693512299999998</c:v>
                </c:pt>
                <c:pt idx="42">
                  <c:v>0.29597315433333332</c:v>
                </c:pt>
                <c:pt idx="43">
                  <c:v>0.29910514533333332</c:v>
                </c:pt>
                <c:pt idx="44">
                  <c:v>0.31642449566666669</c:v>
                </c:pt>
                <c:pt idx="45">
                  <c:v>0.34370644133333333</c:v>
                </c:pt>
                <c:pt idx="46">
                  <c:v>0.35704698000000001</c:v>
                </c:pt>
                <c:pt idx="47">
                  <c:v>0.35861297533333336</c:v>
                </c:pt>
                <c:pt idx="48">
                  <c:v>0.34451901566666665</c:v>
                </c:pt>
                <c:pt idx="49">
                  <c:v>0.333557047</c:v>
                </c:pt>
                <c:pt idx="50">
                  <c:v>0.32572706933333334</c:v>
                </c:pt>
                <c:pt idx="51">
                  <c:v>0.31633109633333334</c:v>
                </c:pt>
                <c:pt idx="52">
                  <c:v>0.32102908266666669</c:v>
                </c:pt>
                <c:pt idx="53">
                  <c:v>0.32885906033333334</c:v>
                </c:pt>
                <c:pt idx="54">
                  <c:v>0.34138702466666665</c:v>
                </c:pt>
                <c:pt idx="55">
                  <c:v>0.34608501133333336</c:v>
                </c:pt>
                <c:pt idx="56">
                  <c:v>0.34451901566666665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1F-4190-ABA6-018881FB7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1263"/>
        <c:axId val="56017039"/>
      </c:scatterChart>
      <c:scatterChart>
        <c:scatterStyle val="lineMarker"/>
        <c:varyColors val="0"/>
        <c:ser>
          <c:idx val="2"/>
          <c:order val="2"/>
          <c:tx>
            <c:v>+- 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PDF_LiF!$J$8:$J$13</c:f>
              <c:numCache>
                <c:formatCode>General</c:formatCode>
                <c:ptCount val="6"/>
                <c:pt idx="0">
                  <c:v>1.877445579</c:v>
                </c:pt>
                <c:pt idx="1">
                  <c:v>4.3967871819999997</c:v>
                </c:pt>
                <c:pt idx="2">
                  <c:v>6.8563477969999997</c:v>
                </c:pt>
                <c:pt idx="3">
                  <c:v>9.7685358870000005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PDF_LiF!$K$8:$K$13</c:f>
              <c:numCache>
                <c:formatCode>General</c:formatCode>
                <c:ptCount val="6"/>
                <c:pt idx="0">
                  <c:v>1.2421162066666667</c:v>
                </c:pt>
                <c:pt idx="1">
                  <c:v>0.45070783366666661</c:v>
                </c:pt>
                <c:pt idx="2">
                  <c:v>0.37613157733333336</c:v>
                </c:pt>
                <c:pt idx="3">
                  <c:v>0.34527243699999999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1F-4190-ABA6-018881FB7B5C}"/>
            </c:ext>
          </c:extLst>
        </c:ser>
        <c:ser>
          <c:idx val="3"/>
          <c:order val="3"/>
          <c:tx>
            <c:v>++ 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PDF_LiF!$N$8:$N$10</c:f>
              <c:numCache>
                <c:formatCode>General</c:formatCode>
                <c:ptCount val="3"/>
                <c:pt idx="0">
                  <c:v>2.8083209509999998</c:v>
                </c:pt>
                <c:pt idx="1">
                  <c:v>5.3959836819999998</c:v>
                </c:pt>
                <c:pt idx="2">
                  <c:v>8.3105497770000003</c:v>
                </c:pt>
              </c:numCache>
            </c:numRef>
          </c:xVal>
          <c:yVal>
            <c:numRef>
              <c:f>PDF_LiF!$O$8:$O$10</c:f>
              <c:numCache>
                <c:formatCode>General</c:formatCode>
                <c:ptCount val="3"/>
                <c:pt idx="0">
                  <c:v>0.59535547866666672</c:v>
                </c:pt>
                <c:pt idx="1">
                  <c:v>0.39770993733333332</c:v>
                </c:pt>
                <c:pt idx="2">
                  <c:v>0.35861297533333336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1F-4190-ABA6-018881FB7B5C}"/>
            </c:ext>
          </c:extLst>
        </c:ser>
        <c:ser>
          <c:idx val="4"/>
          <c:order val="4"/>
          <c:tx>
            <c:v>P(r)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PDF_LiF!$J$19:$J$26</c:f>
              <c:numCache>
                <c:formatCode>0.00E+00</c:formatCode>
                <c:ptCount val="8"/>
                <c:pt idx="0">
                  <c:v>1.877445579</c:v>
                </c:pt>
                <c:pt idx="1">
                  <c:v>2.8083209509999998</c:v>
                </c:pt>
                <c:pt idx="2">
                  <c:v>4.3967871819999997</c:v>
                </c:pt>
                <c:pt idx="3">
                  <c:v>5.3959836819999998</c:v>
                </c:pt>
                <c:pt idx="4">
                  <c:v>6.8563477969999997</c:v>
                </c:pt>
                <c:pt idx="5">
                  <c:v>8.3105497770000003</c:v>
                </c:pt>
                <c:pt idx="6">
                  <c:v>9.7685358870000005</c:v>
                </c:pt>
              </c:numCache>
            </c:numRef>
          </c:xVal>
          <c:yVal>
            <c:numRef>
              <c:f>PDF_LiF!$W$19:$W$25</c:f>
              <c:numCache>
                <c:formatCode>General</c:formatCode>
                <c:ptCount val="7"/>
                <c:pt idx="0">
                  <c:v>0.99488231800357962</c:v>
                </c:pt>
                <c:pt idx="1">
                  <c:v>0.77454102282235326</c:v>
                </c:pt>
                <c:pt idx="2">
                  <c:v>5.9934111763972397E-2</c:v>
                </c:pt>
                <c:pt idx="3">
                  <c:v>2.1469551893413902E-2</c:v>
                </c:pt>
                <c:pt idx="4">
                  <c:v>5.5803137194514922E-3</c:v>
                </c:pt>
                <c:pt idx="5">
                  <c:v>1.4495854182335342E-3</c:v>
                </c:pt>
                <c:pt idx="6">
                  <c:v>3.4695637860829753E-4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1F-4190-ABA6-018881FB7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1263"/>
        <c:axId val="56017039"/>
      </c:scatterChart>
      <c:valAx>
        <c:axId val="5602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7039"/>
        <c:crosses val="autoZero"/>
        <c:crossBetween val="midCat"/>
      </c:valAx>
      <c:valAx>
        <c:axId val="560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1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9155730533681"/>
          <c:y val="0.18576334208223974"/>
          <c:w val="0.16381528546555443"/>
          <c:h val="0.355452547945641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342901</xdr:colOff>
      <xdr:row>0</xdr:row>
      <xdr:rowOff>42862</xdr:rowOff>
    </xdr:from>
    <xdr:to>
      <xdr:col>16</xdr:col>
      <xdr:colOff>333376</xdr:colOff>
      <xdr:row>16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23180-2F5B-4256-85F1-A8A14FCEF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61230</xdr:colOff>
      <xdr:row>33</xdr:row>
      <xdr:rowOff>133351</xdr:rowOff>
    </xdr:from>
    <xdr:to>
      <xdr:col>17</xdr:col>
      <xdr:colOff>705584</xdr:colOff>
      <xdr:row>44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82811E-5CDD-437D-8C1B-2A20338FF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430" y="6419851"/>
          <a:ext cx="4311479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"/>
  <sheetViews>
    <sheetView tabSelected="1" topLeftCell="F1" workbookViewId="0">
      <selection activeCell="AA27" sqref="AA27"/>
    </sheetView>
  </sheetViews>
  <sheetFormatPr defaultRowHeight="15" x14ac:dyDescent="0.25"/>
  <cols>
    <col min="13" max="13" width="12" bestFit="1" customWidth="1"/>
    <col min="14" max="14" width="12.7109375" bestFit="1" customWidth="1"/>
    <col min="17" max="17" width="12" bestFit="1" customWidth="1"/>
    <col min="18" max="18" width="12" customWidth="1"/>
    <col min="19" max="19" width="12" bestFit="1" customWidth="1"/>
    <col min="29" max="29" width="11" bestFit="1" customWidth="1"/>
  </cols>
  <sheetData>
    <row r="1" spans="1:33" x14ac:dyDescent="0.25">
      <c r="A1" t="s">
        <v>0</v>
      </c>
      <c r="C1" t="s">
        <v>1</v>
      </c>
      <c r="E1" t="s">
        <v>2</v>
      </c>
      <c r="G1" t="s">
        <v>5</v>
      </c>
      <c r="I1" t="s">
        <v>6</v>
      </c>
      <c r="J1">
        <f>1</f>
        <v>1</v>
      </c>
    </row>
    <row r="2" spans="1:33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0</v>
      </c>
      <c r="H2" t="s">
        <v>1</v>
      </c>
      <c r="I2" t="s">
        <v>7</v>
      </c>
      <c r="J2">
        <f>K8</f>
        <v>1.2421162066666667</v>
      </c>
    </row>
    <row r="3" spans="1:33" x14ac:dyDescent="0.25">
      <c r="A3">
        <v>1.510219515</v>
      </c>
      <c r="B3">
        <v>1.7394069666666668E-2</v>
      </c>
      <c r="C3">
        <v>1.8410104009999999</v>
      </c>
      <c r="D3">
        <v>1.5659956666666667E-3</v>
      </c>
      <c r="E3">
        <v>2.0112411219999999</v>
      </c>
      <c r="F3">
        <v>6.6325981000000006E-2</v>
      </c>
      <c r="G3" t="str">
        <f t="shared" ref="G3:G50" si="0">IF(AND(AND(B3&gt;B1, B3&gt;B5),AND(B3&gt;=B2, B3&gt;=B4)), B3, "")</f>
        <v/>
      </c>
      <c r="H3" t="str">
        <f t="shared" ref="H3:H34" si="1">IF(AND(AND(D3&gt;D1, D3&gt;D5),AND(D3&gt;=D2, D3&gt;=D4)), D3, "")</f>
        <v/>
      </c>
      <c r="I3" t="s">
        <v>8</v>
      </c>
      <c r="J3">
        <f>J8</f>
        <v>1.877445579</v>
      </c>
      <c r="Z3" s="1"/>
      <c r="AA3" s="1"/>
      <c r="AB3" s="1"/>
      <c r="AC3" s="1"/>
      <c r="AD3" s="1"/>
      <c r="AE3" s="1"/>
      <c r="AF3" s="1"/>
      <c r="AG3" s="1"/>
    </row>
    <row r="4" spans="1:33" x14ac:dyDescent="0.25">
      <c r="A4">
        <v>1.561460361</v>
      </c>
      <c r="B4">
        <v>6.7540172666666662E-2</v>
      </c>
      <c r="C4">
        <v>1.9658246660000001</v>
      </c>
      <c r="D4">
        <v>7.8299776666666664E-3</v>
      </c>
      <c r="E4">
        <v>2.1137228139999999</v>
      </c>
      <c r="F4">
        <v>0.16404659299999999</v>
      </c>
      <c r="G4" t="str">
        <f t="shared" si="0"/>
        <v/>
      </c>
      <c r="H4" t="str">
        <f t="shared" si="1"/>
        <v/>
      </c>
      <c r="I4" t="s">
        <v>9</v>
      </c>
      <c r="J4">
        <f>J1*J2*J3^-1</f>
        <v>0.66159904742925535</v>
      </c>
      <c r="Q4" s="2"/>
      <c r="R4" s="2"/>
    </row>
    <row r="5" spans="1:33" x14ac:dyDescent="0.25">
      <c r="A5">
        <v>1.578540643</v>
      </c>
      <c r="B5">
        <v>0.11897207366666666</v>
      </c>
      <c r="C5">
        <v>2.090949105</v>
      </c>
      <c r="D5">
        <v>2.9737725666666669E-2</v>
      </c>
      <c r="E5">
        <v>2.1763505150000002</v>
      </c>
      <c r="F5">
        <v>0.27398228099999999</v>
      </c>
      <c r="G5" t="str">
        <f t="shared" si="0"/>
        <v/>
      </c>
      <c r="H5" t="str">
        <f t="shared" si="1"/>
        <v/>
      </c>
      <c r="J5" s="2" t="s">
        <v>10</v>
      </c>
      <c r="K5" s="2" t="s">
        <v>10</v>
      </c>
      <c r="M5" s="2"/>
      <c r="N5" s="2" t="s">
        <v>11</v>
      </c>
      <c r="O5" s="2" t="s">
        <v>11</v>
      </c>
    </row>
    <row r="6" spans="1:33" x14ac:dyDescent="0.25">
      <c r="A6">
        <v>1.612701207</v>
      </c>
      <c r="B6">
        <v>0.20254891233333336</v>
      </c>
      <c r="C6">
        <v>2.159270233</v>
      </c>
      <c r="D6">
        <v>5.7682391999999999E-2</v>
      </c>
      <c r="E6">
        <v>2.2105110790000002</v>
      </c>
      <c r="F6">
        <v>0.33762925799999999</v>
      </c>
      <c r="G6" t="str">
        <f t="shared" si="0"/>
        <v/>
      </c>
      <c r="H6" t="str">
        <f t="shared" si="1"/>
        <v/>
      </c>
      <c r="J6" t="s">
        <v>0</v>
      </c>
      <c r="L6" s="2" t="s">
        <v>12</v>
      </c>
      <c r="N6" t="s">
        <v>1</v>
      </c>
      <c r="P6" s="2" t="s">
        <v>12</v>
      </c>
    </row>
    <row r="7" spans="1:33" x14ac:dyDescent="0.25">
      <c r="A7">
        <v>1.629781489</v>
      </c>
      <c r="B7">
        <v>0.30798430900000001</v>
      </c>
      <c r="C7">
        <v>2.1915697490000001</v>
      </c>
      <c r="D7">
        <v>8.168394566666666E-2</v>
      </c>
      <c r="E7">
        <v>2.261751925</v>
      </c>
      <c r="F7">
        <v>0.472637998</v>
      </c>
      <c r="G7" t="str">
        <f t="shared" si="0"/>
        <v/>
      </c>
      <c r="H7" t="str">
        <f t="shared" si="1"/>
        <v/>
      </c>
      <c r="I7" t="s">
        <v>13</v>
      </c>
      <c r="J7" t="s">
        <v>14</v>
      </c>
      <c r="K7" t="s">
        <v>15</v>
      </c>
      <c r="L7" t="s">
        <v>1</v>
      </c>
      <c r="N7" t="s">
        <v>14</v>
      </c>
      <c r="O7" t="s">
        <v>15</v>
      </c>
      <c r="P7" t="s">
        <v>0</v>
      </c>
    </row>
    <row r="8" spans="1:33" x14ac:dyDescent="0.25">
      <c r="A8">
        <v>1.6810223360000001</v>
      </c>
      <c r="B8">
        <v>0.56578671133333336</v>
      </c>
      <c r="C8">
        <v>2.242810596</v>
      </c>
      <c r="D8">
        <v>0.11768627599999999</v>
      </c>
      <c r="E8">
        <v>2.3215329119999999</v>
      </c>
      <c r="F8">
        <v>0.64429196600000005</v>
      </c>
      <c r="G8" t="str">
        <f t="shared" si="0"/>
        <v/>
      </c>
      <c r="H8" t="str">
        <f t="shared" si="1"/>
        <v/>
      </c>
      <c r="I8">
        <v>1</v>
      </c>
      <c r="J8">
        <f t="shared" ref="J8:J13" si="2">IFERROR(INDEX(A$3:A$200, MATCH(K8, B$3:B$200, 0)),0)</f>
        <v>1.877445579</v>
      </c>
      <c r="K8" s="2">
        <f t="shared" ref="K8:K13" si="3">IFERROR(LARGE(G$4:G$108,I8),0)</f>
        <v>1.2421162066666667</v>
      </c>
      <c r="L8">
        <f>IFERROR(_xlfn.FORECAST.LINEAR(
  J$8,
  INDEX(D$3:D$82, MATCH(J$8, C$3:C$82, 1)):INDEX(D$3:D$82, MATCH(J$8, C$3:C$82, 1)+1),
  INDEX(C$3:C$82, MATCH(J$8, C$3:C$82, 1)):INDEX(C3:C$82, MATCH(J$8, C$3:C$82, 1)+1)
),0)</f>
        <v>3.3945470678930917E-3</v>
      </c>
      <c r="N8">
        <f>INDEX(C$3:C$200, MATCH(O8, D$3:D$200, 0))</f>
        <v>2.8083209509999998</v>
      </c>
      <c r="O8" s="2">
        <f>LARGE(H$4:H$108,I8)</f>
        <v>0.59535547866666672</v>
      </c>
      <c r="P8">
        <f>IFERROR(_xlfn.FORECAST.LINEAR(
  N8,
  INDEX($B$3:$B$200, MATCH(N8, $A$3:$A$200, 1)):INDEX($B$3:$B$200, MATCH(N8, $A$3:$A$200, 1)+1),
  INDEX($A$3:$A$200, MATCH(N8, $A$3:$A$200, 1)):INDEX($A$3:$A$200, MATCH(N8, $A$3:$A$200, 1)+1)
),0)</f>
        <v>0.16011759433333334</v>
      </c>
    </row>
    <row r="9" spans="1:33" x14ac:dyDescent="0.25">
      <c r="A9">
        <v>1.7322631820000001</v>
      </c>
      <c r="B9">
        <v>0.85444825466666663</v>
      </c>
      <c r="C9">
        <v>2.2940514420000002</v>
      </c>
      <c r="D9">
        <v>0.16268918933333334</v>
      </c>
      <c r="E9">
        <v>2.3727737590000002</v>
      </c>
      <c r="F9">
        <v>0.790872884</v>
      </c>
      <c r="G9" t="str">
        <f t="shared" si="0"/>
        <v/>
      </c>
      <c r="H9" t="str">
        <f t="shared" si="1"/>
        <v/>
      </c>
      <c r="I9">
        <v>2</v>
      </c>
      <c r="J9">
        <f t="shared" si="2"/>
        <v>4.3967871819999997</v>
      </c>
      <c r="K9" s="2">
        <f t="shared" si="3"/>
        <v>0.45070783366666661</v>
      </c>
      <c r="L9">
        <f>IFERROR(_xlfn.FORECAST.LINEAR(
  J9,
  INDEX(D$3:D$82, MATCH(J9, C$3:C$82, 1)):INDEX(D$3:D$82, MATCH(J9, C$3:C$82, 1)+1),
  INDEX(C$3:C$82, MATCH(J9, C$3:C$82, 1)):INDEX(C$3:C$82, MATCH(J9, C$3:C$82, 1)+1)
),0)</f>
        <v>0.23646828203527967</v>
      </c>
      <c r="N9">
        <f>INDEX(C$3:C$200, MATCH(O9, D$3:D$200, 0))</f>
        <v>5.3959836819999998</v>
      </c>
      <c r="O9" s="2">
        <f>LARGE(H$4:H$108,I9)</f>
        <v>0.39770993733333332</v>
      </c>
      <c r="P9">
        <f>IFERROR(_xlfn.FORECAST.LINEAR(
  N9,
  INDEX($B$3:$B$200, MATCH(N9, $A$3:$A$200, 1)):INDEX($B$3:$B$200, MATCH(N9, $A$3:$A$200, 1)+1),
  INDEX($A$3:$A$200, MATCH(N9, $A$3:$A$200, 1)):INDEX($A$3:$A$200, MATCH(N9, $A$3:$A$200, 1)+1)
),0)</f>
        <v>0.28098256100000002</v>
      </c>
    </row>
    <row r="10" spans="1:33" x14ac:dyDescent="0.25">
      <c r="A10">
        <v>1.7835040280000001</v>
      </c>
      <c r="B10">
        <v>1.0897492006666667</v>
      </c>
      <c r="C10">
        <v>2.3538324290000001</v>
      </c>
      <c r="D10">
        <v>0.22697906533333334</v>
      </c>
      <c r="E10">
        <v>2.424014605</v>
      </c>
      <c r="F10">
        <v>0.94323988999999997</v>
      </c>
      <c r="G10" t="str">
        <f t="shared" si="0"/>
        <v/>
      </c>
      <c r="H10" t="str">
        <f t="shared" si="1"/>
        <v/>
      </c>
      <c r="I10">
        <v>3</v>
      </c>
      <c r="J10">
        <f t="shared" si="2"/>
        <v>6.8563477969999997</v>
      </c>
      <c r="K10" s="2">
        <f t="shared" si="3"/>
        <v>0.37613157733333336</v>
      </c>
      <c r="L10">
        <f>IFERROR(_xlfn.FORECAST.LINEAR(
  J10,
  INDEX(D$3:D$82, MATCH(J10, C$3:C$82, 1)):INDEX(D$3:D$82, MATCH(J10, C$3:C$82, 1)+1),
  INDEX(C$3:C$82, MATCH(J10, C$3:C$82, 1)):INDEX(C$3:C$82, MATCH(J10, C$3:C$82, 1)+1)
),0)</f>
        <v>0.29691172606956001</v>
      </c>
      <c r="N10">
        <f>INDEX(C$3:C$200, MATCH(O10, D$3:D$200, 0))</f>
        <v>8.3105497770000003</v>
      </c>
      <c r="O10" s="2">
        <f>LARGE(H$4:H$108,I10)</f>
        <v>0.35861297533333336</v>
      </c>
      <c r="P10">
        <f>IFERROR(_xlfn.FORECAST.LINEAR(
  N10,
  INDEX($B$3:$B$200, MATCH(N10, $A$3:$A$200, 1)):INDEX($B$3:$B$200, MATCH(N10, $A$3:$A$200, 1)+1),
  INDEX($A$3:$A$200, MATCH(N10, $A$3:$A$200, 1)):INDEX($A$3:$A$200, MATCH(N10, $A$3:$A$200, 1)+1)
),0)</f>
        <v>0.31184170133333333</v>
      </c>
    </row>
    <row r="11" spans="1:33" x14ac:dyDescent="0.25">
      <c r="A11">
        <v>1.8347448740000001</v>
      </c>
      <c r="B11">
        <v>1.2260437376666666</v>
      </c>
      <c r="C11">
        <v>2.3818722139999999</v>
      </c>
      <c r="D11">
        <v>0.26778523500000001</v>
      </c>
      <c r="E11">
        <v>2.4667153100000001</v>
      </c>
      <c r="F11">
        <v>1.066676451</v>
      </c>
      <c r="G11" t="str">
        <f t="shared" si="0"/>
        <v/>
      </c>
      <c r="H11" t="str">
        <f t="shared" si="1"/>
        <v/>
      </c>
      <c r="I11">
        <v>4</v>
      </c>
      <c r="J11">
        <f t="shared" si="2"/>
        <v>9.7685358870000005</v>
      </c>
      <c r="K11" s="2">
        <f t="shared" si="3"/>
        <v>0.34527243699999999</v>
      </c>
      <c r="L11">
        <f>IFERROR(_xlfn.FORECAST.LINEAR(
  J11,
  INDEX(D$3:D$82, MATCH(J11, C$3:C$82, 1)):INDEX(D$3:D$82, MATCH(J11, C$3:C$82, 1)+1),
  INDEX(C$3:C$82, MATCH(J11, C$3:C$82, 1)):INDEX(C$3:C$82, MATCH(J11, C$3:C$82, 1)+1)
),0)</f>
        <v>0.32173865816239788</v>
      </c>
      <c r="N11">
        <f>INDEX(C$3:C$200, MATCH(O11, D$3:D$200, 0))</f>
        <v>2.465081724</v>
      </c>
      <c r="O11" s="2">
        <f>LARGE(H$4:H$108,I11)</f>
        <v>0.34608501133333336</v>
      </c>
      <c r="P11">
        <f>IFERROR(_xlfn.FORECAST.LINEAR(
  N11,
  INDEX($B$3:$B$200, MATCH(N11, $A$3:$A$200, 1)):INDEX($B$3:$B$200, MATCH(N11, $A$3:$A$200, 1)+1),
  INDEX($A$3:$A$200, MATCH(N11, $A$3:$A$200, 1)):INDEX($A$3:$A$200, MATCH(N11, $A$3:$A$200, 1)+1)
),0)</f>
        <v>0.25801946949862664</v>
      </c>
    </row>
    <row r="12" spans="1:33" x14ac:dyDescent="0.25">
      <c r="A12">
        <v>1.877445579</v>
      </c>
      <c r="B12">
        <v>1.2421162066666667</v>
      </c>
      <c r="C12">
        <v>2.4130757799999998</v>
      </c>
      <c r="D12">
        <v>0.29910514533333332</v>
      </c>
      <c r="E12">
        <v>2.5008758740000001</v>
      </c>
      <c r="F12">
        <v>1.180469532</v>
      </c>
      <c r="G12">
        <f t="shared" si="0"/>
        <v>1.2421162066666667</v>
      </c>
      <c r="H12" t="str">
        <f t="shared" si="1"/>
        <v/>
      </c>
      <c r="I12">
        <v>5</v>
      </c>
      <c r="J12">
        <f t="shared" si="2"/>
        <v>0</v>
      </c>
      <c r="K12" s="2">
        <f t="shared" si="3"/>
        <v>0</v>
      </c>
      <c r="L12">
        <f>IFERROR(_xlfn.FORECAST.LINEAR(
  J12,
  INDEX(D$3:D$82, MATCH(J12, C$3:C$82, 1)):INDEX(D$3:D$82, MATCH(J12, C$3:C$82, 1)+1),
  INDEX(C$3:C$82, MATCH(J12, C$3:C$82, 1)):INDEX(C$3:C$82, MATCH(J12, C$3:C$82, 1)+1)
),0)</f>
        <v>0</v>
      </c>
      <c r="O12" s="2"/>
      <c r="P12">
        <f>IFERROR(_xlfn.FORECAST.LINEAR(
  N12,
  INDEX($B$3:$B$200, MATCH(N12, $A$3:$A$200, 1)):INDEX($B$3:$B$200, MATCH(N12, $A$3:$A$200, 1)+1),
  INDEX($A$3:$A$200, MATCH(N12, $A$3:$A$200, 1)):INDEX($A$3:$A$200, MATCH(N12, $A$3:$A$200, 1)+1)
),0)</f>
        <v>0</v>
      </c>
    </row>
    <row r="13" spans="1:33" x14ac:dyDescent="0.25">
      <c r="A13">
        <v>1.9372265660000001</v>
      </c>
      <c r="B13">
        <v>1.1720402416666666</v>
      </c>
      <c r="C13">
        <v>2.465081724</v>
      </c>
      <c r="D13">
        <v>0.34608501133333336</v>
      </c>
      <c r="E13">
        <v>2.5521167199999999</v>
      </c>
      <c r="F13">
        <v>1.3154782709999999</v>
      </c>
      <c r="G13" t="str">
        <f t="shared" si="0"/>
        <v/>
      </c>
      <c r="H13" t="str">
        <f t="shared" si="1"/>
        <v/>
      </c>
      <c r="I13">
        <v>6</v>
      </c>
      <c r="J13">
        <f t="shared" si="2"/>
        <v>0</v>
      </c>
      <c r="K13" s="2">
        <f t="shared" si="3"/>
        <v>0</v>
      </c>
      <c r="L13">
        <f>IFERROR(_xlfn.FORECAST.LINEAR(
  J13,
  INDEX(D$3:D$82, MATCH(J13, C$3:C$82, 1)):INDEX(D$3:D$82, MATCH(J13, C$3:C$82, 1)+1),
  INDEX(C$3:C$82, MATCH(J13, C$3:C$82, 1)):INDEX(C$3:C$82, MATCH(J13, C$3:C$82, 1)+1)
),0)</f>
        <v>0</v>
      </c>
      <c r="O13" s="2"/>
      <c r="P13">
        <f>IFERROR(_xlfn.FORECAST.LINEAR(
  N13,
  INDEX($B$3:$B$200, MATCH(N13, $A$3:$A$200, 1)):INDEX($B$3:$B$200, MATCH(N13, $A$3:$A$200, 1)+1),
  INDEX($A$3:$A$200, MATCH(N13, $A$3:$A$200, 1)):INDEX($A$3:$A$200, MATCH(N13, $A$3:$A$200, 1)+1)
),0)</f>
        <v>0</v>
      </c>
    </row>
    <row r="14" spans="1:33" x14ac:dyDescent="0.25">
      <c r="A14">
        <v>1.9884674120000001</v>
      </c>
      <c r="B14">
        <v>1.0498894773333334</v>
      </c>
      <c r="C14">
        <v>2.5066864780000002</v>
      </c>
      <c r="D14">
        <v>0.40559284099999998</v>
      </c>
      <c r="E14">
        <v>2.5862772839999999</v>
      </c>
      <c r="F14">
        <v>1.4086985910000001</v>
      </c>
      <c r="G14" t="str">
        <f t="shared" si="0"/>
        <v/>
      </c>
      <c r="H14" t="str">
        <f t="shared" si="1"/>
        <v/>
      </c>
      <c r="J14" s="1"/>
      <c r="K14" s="1"/>
    </row>
    <row r="15" spans="1:33" x14ac:dyDescent="0.25">
      <c r="A15">
        <v>2.0397082590000002</v>
      </c>
      <c r="B15">
        <v>0.92002392799999999</v>
      </c>
      <c r="C15">
        <v>2.5378900450000001</v>
      </c>
      <c r="D15">
        <v>0.43691275166666665</v>
      </c>
      <c r="E15">
        <v>2.6631385540000001</v>
      </c>
      <c r="F15">
        <v>1.55463661</v>
      </c>
      <c r="G15" t="str">
        <f t="shared" si="0"/>
        <v/>
      </c>
      <c r="H15" t="str">
        <f t="shared" si="1"/>
        <v/>
      </c>
      <c r="J15" s="1"/>
      <c r="K15" s="1"/>
    </row>
    <row r="16" spans="1:33" x14ac:dyDescent="0.25">
      <c r="A16">
        <v>2.056788541</v>
      </c>
      <c r="B16">
        <v>0.85444825466666663</v>
      </c>
      <c r="C16">
        <v>2.5539777680000002</v>
      </c>
      <c r="D16">
        <v>0.46099421366666665</v>
      </c>
      <c r="E16">
        <v>2.8125910209999998</v>
      </c>
      <c r="F16">
        <v>1.695431438</v>
      </c>
      <c r="G16" t="str">
        <f t="shared" si="0"/>
        <v/>
      </c>
      <c r="H16" t="str">
        <f t="shared" si="1"/>
        <v/>
      </c>
      <c r="J16" s="1" t="s">
        <v>16</v>
      </c>
      <c r="K16" s="1"/>
    </row>
    <row r="17" spans="1:32" x14ac:dyDescent="0.25">
      <c r="A17">
        <v>2.1080293870000002</v>
      </c>
      <c r="B17">
        <v>0.72329690766666666</v>
      </c>
      <c r="C17">
        <v>2.5777371429999998</v>
      </c>
      <c r="D17">
        <v>0.487781662</v>
      </c>
      <c r="E17">
        <v>2.9705836300000001</v>
      </c>
      <c r="F17">
        <v>1.648178379</v>
      </c>
      <c r="G17" t="str">
        <f t="shared" si="0"/>
        <v/>
      </c>
      <c r="H17" t="str">
        <f t="shared" si="1"/>
        <v/>
      </c>
      <c r="K17" s="1" t="s">
        <v>5</v>
      </c>
      <c r="L17" s="1" t="s">
        <v>17</v>
      </c>
      <c r="S17">
        <v>1</v>
      </c>
    </row>
    <row r="18" spans="1:32" x14ac:dyDescent="0.25">
      <c r="A18">
        <v>2.159270233</v>
      </c>
      <c r="B18">
        <v>0.61014672599999997</v>
      </c>
      <c r="C18">
        <v>2.6204378479999999</v>
      </c>
      <c r="D18">
        <v>0.5222838953333333</v>
      </c>
      <c r="E18">
        <v>3.0759120360000001</v>
      </c>
      <c r="F18">
        <v>1.544993128</v>
      </c>
      <c r="G18" t="str">
        <f t="shared" si="0"/>
        <v/>
      </c>
      <c r="H18" t="str">
        <f t="shared" si="1"/>
        <v/>
      </c>
      <c r="I18" t="s">
        <v>13</v>
      </c>
      <c r="J18" t="s">
        <v>14</v>
      </c>
      <c r="K18" t="s">
        <v>15</v>
      </c>
      <c r="L18" t="s">
        <v>15</v>
      </c>
      <c r="N18" t="s">
        <v>32</v>
      </c>
      <c r="O18" t="s">
        <v>18</v>
      </c>
      <c r="P18" t="s">
        <v>19</v>
      </c>
      <c r="Q18" t="s">
        <v>33</v>
      </c>
      <c r="S18" t="s">
        <v>20</v>
      </c>
      <c r="T18" t="s">
        <v>21</v>
      </c>
      <c r="U18" t="s">
        <v>22</v>
      </c>
      <c r="V18" t="s">
        <v>23</v>
      </c>
      <c r="W18" t="s">
        <v>24</v>
      </c>
      <c r="X18" t="s">
        <v>30</v>
      </c>
      <c r="Y18" t="s">
        <v>31</v>
      </c>
      <c r="AA18" t="s">
        <v>34</v>
      </c>
      <c r="AB18" t="s">
        <v>25</v>
      </c>
      <c r="AC18" t="s">
        <v>26</v>
      </c>
      <c r="AD18" t="s">
        <v>27</v>
      </c>
      <c r="AE18" t="s">
        <v>28</v>
      </c>
      <c r="AF18" t="s">
        <v>29</v>
      </c>
    </row>
    <row r="19" spans="1:32" x14ac:dyDescent="0.25">
      <c r="A19">
        <v>2.2105110790000002</v>
      </c>
      <c r="B19">
        <v>0.51756930466666662</v>
      </c>
      <c r="C19">
        <v>2.6802188359999999</v>
      </c>
      <c r="D19">
        <v>0.56032207200000006</v>
      </c>
      <c r="E19">
        <v>3.226787861</v>
      </c>
      <c r="F19">
        <v>1.3878043819999999</v>
      </c>
      <c r="G19" t="str">
        <f t="shared" si="0"/>
        <v/>
      </c>
      <c r="H19" t="str">
        <f t="shared" si="1"/>
        <v/>
      </c>
      <c r="I19">
        <v>1</v>
      </c>
      <c r="J19" s="1">
        <f>J8</f>
        <v>1.877445579</v>
      </c>
      <c r="K19">
        <f>K8</f>
        <v>1.2421162066666667</v>
      </c>
      <c r="L19">
        <f>SUM(K8:M8)</f>
        <v>1.2455107537345598</v>
      </c>
      <c r="M19" s="1" t="str">
        <f t="shared" ref="M19:M26" si="4">IF(ISODD(ROW()), $J$5, $N$5)</f>
        <v>+-</v>
      </c>
      <c r="N19" s="5">
        <v>0</v>
      </c>
      <c r="O19" s="3">
        <f>IFERROR(1-(K19/L19),0)</f>
        <v>2.7254257401750914E-3</v>
      </c>
      <c r="P19" s="4">
        <v>0</v>
      </c>
      <c r="Q19" s="4"/>
      <c r="R19" s="4"/>
      <c r="S19">
        <f>O19/(1-O19)</f>
        <v>2.7328739852792265E-3</v>
      </c>
      <c r="T19">
        <f>P19/(1-P19)</f>
        <v>0</v>
      </c>
      <c r="U19">
        <f>SUM(S19:T19)</f>
        <v>2.7328739852792265E-3</v>
      </c>
      <c r="V19" s="1">
        <f>-U19*(J19)</f>
        <v>-5.130822181626595E-3</v>
      </c>
      <c r="W19">
        <f>EXP(V19)</f>
        <v>0.99488231800357962</v>
      </c>
      <c r="X19">
        <f>W19-SUM(W20:$W$25)</f>
        <v>0.13156077600754679</v>
      </c>
      <c r="Y19">
        <f>X19/$X$26</f>
        <v>0.15167464118576554</v>
      </c>
      <c r="Z19" s="1">
        <f>X19*J19</f>
        <v>0.24699819728517799</v>
      </c>
      <c r="AA19">
        <f>W19*J19</f>
        <v>1.8678374095610926</v>
      </c>
      <c r="AB19" s="5">
        <f>W19*J19</f>
        <v>1.8678374095610926</v>
      </c>
      <c r="AC19" s="5">
        <f>W27/J27</f>
        <v>4.7145817071711858E-2</v>
      </c>
      <c r="AD19">
        <f>IFERROR(_xlfn.FORECAST.LINEAR(
  AC19,
  INDEX(J19:J26, MATCH(AC19, V19:V26, 1)):INDEX(J19:J26, MATCH(AC19, V19:V26, 1)+1),
  INDEX(V19:V26, MATCH(AC19, V19:V26, 1)):INDEX(V19:V26, MATCH(AC19, V19:V26, 1)+1)
),0)</f>
        <v>0</v>
      </c>
      <c r="AE19" s="5">
        <f>SUM(AB19:AB25)/SUM(W19:W25)</f>
        <v>2.4088103856887604</v>
      </c>
      <c r="AF19">
        <f>IFERROR(_xlfn.FORECAST.LINEAR(
  AE19,
  INDEX(J19:J26, MATCH(AE19, W19:W26, 1)):INDEX(J19:J26, MATCH(AE19, W19:W26, 1)+1),
  INDEX(W19:W26, MATCH(AE19, W19:W26, 1)):INDEX(W19:W26, MATCH(AE19, W19:W26, 1)+1)
),0)</f>
        <v>0</v>
      </c>
    </row>
    <row r="20" spans="1:32" x14ac:dyDescent="0.25">
      <c r="A20">
        <v>2.261751925</v>
      </c>
      <c r="B20">
        <v>0.43784985833333329</v>
      </c>
      <c r="C20">
        <v>2.8083209509999998</v>
      </c>
      <c r="D20">
        <v>0.59535547866666672</v>
      </c>
      <c r="E20">
        <v>3.377663686</v>
      </c>
      <c r="F20">
        <v>1.2531170920000001</v>
      </c>
      <c r="G20" t="str">
        <f t="shared" si="0"/>
        <v/>
      </c>
      <c r="H20">
        <f t="shared" si="1"/>
        <v>0.59535547866666672</v>
      </c>
      <c r="I20">
        <v>2</v>
      </c>
      <c r="J20" s="1">
        <f>N8</f>
        <v>2.8083209509999998</v>
      </c>
      <c r="K20" s="1">
        <f>O8</f>
        <v>0.59535547866666672</v>
      </c>
      <c r="L20">
        <f>SUM(O8:P8)</f>
        <v>0.75547307300000011</v>
      </c>
      <c r="M20" s="1" t="str">
        <f t="shared" si="4"/>
        <v>++</v>
      </c>
      <c r="N20" s="5">
        <v>0</v>
      </c>
      <c r="O20" s="3">
        <f>IFERROR(1-(K20/L20),0)</f>
        <v>0.21194348290601928</v>
      </c>
      <c r="P20" s="4">
        <v>0</v>
      </c>
      <c r="Q20" s="4"/>
      <c r="R20" s="4"/>
      <c r="S20">
        <f>O20/(1-O20)</f>
        <v>0.26894452150155074</v>
      </c>
      <c r="T20">
        <f>P20/(1-P20)</f>
        <v>0</v>
      </c>
      <c r="U20">
        <f>SUM(S20:T20)</f>
        <v>0.26894452150155074</v>
      </c>
      <c r="V20" s="1">
        <f>-U20*(J20-J19)</f>
        <v>-0.25035383150011797</v>
      </c>
      <c r="W20">
        <f>EXP(SUM(V$19:$V20))</f>
        <v>0.77454102282235326</v>
      </c>
      <c r="X20">
        <f>W20-SUM(W21:$W$25)</f>
        <v>0.68576050364867369</v>
      </c>
      <c r="Y20">
        <f>X20/$X$26</f>
        <v>0.79060401957735438</v>
      </c>
      <c r="Z20" s="1">
        <f t="shared" ref="Z20:Z25" si="5">X20*J20</f>
        <v>1.9258355897648822</v>
      </c>
      <c r="AA20" s="1">
        <f>W20*(J20-J19)</f>
        <v>0.72100116274901849</v>
      </c>
      <c r="AB20" s="5">
        <f>W20*J20</f>
        <v>2.1751597818009838</v>
      </c>
      <c r="AC20" s="5"/>
    </row>
    <row r="21" spans="1:32" x14ac:dyDescent="0.25">
      <c r="A21">
        <v>2.3129927709999998</v>
      </c>
      <c r="B21">
        <v>0.37098838733333334</v>
      </c>
      <c r="C21">
        <v>2.9535033479999999</v>
      </c>
      <c r="D21">
        <v>0.57435869500000003</v>
      </c>
      <c r="E21">
        <v>3.487262163</v>
      </c>
      <c r="F21">
        <v>1.1727547469999999</v>
      </c>
      <c r="G21" t="str">
        <f t="shared" si="0"/>
        <v/>
      </c>
      <c r="H21" t="str">
        <f t="shared" si="1"/>
        <v/>
      </c>
      <c r="I21">
        <v>3</v>
      </c>
      <c r="J21" s="1">
        <f>J9</f>
        <v>4.3967871819999997</v>
      </c>
      <c r="K21" s="1">
        <f>K9</f>
        <v>0.45070783366666661</v>
      </c>
      <c r="L21">
        <f>SUM(K9:M9)</f>
        <v>0.68717611570194626</v>
      </c>
      <c r="M21" s="1" t="str">
        <f t="shared" si="4"/>
        <v>+-</v>
      </c>
      <c r="N21" s="5">
        <v>0</v>
      </c>
      <c r="O21" s="3">
        <f>IFERROR(1-(K21/L21),0)</f>
        <v>0.34411597934210614</v>
      </c>
      <c r="P21" s="4">
        <f>IFERROR((1-(K20/K19)),0)</f>
        <v>0.52069260873396217</v>
      </c>
      <c r="Q21" s="4"/>
      <c r="R21" s="4"/>
      <c r="S21">
        <f>O21/(1-O21)</f>
        <v>0.5246598003667412</v>
      </c>
      <c r="T21">
        <f>P21/(1-P21)</f>
        <v>1.0863437915251208</v>
      </c>
      <c r="U21">
        <f t="shared" ref="U21:U25" si="6">SUM(S21:T21)</f>
        <v>1.6110035918918619</v>
      </c>
      <c r="V21" s="1">
        <f>-U21*(J21-J20)</f>
        <v>-2.5590248037399279</v>
      </c>
      <c r="W21">
        <f>EXP(SUM(V$19:$V21))</f>
        <v>5.9934111763972397E-2</v>
      </c>
      <c r="X21">
        <f>W21-SUM(W22:$W$25)</f>
        <v>3.1087704354265173E-2</v>
      </c>
      <c r="Y21">
        <f t="shared" ref="Y21:Y25" si="7">X21/$X$26</f>
        <v>3.5840594334529088E-2</v>
      </c>
      <c r="Z21" s="1">
        <f t="shared" si="5"/>
        <v>0.13668602002263869</v>
      </c>
      <c r="AA21" s="1">
        <f t="shared" ref="AA21:AA25" si="8">W21*(J21-J20)</f>
        <v>9.5203312622049993E-2</v>
      </c>
      <c r="AB21" s="5">
        <f>W21*J21</f>
        <v>0.26351753436838921</v>
      </c>
      <c r="AC21" s="5"/>
    </row>
    <row r="22" spans="1:32" x14ac:dyDescent="0.25">
      <c r="A22">
        <v>2.3642336180000001</v>
      </c>
      <c r="B22">
        <v>0.32212808166666668</v>
      </c>
      <c r="C22">
        <v>3.0474448999999999</v>
      </c>
      <c r="D22">
        <v>0.54011362100000004</v>
      </c>
      <c r="E22">
        <v>3.6495248419999999</v>
      </c>
      <c r="F22">
        <v>1.0618547110000001</v>
      </c>
      <c r="G22" t="str">
        <f t="shared" si="0"/>
        <v/>
      </c>
      <c r="H22" t="str">
        <f t="shared" si="1"/>
        <v/>
      </c>
      <c r="I22">
        <v>4</v>
      </c>
      <c r="J22" s="1">
        <f>N9</f>
        <v>5.3959836819999998</v>
      </c>
      <c r="K22" s="1">
        <f>O9</f>
        <v>0.39770993733333332</v>
      </c>
      <c r="L22">
        <f>SUM(O9:P9)</f>
        <v>0.67869249833333334</v>
      </c>
      <c r="M22" s="1" t="str">
        <f t="shared" si="4"/>
        <v>++</v>
      </c>
      <c r="N22" s="5">
        <v>0</v>
      </c>
      <c r="O22" s="3">
        <f t="shared" ref="O22:O25" si="9">IFERROR(1-(K22/L22),0)</f>
        <v>0.41400569726350223</v>
      </c>
      <c r="P22" s="4">
        <f>IFERROR((1-(K21/K20)),0)</f>
        <v>0.24296013085148205</v>
      </c>
      <c r="Q22" s="4"/>
      <c r="R22" s="4"/>
      <c r="S22">
        <f>O22/(1-O22)</f>
        <v>0.70650123274264476</v>
      </c>
      <c r="T22">
        <f>P22/(1-P22)</f>
        <v>0.32093439295971549</v>
      </c>
      <c r="U22">
        <f t="shared" si="6"/>
        <v>1.0274356257023602</v>
      </c>
      <c r="V22" s="1">
        <f>-U22*(J22-J21)</f>
        <v>-1.0266100811771084</v>
      </c>
      <c r="W22">
        <f>EXP(SUM(V$19:$V22))</f>
        <v>2.1469551893413902E-2</v>
      </c>
      <c r="X22">
        <f>W22-SUM(W23:$W$25)</f>
        <v>1.4092696377120578E-2</v>
      </c>
      <c r="Y22">
        <f t="shared" si="7"/>
        <v>1.6247279251507964E-2</v>
      </c>
      <c r="Z22" s="1">
        <f t="shared" si="5"/>
        <v>7.6043959686323159E-2</v>
      </c>
      <c r="AA22" s="1">
        <f t="shared" si="8"/>
        <v>2.1452301108467544E-2</v>
      </c>
      <c r="AB22" s="5">
        <f>W22*J22</f>
        <v>0.11584935167671362</v>
      </c>
      <c r="AC22" s="5"/>
    </row>
    <row r="23" spans="1:32" x14ac:dyDescent="0.25">
      <c r="A23">
        <v>2.5179561559999999</v>
      </c>
      <c r="B23">
        <v>0.22440747033333333</v>
      </c>
      <c r="C23">
        <v>3.0986857460000001</v>
      </c>
      <c r="D23">
        <v>0.52142669699999999</v>
      </c>
      <c r="E23">
        <v>3.7762036010000002</v>
      </c>
      <c r="F23">
        <v>0.97024163699999999</v>
      </c>
      <c r="G23" t="str">
        <f t="shared" si="0"/>
        <v/>
      </c>
      <c r="H23" t="str">
        <f t="shared" si="1"/>
        <v/>
      </c>
      <c r="I23">
        <v>5</v>
      </c>
      <c r="J23" s="1">
        <f>J10</f>
        <v>6.8563477969999997</v>
      </c>
      <c r="K23" s="1">
        <f>K10</f>
        <v>0.37613157733333336</v>
      </c>
      <c r="L23">
        <f>SUM(K10:M10)</f>
        <v>0.67304330340289331</v>
      </c>
      <c r="M23" s="1" t="str">
        <f t="shared" si="4"/>
        <v>+-</v>
      </c>
      <c r="N23" s="5">
        <v>0</v>
      </c>
      <c r="O23" s="3">
        <f t="shared" si="9"/>
        <v>0.44114802802194197</v>
      </c>
      <c r="P23" s="4">
        <f t="shared" ref="P23:P25" si="10">IFERROR((1-(K22/K21)),0)</f>
        <v>0.11758814108505011</v>
      </c>
      <c r="Q23" s="4"/>
      <c r="R23" s="4"/>
      <c r="S23">
        <f>O23/(1-O23)</f>
        <v>0.78938260960321449</v>
      </c>
      <c r="T23">
        <f>P23/(1-P23)</f>
        <v>0.13325766182431109</v>
      </c>
      <c r="U23">
        <f t="shared" si="6"/>
        <v>0.92264027142752558</v>
      </c>
      <c r="V23" s="1">
        <f>-U23*(J23-J22)</f>
        <v>-1.3473907434466181</v>
      </c>
      <c r="W23">
        <f>EXP(SUM(V$19:$V23))</f>
        <v>5.5803137194514922E-3</v>
      </c>
      <c r="X23">
        <f>W23-SUM(W24:$W$25)</f>
        <v>3.7837719226096606E-3</v>
      </c>
      <c r="Y23">
        <f t="shared" si="7"/>
        <v>4.3622595283086003E-3</v>
      </c>
      <c r="Z23" s="1">
        <f t="shared" si="5"/>
        <v>2.5942856285935199E-2</v>
      </c>
      <c r="AA23" s="1">
        <f t="shared" si="8"/>
        <v>8.1492899063291373E-3</v>
      </c>
      <c r="AB23" s="5">
        <f>W23*J23</f>
        <v>3.8260571676930116E-2</v>
      </c>
      <c r="AC23" s="5"/>
    </row>
    <row r="24" spans="1:32" x14ac:dyDescent="0.25">
      <c r="A24">
        <v>2.6375181300000001</v>
      </c>
      <c r="B24">
        <v>0.18326194966666667</v>
      </c>
      <c r="C24">
        <v>3.1827637439999998</v>
      </c>
      <c r="D24">
        <v>0.47449664433333333</v>
      </c>
      <c r="E24">
        <v>3.88437872</v>
      </c>
      <c r="F24">
        <v>0.89791552699999999</v>
      </c>
      <c r="G24" t="str">
        <f t="shared" si="0"/>
        <v/>
      </c>
      <c r="H24" t="str">
        <f t="shared" si="1"/>
        <v/>
      </c>
      <c r="I24">
        <v>6</v>
      </c>
      <c r="J24" s="1">
        <f>N10</f>
        <v>8.3105497770000003</v>
      </c>
      <c r="K24" s="1">
        <f>O10</f>
        <v>0.35861297533333336</v>
      </c>
      <c r="L24">
        <f>SUM(O10:P10)</f>
        <v>0.67045467666666669</v>
      </c>
      <c r="M24" s="1" t="str">
        <f t="shared" si="4"/>
        <v>++</v>
      </c>
      <c r="N24" s="5">
        <v>0</v>
      </c>
      <c r="O24" s="3">
        <f t="shared" si="9"/>
        <v>0.46511973469069146</v>
      </c>
      <c r="P24" s="4">
        <f t="shared" si="10"/>
        <v>5.4256527117939379E-2</v>
      </c>
      <c r="Q24" s="4"/>
      <c r="R24" s="4"/>
      <c r="S24">
        <f>O24/(1-O24)</f>
        <v>0.86957729581165943</v>
      </c>
      <c r="T24">
        <f>P24/(1-P24)</f>
        <v>5.7369179564726917E-2</v>
      </c>
      <c r="U24">
        <f t="shared" si="6"/>
        <v>0.9269464753763863</v>
      </c>
      <c r="V24" s="1">
        <f>-U24*(J24-J23)</f>
        <v>-1.3479673998463628</v>
      </c>
      <c r="W24">
        <f>EXP(SUM(V$19:$V24))</f>
        <v>1.4495854182335342E-3</v>
      </c>
      <c r="X24">
        <f>W24-SUM(W25:$W$25)</f>
        <v>1.1026290396252366E-3</v>
      </c>
      <c r="Y24">
        <f t="shared" si="7"/>
        <v>1.2712061225343449E-3</v>
      </c>
      <c r="Z24" s="1">
        <f t="shared" si="5"/>
        <v>9.1634535193712355E-3</v>
      </c>
      <c r="AA24" s="1">
        <f t="shared" si="8"/>
        <v>2.1079899853743344E-3</v>
      </c>
      <c r="AB24" s="5">
        <f>W24*J24</f>
        <v>1.204685177424315E-2</v>
      </c>
      <c r="AC24" s="5"/>
    </row>
    <row r="25" spans="1:32" x14ac:dyDescent="0.25">
      <c r="A25">
        <v>2.791240669</v>
      </c>
      <c r="B25">
        <v>0.16011759433333334</v>
      </c>
      <c r="C25">
        <v>3.3036491300000002</v>
      </c>
      <c r="D25">
        <v>0.42499188299999996</v>
      </c>
      <c r="E25">
        <v>4.0445063640000001</v>
      </c>
      <c r="F25">
        <v>0.79665897200000002</v>
      </c>
      <c r="G25" t="str">
        <f t="shared" si="0"/>
        <v/>
      </c>
      <c r="H25" t="str">
        <f t="shared" si="1"/>
        <v/>
      </c>
      <c r="I25">
        <v>7</v>
      </c>
      <c r="J25" s="1">
        <f>J11</f>
        <v>9.7685358870000005</v>
      </c>
      <c r="K25" s="1">
        <f>K11</f>
        <v>0.34527243699999999</v>
      </c>
      <c r="L25">
        <f>SUM(K11:M11)</f>
        <v>0.66701109516239787</v>
      </c>
      <c r="M25" s="1" t="str">
        <f t="shared" si="4"/>
        <v>+-</v>
      </c>
      <c r="N25" s="5">
        <v>0</v>
      </c>
      <c r="O25" s="3">
        <f t="shared" si="9"/>
        <v>0.48235878008005828</v>
      </c>
      <c r="P25" s="4">
        <f t="shared" si="10"/>
        <v>4.6575727898736763E-2</v>
      </c>
      <c r="Q25" s="4"/>
      <c r="R25" s="4"/>
      <c r="S25">
        <f>O25/(1-O25)</f>
        <v>0.93183997239373595</v>
      </c>
      <c r="T25">
        <f>P25/(1-P25)</f>
        <v>4.8850998722832967E-2</v>
      </c>
      <c r="U25">
        <f t="shared" si="6"/>
        <v>0.98069097111656889</v>
      </c>
      <c r="V25" s="1">
        <f>-U25*(J25-J24)</f>
        <v>-1.4298338140903688</v>
      </c>
      <c r="W25">
        <f>EXP(SUM(V$19:$V25))</f>
        <v>3.4695637860829753E-4</v>
      </c>
      <c r="X25">
        <f>W25-SUM(W$25:$W26)</f>
        <v>0</v>
      </c>
      <c r="Y25">
        <f t="shared" si="7"/>
        <v>0</v>
      </c>
      <c r="Z25" s="1">
        <f t="shared" si="5"/>
        <v>0</v>
      </c>
      <c r="AA25" s="1">
        <f t="shared" si="8"/>
        <v>5.0585758078679904E-4</v>
      </c>
      <c r="AB25" s="5">
        <f>W25*J25</f>
        <v>3.389255835658714E-3</v>
      </c>
      <c r="AC25" s="5"/>
    </row>
    <row r="26" spans="1:32" x14ac:dyDescent="0.25">
      <c r="A26">
        <v>3.0645251820000001</v>
      </c>
      <c r="B26">
        <v>0.16011759433333334</v>
      </c>
      <c r="C26">
        <v>3.3975906820000001</v>
      </c>
      <c r="D26">
        <v>0.39713293700000002</v>
      </c>
      <c r="E26">
        <v>4.2157361919999996</v>
      </c>
      <c r="F26">
        <v>0.727997385</v>
      </c>
      <c r="G26" t="str">
        <f t="shared" si="0"/>
        <v/>
      </c>
      <c r="H26" t="str">
        <f t="shared" si="1"/>
        <v/>
      </c>
      <c r="I26">
        <v>8</v>
      </c>
      <c r="J26" s="1"/>
      <c r="K26" s="1"/>
      <c r="L26">
        <f>SUM(O11:P11)</f>
        <v>0.60410448083196</v>
      </c>
      <c r="M26" s="1" t="str">
        <f t="shared" si="4"/>
        <v>++</v>
      </c>
      <c r="N26" s="1"/>
      <c r="X26">
        <f>SUM(X19:X25)</f>
        <v>0.86738808134984124</v>
      </c>
      <c r="Z26" s="1">
        <f>SUM(Z19:Z25)</f>
        <v>2.4206700765643285</v>
      </c>
    </row>
    <row r="27" spans="1:32" x14ac:dyDescent="0.25">
      <c r="A27">
        <v>3.491532233</v>
      </c>
      <c r="B27">
        <v>0.23983704033333333</v>
      </c>
      <c r="C27">
        <v>3.5086125149999998</v>
      </c>
      <c r="D27">
        <v>0.36657993866666666</v>
      </c>
      <c r="E27">
        <v>4.3626266180000002</v>
      </c>
      <c r="F27">
        <v>0.70408155100000003</v>
      </c>
      <c r="G27" t="str">
        <f t="shared" si="0"/>
        <v/>
      </c>
      <c r="H27" t="str">
        <f t="shared" si="1"/>
        <v/>
      </c>
      <c r="J27" s="1">
        <f>SUM(J19:J26)</f>
        <v>39.413970854999995</v>
      </c>
      <c r="K27" s="1"/>
      <c r="V27" s="1">
        <f>SUM(V19:V26)</f>
        <v>-7.9663114959821302</v>
      </c>
      <c r="W27" s="1">
        <f>SUM(W19:W26)</f>
        <v>1.8582038599996125</v>
      </c>
      <c r="X27" s="1"/>
      <c r="Y27" s="1"/>
      <c r="Z27" s="1"/>
      <c r="AA27" s="1">
        <f>SUM(AA19:AA26)</f>
        <v>2.7162573235131191</v>
      </c>
    </row>
    <row r="28" spans="1:32" x14ac:dyDescent="0.25">
      <c r="A28">
        <v>3.5940139250000001</v>
      </c>
      <c r="B28">
        <v>0.27069618099999998</v>
      </c>
      <c r="C28">
        <v>3.6367146300000002</v>
      </c>
      <c r="D28">
        <v>0.33916489866666666</v>
      </c>
      <c r="E28">
        <v>4.5641739460000004</v>
      </c>
      <c r="F28">
        <v>0.73956956200000001</v>
      </c>
      <c r="G28" t="str">
        <f t="shared" si="0"/>
        <v/>
      </c>
      <c r="H28" t="str">
        <f t="shared" si="1"/>
        <v/>
      </c>
      <c r="J28" s="1"/>
    </row>
    <row r="29" spans="1:32" x14ac:dyDescent="0.25">
      <c r="A29">
        <v>3.6452547719999999</v>
      </c>
      <c r="B29">
        <v>0.28869734600000002</v>
      </c>
      <c r="C29">
        <v>3.7794569880000002</v>
      </c>
      <c r="D29">
        <v>0.3103722186666667</v>
      </c>
      <c r="E29">
        <v>4.7383928229999999</v>
      </c>
      <c r="F29">
        <v>0.819803328</v>
      </c>
      <c r="G29" t="str">
        <f t="shared" si="0"/>
        <v/>
      </c>
      <c r="H29" t="str">
        <f t="shared" si="1"/>
        <v/>
      </c>
      <c r="J29" s="1"/>
    </row>
    <row r="30" spans="1:32" x14ac:dyDescent="0.25">
      <c r="A30">
        <v>4.0210209770000001</v>
      </c>
      <c r="B30">
        <v>0.42242028800000003</v>
      </c>
      <c r="C30">
        <v>3.9099991429999998</v>
      </c>
      <c r="D30">
        <v>0.282482658</v>
      </c>
      <c r="E30">
        <v>4.8921153610000001</v>
      </c>
      <c r="F30">
        <v>0.91141640099999999</v>
      </c>
      <c r="G30" t="str">
        <f t="shared" si="0"/>
        <v/>
      </c>
      <c r="H30" t="str">
        <f t="shared" si="1"/>
        <v/>
      </c>
      <c r="J30" s="1"/>
    </row>
    <row r="31" spans="1:32" x14ac:dyDescent="0.25">
      <c r="A31">
        <v>4.3967871819999997</v>
      </c>
      <c r="B31">
        <v>0.45070783366666661</v>
      </c>
      <c r="C31">
        <v>4.1084695389999997</v>
      </c>
      <c r="D31">
        <v>0.25525727066666665</v>
      </c>
      <c r="E31">
        <v>5.034451045</v>
      </c>
      <c r="F31">
        <v>1.0023865750000001</v>
      </c>
      <c r="G31">
        <f t="shared" si="0"/>
        <v>0.45070783366666661</v>
      </c>
      <c r="H31" t="str">
        <f t="shared" si="1"/>
        <v/>
      </c>
      <c r="J31" s="1"/>
    </row>
    <row r="32" spans="1:32" x14ac:dyDescent="0.25">
      <c r="A32">
        <v>4.4480280280000004</v>
      </c>
      <c r="B32">
        <v>0.44299304833333331</v>
      </c>
      <c r="C32">
        <v>4.3372956909999996</v>
      </c>
      <c r="D32">
        <v>0.23333333333333331</v>
      </c>
      <c r="E32">
        <v>5.1824801559999996</v>
      </c>
      <c r="F32">
        <v>1.095992635</v>
      </c>
      <c r="G32" t="str">
        <f t="shared" si="0"/>
        <v/>
      </c>
      <c r="H32" t="str">
        <f t="shared" si="1"/>
        <v/>
      </c>
      <c r="J32" s="1"/>
    </row>
    <row r="33" spans="1:11" x14ac:dyDescent="0.25">
      <c r="A33">
        <v>4.4992688740000002</v>
      </c>
      <c r="B33">
        <v>0.43527826333333336</v>
      </c>
      <c r="C33">
        <v>4.5453194650000004</v>
      </c>
      <c r="D33">
        <v>0.24429530200000002</v>
      </c>
      <c r="E33">
        <v>5.3789033999999996</v>
      </c>
      <c r="F33">
        <v>1.1746834429999999</v>
      </c>
      <c r="G33" t="str">
        <f t="shared" si="0"/>
        <v/>
      </c>
      <c r="H33" t="str">
        <f t="shared" si="1"/>
        <v/>
      </c>
      <c r="J33" s="1"/>
    </row>
    <row r="34" spans="1:11" x14ac:dyDescent="0.25">
      <c r="A34">
        <v>4.55050972</v>
      </c>
      <c r="B34">
        <v>0.42499188299999996</v>
      </c>
      <c r="C34">
        <v>4.6805349180000002</v>
      </c>
      <c r="D34">
        <v>0.26152125266666665</v>
      </c>
      <c r="E34">
        <v>5.7034287590000003</v>
      </c>
      <c r="F34">
        <v>1.1920417089999999</v>
      </c>
      <c r="G34" t="str">
        <f t="shared" si="0"/>
        <v/>
      </c>
      <c r="H34" t="str">
        <f t="shared" si="1"/>
        <v/>
      </c>
      <c r="J34" s="1"/>
    </row>
    <row r="35" spans="1:11" x14ac:dyDescent="0.25">
      <c r="A35">
        <v>4.6529914129999996</v>
      </c>
      <c r="B35">
        <v>0.40184752766666665</v>
      </c>
      <c r="C35">
        <v>4.7554731050000001</v>
      </c>
      <c r="D35">
        <v>0.283554156</v>
      </c>
      <c r="E35">
        <v>5.942552708</v>
      </c>
      <c r="F35">
        <v>1.125823137</v>
      </c>
      <c r="G35" t="str">
        <f t="shared" si="0"/>
        <v/>
      </c>
      <c r="H35" t="str">
        <f t="shared" ref="H35:H66" si="11">IF(AND(AND(D35&gt;D33, D35&gt;D37),AND(D35&gt;=D34, D35&gt;=D36)), D35, "")</f>
        <v/>
      </c>
      <c r="J35" s="1"/>
    </row>
    <row r="36" spans="1:11" x14ac:dyDescent="0.25">
      <c r="A36">
        <v>4.8237942330000001</v>
      </c>
      <c r="B36">
        <v>0.36070200733333335</v>
      </c>
      <c r="C36">
        <v>4.9547430620000004</v>
      </c>
      <c r="D36">
        <v>0.32555687500000002</v>
      </c>
      <c r="E36">
        <v>6.0877351050000001</v>
      </c>
      <c r="F36">
        <v>1.071819641</v>
      </c>
      <c r="G36" t="str">
        <f t="shared" si="0"/>
        <v/>
      </c>
      <c r="H36" t="str">
        <f t="shared" si="11"/>
        <v/>
      </c>
      <c r="J36" s="1"/>
      <c r="K36" s="1"/>
    </row>
    <row r="37" spans="1:11" x14ac:dyDescent="0.25">
      <c r="A37">
        <v>5.079998464</v>
      </c>
      <c r="B37">
        <v>0.31184170133333333</v>
      </c>
      <c r="C37">
        <v>5.0848785440000004</v>
      </c>
      <c r="D37">
        <v>0.35445670499999998</v>
      </c>
      <c r="E37">
        <v>6.2380415869999997</v>
      </c>
      <c r="F37">
        <v>1.017301827</v>
      </c>
      <c r="G37" t="str">
        <f t="shared" si="0"/>
        <v/>
      </c>
      <c r="H37" t="str">
        <f t="shared" si="11"/>
        <v/>
      </c>
      <c r="J37" s="1"/>
      <c r="K37" s="1"/>
    </row>
    <row r="38" spans="1:11" x14ac:dyDescent="0.25">
      <c r="A38">
        <v>5.2508012839999996</v>
      </c>
      <c r="B38">
        <v>0.28869734600000002</v>
      </c>
      <c r="C38">
        <v>5.2386010829999998</v>
      </c>
      <c r="D38">
        <v>0.38127476766666663</v>
      </c>
      <c r="E38">
        <v>6.4065670370000003</v>
      </c>
      <c r="F38">
        <v>0.96124105500000001</v>
      </c>
      <c r="G38" t="str">
        <f t="shared" si="0"/>
        <v/>
      </c>
      <c r="H38" t="str">
        <f t="shared" si="11"/>
        <v/>
      </c>
      <c r="J38" s="1"/>
      <c r="K38" s="1"/>
    </row>
    <row r="39" spans="1:11" x14ac:dyDescent="0.25">
      <c r="A39">
        <v>5.3618231180000002</v>
      </c>
      <c r="B39">
        <v>0.28098256100000002</v>
      </c>
      <c r="C39">
        <v>5.3959836819999998</v>
      </c>
      <c r="D39">
        <v>0.39770993733333332</v>
      </c>
      <c r="E39">
        <v>6.5702530729999999</v>
      </c>
      <c r="F39">
        <v>0.92009553399999999</v>
      </c>
      <c r="G39" t="str">
        <f t="shared" si="0"/>
        <v/>
      </c>
      <c r="H39">
        <f t="shared" si="11"/>
        <v>0.39770993733333332</v>
      </c>
      <c r="J39" s="1"/>
      <c r="K39" s="1"/>
    </row>
    <row r="40" spans="1:11" x14ac:dyDescent="0.25">
      <c r="A40">
        <v>5.7717498870000004</v>
      </c>
      <c r="B40">
        <v>0.28098256100000002</v>
      </c>
      <c r="C40">
        <v>5.677808336</v>
      </c>
      <c r="D40">
        <v>0.39726473366666665</v>
      </c>
      <c r="E40">
        <v>6.736785823</v>
      </c>
      <c r="F40">
        <v>0.893093786</v>
      </c>
      <c r="G40" t="str">
        <f t="shared" si="0"/>
        <v/>
      </c>
      <c r="H40" t="str">
        <f t="shared" si="11"/>
        <v/>
      </c>
      <c r="J40" s="1"/>
      <c r="K40" s="1"/>
    </row>
    <row r="41" spans="1:11" x14ac:dyDescent="0.25">
      <c r="A41">
        <v>6.8136470920000001</v>
      </c>
      <c r="B41">
        <v>0.37613157666666663</v>
      </c>
      <c r="C41">
        <v>5.9510928490000001</v>
      </c>
      <c r="D41">
        <v>0.37069158500000005</v>
      </c>
      <c r="E41">
        <v>6.8905083610000002</v>
      </c>
      <c r="F41">
        <v>0.88923639399999999</v>
      </c>
      <c r="G41" t="str">
        <f t="shared" si="0"/>
        <v/>
      </c>
      <c r="H41" t="str">
        <f t="shared" si="11"/>
        <v/>
      </c>
      <c r="J41" s="1"/>
      <c r="K41" s="1"/>
    </row>
    <row r="42" spans="1:11" x14ac:dyDescent="0.25">
      <c r="A42">
        <v>6.8563477969999997</v>
      </c>
      <c r="B42">
        <v>0.37613157733333336</v>
      </c>
      <c r="C42">
        <v>6.1347058810000004</v>
      </c>
      <c r="D42">
        <v>0.34776152933333332</v>
      </c>
      <c r="E42">
        <v>7.0356907590000004</v>
      </c>
      <c r="F42">
        <v>0.893093786</v>
      </c>
      <c r="G42">
        <f t="shared" si="0"/>
        <v>0.37613157733333336</v>
      </c>
      <c r="H42" t="str">
        <f t="shared" si="11"/>
        <v/>
      </c>
      <c r="J42" s="1"/>
      <c r="K42" s="1"/>
    </row>
    <row r="43" spans="1:11" x14ac:dyDescent="0.25">
      <c r="A43">
        <v>7.3004351310000004</v>
      </c>
      <c r="B43">
        <v>0.35298722200000004</v>
      </c>
      <c r="C43">
        <v>6.343939336</v>
      </c>
      <c r="D43">
        <v>0.32240827966666669</v>
      </c>
      <c r="E43">
        <v>7.1979534379999999</v>
      </c>
      <c r="F43">
        <v>0.91623814199999998</v>
      </c>
      <c r="G43" t="str">
        <f t="shared" si="0"/>
        <v/>
      </c>
      <c r="H43" t="str">
        <f t="shared" si="11"/>
        <v/>
      </c>
      <c r="J43" s="1"/>
      <c r="K43" s="1"/>
    </row>
    <row r="44" spans="1:11" x14ac:dyDescent="0.25">
      <c r="A44">
        <v>7.3943766819999999</v>
      </c>
      <c r="B44">
        <v>0.34527243666666668</v>
      </c>
      <c r="C44">
        <v>6.5423476970000003</v>
      </c>
      <c r="D44">
        <v>0.30693512299999998</v>
      </c>
      <c r="E44">
        <v>7.3915299680000004</v>
      </c>
      <c r="F44">
        <v>0.95609786500000005</v>
      </c>
      <c r="G44" t="str">
        <f t="shared" si="0"/>
        <v/>
      </c>
      <c r="H44" t="str">
        <f t="shared" si="11"/>
        <v/>
      </c>
      <c r="J44" s="1"/>
      <c r="K44" s="1"/>
    </row>
    <row r="45" spans="1:11" x14ac:dyDescent="0.25">
      <c r="A45">
        <v>7.4883182330000002</v>
      </c>
      <c r="B45">
        <v>0.33755765200000004</v>
      </c>
      <c r="C45">
        <v>6.7503714710000002</v>
      </c>
      <c r="D45">
        <v>0.29597315433333332</v>
      </c>
      <c r="E45">
        <v>7.5623327890000001</v>
      </c>
      <c r="F45">
        <v>0.99724338499999998</v>
      </c>
      <c r="G45" t="str">
        <f t="shared" si="0"/>
        <v/>
      </c>
      <c r="H45" t="str">
        <f t="shared" si="11"/>
        <v/>
      </c>
      <c r="J45" s="1"/>
      <c r="K45" s="1"/>
    </row>
    <row r="46" spans="1:11" x14ac:dyDescent="0.25">
      <c r="A46">
        <v>7.5907999259999999</v>
      </c>
      <c r="B46">
        <v>0.32984286666666668</v>
      </c>
      <c r="C46">
        <v>7.1040118870000004</v>
      </c>
      <c r="D46">
        <v>0.29910514533333332</v>
      </c>
      <c r="E46">
        <v>7.8299238740000003</v>
      </c>
      <c r="F46">
        <v>1.051246881</v>
      </c>
      <c r="G46" t="str">
        <f t="shared" si="0"/>
        <v/>
      </c>
      <c r="H46" t="str">
        <f t="shared" si="11"/>
        <v/>
      </c>
      <c r="J46" s="1"/>
      <c r="K46" s="1"/>
    </row>
    <row r="47" spans="1:11" x14ac:dyDescent="0.25">
      <c r="A47">
        <v>7.7018217590000004</v>
      </c>
      <c r="B47">
        <v>0.32212808166666668</v>
      </c>
      <c r="C47">
        <v>7.334595695</v>
      </c>
      <c r="D47">
        <v>0.31642449566666669</v>
      </c>
      <c r="E47">
        <v>8.4049600370000004</v>
      </c>
      <c r="F47">
        <v>1.0641048559999999</v>
      </c>
      <c r="G47" t="str">
        <f t="shared" si="0"/>
        <v/>
      </c>
      <c r="H47" t="str">
        <f t="shared" si="11"/>
        <v/>
      </c>
      <c r="J47" s="1"/>
      <c r="K47" s="1"/>
    </row>
    <row r="48" spans="1:11" x14ac:dyDescent="0.25">
      <c r="A48">
        <v>7.9751062719999997</v>
      </c>
      <c r="B48">
        <v>0.31184170133333333</v>
      </c>
      <c r="C48">
        <v>7.6762013360000001</v>
      </c>
      <c r="D48">
        <v>0.34370644133333333</v>
      </c>
      <c r="E48">
        <v>8.6284270599999999</v>
      </c>
      <c r="F48">
        <v>1.035817311</v>
      </c>
      <c r="G48" t="str">
        <f t="shared" si="0"/>
        <v/>
      </c>
      <c r="H48" t="str">
        <f t="shared" si="11"/>
        <v/>
      </c>
      <c r="J48" s="1"/>
      <c r="K48" s="1"/>
    </row>
    <row r="49" spans="1:11" x14ac:dyDescent="0.25">
      <c r="A49">
        <v>8.3337921949999991</v>
      </c>
      <c r="B49">
        <v>0.31184170133333333</v>
      </c>
      <c r="C49">
        <v>7.9569093610000001</v>
      </c>
      <c r="D49">
        <v>0.35704698000000001</v>
      </c>
      <c r="E49">
        <v>8.8504707269999994</v>
      </c>
      <c r="F49">
        <v>1.0030294740000001</v>
      </c>
      <c r="G49" t="str">
        <f t="shared" si="0"/>
        <v/>
      </c>
      <c r="H49" t="str">
        <f t="shared" si="11"/>
        <v/>
      </c>
      <c r="J49" s="1"/>
      <c r="K49" s="1"/>
    </row>
    <row r="50" spans="1:11" x14ac:dyDescent="0.25">
      <c r="A50">
        <v>8.9145217849999998</v>
      </c>
      <c r="B50">
        <v>0.33755765200000004</v>
      </c>
      <c r="C50">
        <v>8.3105497770000003</v>
      </c>
      <c r="D50">
        <v>0.35861297533333336</v>
      </c>
      <c r="E50">
        <v>8.9913830539999999</v>
      </c>
      <c r="F50">
        <v>0.98374251099999999</v>
      </c>
      <c r="G50" t="str">
        <f t="shared" si="0"/>
        <v/>
      </c>
      <c r="H50">
        <f t="shared" si="11"/>
        <v>0.35861297533333336</v>
      </c>
      <c r="J50" s="1"/>
      <c r="K50" s="1"/>
    </row>
    <row r="51" spans="1:11" x14ac:dyDescent="0.25">
      <c r="A51">
        <v>9.0853246050000003</v>
      </c>
      <c r="B51">
        <v>0.3452724333333333</v>
      </c>
      <c r="C51">
        <v>8.6121842500000003</v>
      </c>
      <c r="D51">
        <v>0.34451901566666665</v>
      </c>
      <c r="E51">
        <v>9.1707260149999996</v>
      </c>
      <c r="F51">
        <v>0.96381265000000005</v>
      </c>
      <c r="H51" t="str">
        <f t="shared" si="11"/>
        <v/>
      </c>
      <c r="J51" s="1"/>
      <c r="K51" s="1"/>
    </row>
    <row r="52" spans="1:11" x14ac:dyDescent="0.25">
      <c r="A52">
        <v>9.7685358870000005</v>
      </c>
      <c r="B52">
        <v>0.34527243699999999</v>
      </c>
      <c r="C52">
        <v>8.8306092120000006</v>
      </c>
      <c r="D52">
        <v>0.333557047</v>
      </c>
      <c r="E52">
        <v>9.3073682719999997</v>
      </c>
      <c r="F52">
        <v>0.95866945999999997</v>
      </c>
      <c r="G52">
        <f t="shared" ref="G52:G65" si="12">IF(AND(AND(B52&gt;B50, B52&gt;B54),AND(B52&gt;=B51, B52&gt;=B53)), B52, "")</f>
        <v>0.34527243699999999</v>
      </c>
      <c r="H52" t="str">
        <f t="shared" si="11"/>
        <v/>
      </c>
      <c r="K52" s="1"/>
    </row>
    <row r="53" spans="1:11" x14ac:dyDescent="0.25">
      <c r="A53">
        <v>9.79415631</v>
      </c>
      <c r="B53">
        <v>0.3452724333333333</v>
      </c>
      <c r="C53">
        <v>9.0178306090000007</v>
      </c>
      <c r="D53">
        <v>0.32572706933333334</v>
      </c>
      <c r="E53">
        <v>9.5977330670000001</v>
      </c>
      <c r="F53">
        <v>0.95866945999999997</v>
      </c>
      <c r="G53" t="str">
        <f t="shared" si="12"/>
        <v/>
      </c>
      <c r="H53" t="str">
        <f t="shared" si="11"/>
        <v/>
      </c>
      <c r="J53" s="1"/>
      <c r="K53" s="1"/>
    </row>
    <row r="54" spans="1:11" x14ac:dyDescent="0.25">
      <c r="A54">
        <v>9.990579554</v>
      </c>
      <c r="B54">
        <v>0.33755765200000004</v>
      </c>
      <c r="C54">
        <v>9.3298662700000001</v>
      </c>
      <c r="D54">
        <v>0.31633109633333334</v>
      </c>
      <c r="E54">
        <v>9.7856161690000008</v>
      </c>
      <c r="F54">
        <v>0.96638424499999998</v>
      </c>
      <c r="G54" t="str">
        <f t="shared" si="12"/>
        <v/>
      </c>
      <c r="H54" t="str">
        <f t="shared" si="11"/>
        <v/>
      </c>
      <c r="J54" s="1"/>
      <c r="K54" s="1"/>
    </row>
    <row r="55" spans="1:11" x14ac:dyDescent="0.25">
      <c r="A55">
        <v>10.01619998</v>
      </c>
      <c r="B55">
        <v>0.33755765200000004</v>
      </c>
      <c r="C55">
        <v>9.7459138190000001</v>
      </c>
      <c r="D55">
        <v>0.32102908266666669</v>
      </c>
      <c r="E55">
        <v>10.007659840000001</v>
      </c>
      <c r="F55">
        <v>0.98759990399999997</v>
      </c>
      <c r="G55" t="str">
        <f t="shared" si="12"/>
        <v/>
      </c>
      <c r="H55" t="str">
        <f t="shared" si="11"/>
        <v/>
      </c>
      <c r="J55" s="1"/>
      <c r="K55" s="1"/>
    </row>
    <row r="56" spans="1:11" x14ac:dyDescent="0.25">
      <c r="A56">
        <v>10.229703499999999</v>
      </c>
      <c r="B56">
        <v>0.32984286666666668</v>
      </c>
      <c r="C56">
        <v>9.9955423480000007</v>
      </c>
      <c r="D56">
        <v>0.32885906033333334</v>
      </c>
      <c r="E56">
        <v>10.272404209999999</v>
      </c>
      <c r="F56">
        <v>1.0126729560000001</v>
      </c>
      <c r="G56" t="str">
        <f t="shared" si="12"/>
        <v/>
      </c>
      <c r="H56" t="str">
        <f t="shared" si="11"/>
        <v/>
      </c>
      <c r="J56" s="1"/>
      <c r="K56" s="1"/>
    </row>
    <row r="57" spans="1:11" x14ac:dyDescent="0.25">
      <c r="A57">
        <v>10.255323929999999</v>
      </c>
      <c r="B57">
        <v>0.32984286666666668</v>
      </c>
      <c r="C57">
        <v>10.34918276</v>
      </c>
      <c r="D57">
        <v>0.34138702466666665</v>
      </c>
      <c r="G57" t="str">
        <f t="shared" si="12"/>
        <v/>
      </c>
      <c r="H57" t="str">
        <f t="shared" si="11"/>
        <v/>
      </c>
      <c r="J57" s="1"/>
      <c r="K57" s="1"/>
    </row>
    <row r="58" spans="1:11" x14ac:dyDescent="0.25">
      <c r="A58">
        <v>10.63963027</v>
      </c>
      <c r="B58">
        <v>0.32212808166666668</v>
      </c>
      <c r="C58">
        <v>10.640416050000001</v>
      </c>
      <c r="D58">
        <v>0.34608501133333336</v>
      </c>
      <c r="G58" t="str">
        <f t="shared" si="12"/>
        <v/>
      </c>
      <c r="H58">
        <f t="shared" si="11"/>
        <v>0.34608501133333336</v>
      </c>
      <c r="J58" s="1"/>
      <c r="K58" s="1"/>
    </row>
    <row r="59" spans="1:11" x14ac:dyDescent="0.25">
      <c r="A59">
        <v>10.665250690000001</v>
      </c>
      <c r="B59">
        <v>0.32212808166666668</v>
      </c>
      <c r="C59">
        <v>10.8692422</v>
      </c>
      <c r="D59">
        <v>0.34451901566666665</v>
      </c>
      <c r="G59" t="str">
        <f t="shared" si="12"/>
        <v/>
      </c>
      <c r="H59" t="str">
        <f t="shared" si="11"/>
        <v/>
      </c>
      <c r="J59" s="1"/>
      <c r="K59" s="1"/>
    </row>
    <row r="60" spans="1:11" x14ac:dyDescent="0.25">
      <c r="A60">
        <v>10.707951400000001</v>
      </c>
      <c r="B60">
        <v>0.32212808166666668</v>
      </c>
      <c r="D60">
        <v>0</v>
      </c>
      <c r="G60" t="str">
        <f t="shared" si="12"/>
        <v/>
      </c>
      <c r="H60" t="str">
        <f t="shared" si="11"/>
        <v/>
      </c>
      <c r="J60" s="1"/>
      <c r="K60" s="1"/>
    </row>
    <row r="61" spans="1:11" x14ac:dyDescent="0.25">
      <c r="A61">
        <v>10.742111960000001</v>
      </c>
      <c r="B61">
        <v>0.32212808166666668</v>
      </c>
      <c r="G61" t="str">
        <f t="shared" si="12"/>
        <v/>
      </c>
      <c r="H61" t="str">
        <f t="shared" si="11"/>
        <v/>
      </c>
      <c r="J61" s="1"/>
      <c r="K61" s="1"/>
    </row>
    <row r="62" spans="1:11" x14ac:dyDescent="0.25">
      <c r="A62">
        <v>10.77627253</v>
      </c>
      <c r="B62">
        <v>0.32212808166666668</v>
      </c>
      <c r="G62" t="str">
        <f t="shared" si="12"/>
        <v/>
      </c>
      <c r="H62" t="str">
        <f t="shared" si="11"/>
        <v/>
      </c>
      <c r="J62" s="1"/>
      <c r="K62" s="1"/>
    </row>
    <row r="63" spans="1:11" x14ac:dyDescent="0.25">
      <c r="G63" t="str">
        <f t="shared" si="12"/>
        <v/>
      </c>
      <c r="H63" t="str">
        <f t="shared" si="11"/>
        <v/>
      </c>
      <c r="J63" s="1"/>
      <c r="K63" s="1"/>
    </row>
    <row r="64" spans="1:11" x14ac:dyDescent="0.25">
      <c r="G64" t="str">
        <f t="shared" si="12"/>
        <v/>
      </c>
      <c r="H64" t="str">
        <f t="shared" si="11"/>
        <v/>
      </c>
      <c r="J64" s="1"/>
      <c r="K64" s="1"/>
    </row>
    <row r="65" spans="7:11" x14ac:dyDescent="0.25">
      <c r="G65" t="str">
        <f t="shared" si="12"/>
        <v/>
      </c>
      <c r="H65" t="str">
        <f t="shared" si="11"/>
        <v/>
      </c>
      <c r="J65" s="1"/>
      <c r="K65" s="1"/>
    </row>
    <row r="66" spans="7:11" x14ac:dyDescent="0.25">
      <c r="G66" t="str">
        <f t="shared" ref="G66:G108" si="13">IF(AND(B65&gt;=B64, B65&gt;B66), B65, "")</f>
        <v/>
      </c>
      <c r="H66" t="str">
        <f t="shared" si="11"/>
        <v/>
      </c>
      <c r="J66" s="1"/>
      <c r="K66" s="1"/>
    </row>
    <row r="67" spans="7:11" x14ac:dyDescent="0.25">
      <c r="G67" t="str">
        <f t="shared" si="13"/>
        <v/>
      </c>
      <c r="H67" t="str">
        <f t="shared" ref="H67:H98" si="14">IF(AND(AND(D67&gt;D65, D67&gt;D69),AND(D67&gt;=D66, D67&gt;=D68)), D67, "")</f>
        <v/>
      </c>
      <c r="J67" s="1"/>
      <c r="K67" s="1"/>
    </row>
    <row r="68" spans="7:11" x14ac:dyDescent="0.25">
      <c r="G68" t="str">
        <f t="shared" si="13"/>
        <v/>
      </c>
      <c r="H68" t="str">
        <f t="shared" si="14"/>
        <v/>
      </c>
      <c r="J68" s="1"/>
      <c r="K68" s="1"/>
    </row>
    <row r="69" spans="7:11" x14ac:dyDescent="0.25">
      <c r="G69" t="str">
        <f t="shared" si="13"/>
        <v/>
      </c>
      <c r="H69" t="str">
        <f t="shared" si="14"/>
        <v/>
      </c>
      <c r="J69" s="1"/>
      <c r="K69" s="1"/>
    </row>
    <row r="70" spans="7:11" x14ac:dyDescent="0.25">
      <c r="G70" t="str">
        <f t="shared" si="13"/>
        <v/>
      </c>
      <c r="H70" t="str">
        <f t="shared" si="14"/>
        <v/>
      </c>
      <c r="J70" s="1"/>
      <c r="K70" s="1"/>
    </row>
    <row r="71" spans="7:11" x14ac:dyDescent="0.25">
      <c r="G71" t="str">
        <f t="shared" si="13"/>
        <v/>
      </c>
      <c r="H71" t="str">
        <f t="shared" si="14"/>
        <v/>
      </c>
      <c r="J71" s="1"/>
      <c r="K71" s="1"/>
    </row>
    <row r="72" spans="7:11" x14ac:dyDescent="0.25">
      <c r="G72" t="str">
        <f t="shared" si="13"/>
        <v/>
      </c>
      <c r="H72" t="str">
        <f t="shared" si="14"/>
        <v/>
      </c>
      <c r="J72" s="1"/>
      <c r="K72" s="1"/>
    </row>
    <row r="73" spans="7:11" x14ac:dyDescent="0.25">
      <c r="G73" t="str">
        <f t="shared" si="13"/>
        <v/>
      </c>
      <c r="H73" t="str">
        <f t="shared" si="14"/>
        <v/>
      </c>
      <c r="J73" s="1"/>
      <c r="K73" s="1"/>
    </row>
    <row r="74" spans="7:11" x14ac:dyDescent="0.25">
      <c r="G74" t="str">
        <f t="shared" si="13"/>
        <v/>
      </c>
      <c r="H74" t="str">
        <f t="shared" si="14"/>
        <v/>
      </c>
      <c r="J74" s="1"/>
      <c r="K74" s="1"/>
    </row>
    <row r="75" spans="7:11" x14ac:dyDescent="0.25">
      <c r="G75" t="str">
        <f t="shared" si="13"/>
        <v/>
      </c>
      <c r="H75" t="str">
        <f t="shared" si="14"/>
        <v/>
      </c>
      <c r="J75" s="1"/>
      <c r="K75" s="1"/>
    </row>
    <row r="76" spans="7:11" x14ac:dyDescent="0.25">
      <c r="G76" t="str">
        <f t="shared" si="13"/>
        <v/>
      </c>
      <c r="H76" t="str">
        <f t="shared" si="14"/>
        <v/>
      </c>
      <c r="J76" s="1"/>
      <c r="K76" s="1"/>
    </row>
    <row r="77" spans="7:11" x14ac:dyDescent="0.25">
      <c r="G77" t="str">
        <f t="shared" si="13"/>
        <v/>
      </c>
      <c r="H77" t="str">
        <f t="shared" si="14"/>
        <v/>
      </c>
      <c r="J77" s="1"/>
      <c r="K77" s="1"/>
    </row>
    <row r="78" spans="7:11" x14ac:dyDescent="0.25">
      <c r="G78" t="str">
        <f t="shared" si="13"/>
        <v/>
      </c>
      <c r="H78" t="str">
        <f t="shared" si="14"/>
        <v/>
      </c>
      <c r="J78" s="1"/>
      <c r="K78" s="1"/>
    </row>
    <row r="79" spans="7:11" x14ac:dyDescent="0.25">
      <c r="G79" t="str">
        <f t="shared" si="13"/>
        <v/>
      </c>
      <c r="H79" t="str">
        <f t="shared" si="14"/>
        <v/>
      </c>
      <c r="J79" s="1"/>
      <c r="K79" s="1"/>
    </row>
    <row r="80" spans="7:11" x14ac:dyDescent="0.25">
      <c r="G80" t="str">
        <f t="shared" si="13"/>
        <v/>
      </c>
      <c r="H80" t="str">
        <f t="shared" si="14"/>
        <v/>
      </c>
      <c r="J80" s="1"/>
      <c r="K80" s="1"/>
    </row>
    <row r="81" spans="7:11" x14ac:dyDescent="0.25">
      <c r="G81" t="str">
        <f t="shared" si="13"/>
        <v/>
      </c>
      <c r="H81" t="str">
        <f t="shared" si="14"/>
        <v/>
      </c>
      <c r="J81" s="1"/>
      <c r="K81" s="1"/>
    </row>
    <row r="82" spans="7:11" x14ac:dyDescent="0.25">
      <c r="G82" t="str">
        <f t="shared" si="13"/>
        <v/>
      </c>
      <c r="H82" t="str">
        <f t="shared" si="14"/>
        <v/>
      </c>
      <c r="J82" s="1"/>
      <c r="K82" s="1"/>
    </row>
    <row r="83" spans="7:11" x14ac:dyDescent="0.25">
      <c r="G83" t="str">
        <f t="shared" si="13"/>
        <v/>
      </c>
      <c r="J83" s="1"/>
      <c r="K83" s="1"/>
    </row>
    <row r="84" spans="7:11" x14ac:dyDescent="0.25">
      <c r="G84" t="str">
        <f t="shared" si="13"/>
        <v/>
      </c>
      <c r="H84" t="str">
        <f t="shared" ref="H84:H108" si="15">IF(AND(D83&gt;=D82, D83&gt;D84), D83, "")</f>
        <v/>
      </c>
      <c r="J84" s="1"/>
      <c r="K84" s="1"/>
    </row>
    <row r="85" spans="7:11" x14ac:dyDescent="0.25">
      <c r="G85" t="str">
        <f t="shared" si="13"/>
        <v/>
      </c>
      <c r="H85" t="str">
        <f t="shared" si="15"/>
        <v/>
      </c>
      <c r="J85" s="1"/>
      <c r="K85" s="1"/>
    </row>
    <row r="86" spans="7:11" x14ac:dyDescent="0.25">
      <c r="G86" t="str">
        <f t="shared" si="13"/>
        <v/>
      </c>
      <c r="H86" t="str">
        <f t="shared" si="15"/>
        <v/>
      </c>
      <c r="J86" s="1"/>
      <c r="K86" s="1"/>
    </row>
    <row r="87" spans="7:11" x14ac:dyDescent="0.25">
      <c r="G87" t="str">
        <f t="shared" si="13"/>
        <v/>
      </c>
      <c r="H87" t="str">
        <f t="shared" si="15"/>
        <v/>
      </c>
      <c r="J87" s="1"/>
      <c r="K87" s="1"/>
    </row>
    <row r="88" spans="7:11" x14ac:dyDescent="0.25">
      <c r="G88" t="str">
        <f t="shared" si="13"/>
        <v/>
      </c>
      <c r="H88" t="str">
        <f t="shared" si="15"/>
        <v/>
      </c>
      <c r="J88" s="1"/>
      <c r="K88" s="1"/>
    </row>
    <row r="89" spans="7:11" x14ac:dyDescent="0.25">
      <c r="G89" t="str">
        <f t="shared" si="13"/>
        <v/>
      </c>
      <c r="H89" t="str">
        <f t="shared" si="15"/>
        <v/>
      </c>
      <c r="J89" s="1"/>
      <c r="K89" s="1"/>
    </row>
    <row r="90" spans="7:11" x14ac:dyDescent="0.25">
      <c r="G90" t="str">
        <f t="shared" si="13"/>
        <v/>
      </c>
      <c r="H90" t="str">
        <f t="shared" si="15"/>
        <v/>
      </c>
      <c r="J90" s="1"/>
      <c r="K90" s="1"/>
    </row>
    <row r="91" spans="7:11" x14ac:dyDescent="0.25">
      <c r="G91" t="str">
        <f t="shared" si="13"/>
        <v/>
      </c>
      <c r="H91" t="str">
        <f t="shared" si="15"/>
        <v/>
      </c>
      <c r="J91" s="1"/>
      <c r="K91" s="1"/>
    </row>
    <row r="92" spans="7:11" x14ac:dyDescent="0.25">
      <c r="G92" t="str">
        <f t="shared" si="13"/>
        <v/>
      </c>
      <c r="H92" t="str">
        <f t="shared" si="15"/>
        <v/>
      </c>
      <c r="J92" s="1"/>
      <c r="K92" s="1"/>
    </row>
    <row r="93" spans="7:11" x14ac:dyDescent="0.25">
      <c r="G93" t="str">
        <f t="shared" si="13"/>
        <v/>
      </c>
      <c r="H93" t="str">
        <f t="shared" si="15"/>
        <v/>
      </c>
      <c r="J93" s="1"/>
      <c r="K93" s="1"/>
    </row>
    <row r="94" spans="7:11" x14ac:dyDescent="0.25">
      <c r="G94" t="str">
        <f t="shared" si="13"/>
        <v/>
      </c>
      <c r="H94" t="str">
        <f t="shared" si="15"/>
        <v/>
      </c>
      <c r="J94" s="1"/>
      <c r="K94" s="1"/>
    </row>
    <row r="95" spans="7:11" x14ac:dyDescent="0.25">
      <c r="G95" t="str">
        <f t="shared" si="13"/>
        <v/>
      </c>
      <c r="H95" t="str">
        <f t="shared" si="15"/>
        <v/>
      </c>
      <c r="J95" s="1"/>
      <c r="K95" s="1"/>
    </row>
    <row r="96" spans="7:11" x14ac:dyDescent="0.25">
      <c r="G96" t="str">
        <f t="shared" si="13"/>
        <v/>
      </c>
      <c r="H96" t="str">
        <f t="shared" si="15"/>
        <v/>
      </c>
      <c r="J96" s="1"/>
      <c r="K96" s="1"/>
    </row>
    <row r="97" spans="7:11" x14ac:dyDescent="0.25">
      <c r="G97" t="str">
        <f t="shared" si="13"/>
        <v/>
      </c>
      <c r="H97" t="str">
        <f t="shared" si="15"/>
        <v/>
      </c>
      <c r="J97" s="1"/>
      <c r="K97" s="1"/>
    </row>
    <row r="98" spans="7:11" x14ac:dyDescent="0.25">
      <c r="G98" t="str">
        <f t="shared" si="13"/>
        <v/>
      </c>
      <c r="H98" t="str">
        <f t="shared" si="15"/>
        <v/>
      </c>
      <c r="J98" s="1"/>
      <c r="K98" s="1"/>
    </row>
    <row r="99" spans="7:11" x14ac:dyDescent="0.25">
      <c r="G99" t="str">
        <f t="shared" si="13"/>
        <v/>
      </c>
      <c r="H99" t="str">
        <f t="shared" si="15"/>
        <v/>
      </c>
      <c r="J99" s="1"/>
      <c r="K99" s="1"/>
    </row>
    <row r="100" spans="7:11" x14ac:dyDescent="0.25">
      <c r="G100" t="str">
        <f t="shared" si="13"/>
        <v/>
      </c>
      <c r="H100" t="str">
        <f t="shared" si="15"/>
        <v/>
      </c>
      <c r="J100" s="1"/>
      <c r="K100" s="1"/>
    </row>
    <row r="101" spans="7:11" x14ac:dyDescent="0.25">
      <c r="G101" t="str">
        <f t="shared" si="13"/>
        <v/>
      </c>
      <c r="H101" t="str">
        <f t="shared" si="15"/>
        <v/>
      </c>
      <c r="J101" s="1"/>
      <c r="K101" s="1"/>
    </row>
    <row r="102" spans="7:11" x14ac:dyDescent="0.25">
      <c r="G102" t="str">
        <f t="shared" si="13"/>
        <v/>
      </c>
      <c r="H102" t="str">
        <f t="shared" si="15"/>
        <v/>
      </c>
      <c r="J102" s="1"/>
      <c r="K102" s="1"/>
    </row>
    <row r="103" spans="7:11" x14ac:dyDescent="0.25">
      <c r="G103" t="str">
        <f t="shared" si="13"/>
        <v/>
      </c>
      <c r="H103" t="str">
        <f t="shared" si="15"/>
        <v/>
      </c>
      <c r="J103" s="1"/>
      <c r="K103" s="1"/>
    </row>
    <row r="104" spans="7:11" x14ac:dyDescent="0.25">
      <c r="G104" t="str">
        <f t="shared" si="13"/>
        <v/>
      </c>
      <c r="H104" t="str">
        <f t="shared" si="15"/>
        <v/>
      </c>
      <c r="J104" s="1"/>
      <c r="K104" s="1"/>
    </row>
    <row r="105" spans="7:11" x14ac:dyDescent="0.25">
      <c r="G105" t="str">
        <f t="shared" si="13"/>
        <v/>
      </c>
      <c r="H105" t="str">
        <f t="shared" si="15"/>
        <v/>
      </c>
      <c r="J105" s="1"/>
      <c r="K105" s="1"/>
    </row>
    <row r="106" spans="7:11" x14ac:dyDescent="0.25">
      <c r="G106" t="str">
        <f t="shared" si="13"/>
        <v/>
      </c>
      <c r="H106" t="str">
        <f t="shared" si="15"/>
        <v/>
      </c>
      <c r="J106" s="1"/>
      <c r="K106" s="1"/>
    </row>
    <row r="107" spans="7:11" x14ac:dyDescent="0.25">
      <c r="G107" t="str">
        <f t="shared" si="13"/>
        <v/>
      </c>
      <c r="H107" t="str">
        <f t="shared" si="15"/>
        <v/>
      </c>
      <c r="J107" s="1"/>
      <c r="K107" s="1"/>
    </row>
    <row r="108" spans="7:11" x14ac:dyDescent="0.25">
      <c r="G108" t="str">
        <f t="shared" si="13"/>
        <v/>
      </c>
      <c r="H108" t="str">
        <f t="shared" si="15"/>
        <v/>
      </c>
      <c r="J108" s="1"/>
      <c r="K108" s="1"/>
    </row>
    <row r="109" spans="7:11" x14ac:dyDescent="0.25">
      <c r="J109" s="1"/>
      <c r="K109" s="1"/>
    </row>
    <row r="110" spans="7:11" x14ac:dyDescent="0.25">
      <c r="J110" s="1"/>
      <c r="K110" s="1"/>
    </row>
    <row r="111" spans="7:11" x14ac:dyDescent="0.25">
      <c r="J111" s="1"/>
      <c r="K111" s="1"/>
    </row>
    <row r="112" spans="7:11" x14ac:dyDescent="0.25">
      <c r="J112" s="1"/>
      <c r="K1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2025-05-30T23:02:21Z</dcterms:created>
  <dcterms:modified xsi:type="dcterms:W3CDTF">2025-06-17T23:56:56Z</dcterms:modified>
</cp:coreProperties>
</file>