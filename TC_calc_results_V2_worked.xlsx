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jnumbers_vols_utk_edu/Documents/Documents/2026-Structural-Coherence-Model/"/>
    </mc:Choice>
  </mc:AlternateContent>
  <xr:revisionPtr revIDLastSave="36" documentId="8_{C99EF970-F293-4B46-AEA7-BFE36C3CFE1A}" xr6:coauthVersionLast="47" xr6:coauthVersionMax="47" xr10:uidLastSave="{E157FF3B-040A-4FCC-AFBC-1327FF56AF05}"/>
  <bookViews>
    <workbookView xWindow="-120" yWindow="-120" windowWidth="29040" windowHeight="15720" xr2:uid="{C41BBF85-FB11-4840-A82A-2C099BB25173}"/>
  </bookViews>
  <sheets>
    <sheet name="TC_calc_results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1" l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12" i="1"/>
  <c r="AF11" i="1"/>
  <c r="AF3" i="1"/>
  <c r="AF4" i="1"/>
  <c r="AF5" i="1"/>
  <c r="AF6" i="1"/>
  <c r="AF7" i="1"/>
  <c r="AF8" i="1"/>
  <c r="AF9" i="1"/>
  <c r="AF10" i="1"/>
  <c r="AF2" i="1"/>
  <c r="W27" i="1"/>
  <c r="W26" i="1"/>
</calcChain>
</file>

<file path=xl/sharedStrings.xml><?xml version="1.0" encoding="utf-8"?>
<sst xmlns="http://schemas.openxmlformats.org/spreadsheetml/2006/main" count="189" uniqueCount="98">
  <si>
    <t>Salt Composition</t>
  </si>
  <si>
    <t>PDF Source</t>
  </si>
  <si>
    <t>Melting Temp (K)</t>
  </si>
  <si>
    <t>Min Measured Temp (K)</t>
  </si>
  <si>
    <t>Gheribi-KT24 at Melt Temp (W/m-K)</t>
  </si>
  <si>
    <t>Gheribi-KT24, Mix Data at Melt Temp (W/m-K)</t>
  </si>
  <si>
    <t>Zhao-PGM at Melt Temp (W/m-K)</t>
  </si>
  <si>
    <t>Zhao-PGM, Mix Data at Melt Temp (W/m-K)</t>
  </si>
  <si>
    <t>Present Model at Melt Temp (W/m-K)</t>
  </si>
  <si>
    <t>Present Model, Mix Data at Melt Temp (W/m-K)</t>
  </si>
  <si>
    <t>Ideal at Melt Temp (W/m-K)</t>
  </si>
  <si>
    <t>Gheribi-KT24 at Min Meas Temp (W/m-K)</t>
  </si>
  <si>
    <t>Gheribi-KT24, Mix Data at Min Meas Temp (W/m-K)</t>
  </si>
  <si>
    <t>Zhao-PGM at Min Meas Temp (W/m-K)</t>
  </si>
  <si>
    <t>Zhao-PGM, Mix Data at Min Meas Temp (W/m-K)</t>
  </si>
  <si>
    <t>Present Model at Min Meas Temp (W/m-K)</t>
  </si>
  <si>
    <t>Present Model, Mix Data at Min Meas Temp (W/m-K)</t>
  </si>
  <si>
    <t>Ideal at Min Meas Temp (W/m-K)</t>
  </si>
  <si>
    <t>TC Experimental (W/m-K)</t>
  </si>
  <si>
    <t>TC Experimental at Min Temp (W/m-K)</t>
  </si>
  <si>
    <t>Exp. Reference</t>
  </si>
  <si>
    <t>TC MSTDB (W/m-K)</t>
  </si>
  <si>
    <t>MSTDB Reference</t>
  </si>
  <si>
    <t>GECM c_m (J/kg-K)</t>
  </si>
  <si>
    <t>GECM c' (J/kg-KÂ²)</t>
  </si>
  <si>
    <t>GECM_Mix c_m (J/kg-K)</t>
  </si>
  <si>
    <t>GECM_Mix c' (J/kg-KÂ²)</t>
  </si>
  <si>
    <t>GECM v_m (m/s)</t>
  </si>
  <si>
    <t>GECM v' (m/s/K)</t>
  </si>
  <si>
    <t>GECM_Mix v_m (m/s)</t>
  </si>
  <si>
    <t>GECM_Mix v' (m/s/K)</t>
  </si>
  <si>
    <t>LiF</t>
  </si>
  <si>
    <t>Walz, 2019</t>
  </si>
  <si>
    <t>LiF (Golyshev, 1992),LiF (Smirnov, 1987),LiF (Khlebnikov, 1981)</t>
  </si>
  <si>
    <t>NaF</t>
  </si>
  <si>
    <t>NaF (Smirnov, 1987),NaF (Polyakov, 1975)</t>
  </si>
  <si>
    <t>KF</t>
  </si>
  <si>
    <t>KF (Smirnov, 1987)</t>
  </si>
  <si>
    <t>LiCl</t>
  </si>
  <si>
    <t>LiCl (Nagasaka, 1992)</t>
  </si>
  <si>
    <t>NaCl</t>
  </si>
  <si>
    <t>Lu, 2021</t>
  </si>
  <si>
    <t>NaCl (Harada, 1992),NaCl (Nagasaka 1992)</t>
  </si>
  <si>
    <t>KCl</t>
  </si>
  <si>
    <t>KCl (Harada, 1992),KCl (Nagasaka, 1992)</t>
  </si>
  <si>
    <t>MgCl2</t>
  </si>
  <si>
    <t>Roy, 2021</t>
  </si>
  <si>
    <t>MgCl2 (Filatov, 2005)</t>
  </si>
  <si>
    <t>CaCl2</t>
  </si>
  <si>
    <t>Bu, 2021</t>
  </si>
  <si>
    <t>CaCl2 (Janz, 1978)</t>
  </si>
  <si>
    <t>SrCl2</t>
  </si>
  <si>
    <t>McGreevy, 1987</t>
  </si>
  <si>
    <t>0.6LiF-0.4NaF</t>
  </si>
  <si>
    <t>Grizzi, 2024</t>
  </si>
  <si>
    <t>0.6LiF-0.4NaF (Ruth, 2023)</t>
  </si>
  <si>
    <t>0.5LiF-0.5BeF2</t>
  </si>
  <si>
    <t>Sun, 2024</t>
  </si>
  <si>
    <t>0.66LiF-0.34BeF2</t>
  </si>
  <si>
    <t>Fayfar, 2023</t>
  </si>
  <si>
    <t>0.66LiF-0.34BeF2 (Redkin, 2022),0.66LiF-0.34BeF2 (Kato, 1983),0.66LiF-0.34BeF2 (Bobrova, 2023)</t>
  </si>
  <si>
    <t>0.5LiCl-0.5KCl</t>
  </si>
  <si>
    <t>Jiang, 2016</t>
  </si>
  <si>
    <t>0.637LiCl-0.363KCl</t>
  </si>
  <si>
    <t>0.582LiCl-0.418KCl (Merritt, 2022)</t>
  </si>
  <si>
    <t>0.5NaCl-0.5KCl</t>
  </si>
  <si>
    <t>Manga, 2013</t>
  </si>
  <si>
    <t>0.51NaCl-0.49KCl (Ruth, 2024),0.44NaCl-0.56KCl (Birri, 2023),0.44NaCl-0.56KCl (Birri, 2022)</t>
  </si>
  <si>
    <t>0.7LiCl-0.3CaCl2</t>
  </si>
  <si>
    <t>Liang, 2024</t>
  </si>
  <si>
    <t>0.4903NaCl-0.5097CaCl2</t>
  </si>
  <si>
    <t>Wei, 2022</t>
  </si>
  <si>
    <t>0.52NaCl-0.48CaCl2 (Tian, 2021)</t>
  </si>
  <si>
    <t>0.718KCl-0.282CaCl2</t>
  </si>
  <si>
    <t>0.465LiF-0.115NaF-0.42KF</t>
  </si>
  <si>
    <t>Frandsen, 2020</t>
  </si>
  <si>
    <t>0.465LiF-0.115NaF-0.42KF (Merritt, 2022),0.465LiF-0.115NaF-0.42KF (Gallagher, 2022),0.465LiF-0.115NaF-0.42KF (Rudenko, 2022),0.465LiF-0.115NaF-0.42KF (Robertson, 2022)</t>
  </si>
  <si>
    <t>0.345NaF-0.065MgF2-0.59KF</t>
  </si>
  <si>
    <t>Solano, 2021</t>
  </si>
  <si>
    <t>0.345NaF-0.59KF-0.065MgF2 (Rudenko, 2024)</t>
  </si>
  <si>
    <t>0.33NaCl-0.45MgCl2-0.22KCl</t>
  </si>
  <si>
    <t>Jiang, 2024</t>
  </si>
  <si>
    <t>0.21NaCl-0.38MgCl2-0.41KCl</t>
  </si>
  <si>
    <t>0.417NaCl-0.058KCl-0.525CaCl2</t>
  </si>
  <si>
    <t>0.535NaCl-0.315MgCl2-0.15CaCl2</t>
  </si>
  <si>
    <t>0.535NaCl-0.315MgCl2-0.15CaCl2 (Rong, 2015)</t>
  </si>
  <si>
    <t>ThF4</t>
  </si>
  <si>
    <t>Dai, 2015</t>
  </si>
  <si>
    <t>UF4</t>
  </si>
  <si>
    <t>Ocadiz-Flores, 2021</t>
  </si>
  <si>
    <t>0.64NaCl-0.36UCl3</t>
  </si>
  <si>
    <t>Andersson, 2022</t>
  </si>
  <si>
    <t>63NaCl-37UCl3 (Termini, 2024),65.8NaCl-34.2UCl3 (Rose, 2023)</t>
  </si>
  <si>
    <t>0.63NaCl-0.37UCl3</t>
  </si>
  <si>
    <t>63NaCl-37UCl3 (Termini, 2024)</t>
  </si>
  <si>
    <t>0.658NaCl-0.342UCl3</t>
  </si>
  <si>
    <t>65.8NaCl-34.2UCl3 (Rose, 2023)</t>
  </si>
  <si>
    <t>0.5454LiF-0.3636NaF-0.091UF4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</si>
</sst>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344A-95C6-46B9-BDF2-6E3C7991D36A}">
  <dimension ref="A1:AF6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F15" sqref="AF15"/>
    </sheetView>
  </sheetViews>
  <sheetFormatPr defaultRowHeight="15" x14ac:dyDescent="0.25"/>
  <cols>
    <col min="1" max="1" width="29.5703125" customWidth="1"/>
    <col min="5" max="8" width="0" hidden="1" customWidth="1"/>
    <col min="11" max="15" width="0" hidden="1" customWidth="1"/>
    <col min="18" max="18" width="0" hidden="1" customWidth="1"/>
    <col min="20" max="20" width="9.140625" customWidth="1"/>
    <col min="32" max="32" width="12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2" x14ac:dyDescent="0.25">
      <c r="A2" t="s">
        <v>31</v>
      </c>
      <c r="B2" t="s">
        <v>32</v>
      </c>
      <c r="C2">
        <v>1121.2</v>
      </c>
      <c r="D2">
        <v>1121.2</v>
      </c>
      <c r="E2">
        <v>1.3498414938304</v>
      </c>
      <c r="F2">
        <v>1.8543234274300999</v>
      </c>
      <c r="G2">
        <v>0.80194503019063301</v>
      </c>
      <c r="H2">
        <v>1.09141633231103</v>
      </c>
      <c r="I2">
        <v>1.3248745827958901</v>
      </c>
      <c r="J2">
        <v>1.8031033343812599</v>
      </c>
      <c r="K2">
        <v>1.2596074449593999</v>
      </c>
      <c r="L2">
        <v>1.3498414938304</v>
      </c>
      <c r="M2">
        <v>1.8543234274300999</v>
      </c>
      <c r="N2">
        <v>0.80194503019063301</v>
      </c>
      <c r="O2">
        <v>1.09141633231103</v>
      </c>
      <c r="P2" s="2">
        <v>1.3248745827958901</v>
      </c>
      <c r="Q2">
        <v>1.8031033343812599</v>
      </c>
      <c r="R2">
        <v>1.2596074449593999</v>
      </c>
      <c r="S2">
        <v>1.26067524166442</v>
      </c>
      <c r="T2">
        <v>1.26067524166442</v>
      </c>
      <c r="U2" t="s">
        <v>33</v>
      </c>
      <c r="X2">
        <v>4476075.1837773202</v>
      </c>
      <c r="Y2">
        <v>-1213.2634257295899</v>
      </c>
      <c r="Z2">
        <v>4476075.1837773202</v>
      </c>
      <c r="AA2">
        <v>-1213.2634257295899</v>
      </c>
      <c r="AB2">
        <v>2571.7111999999902</v>
      </c>
      <c r="AC2">
        <v>-1.1739999999999999</v>
      </c>
      <c r="AD2">
        <v>3500</v>
      </c>
      <c r="AE2" s="1">
        <v>4.6456479090287202E-15</v>
      </c>
      <c r="AF2">
        <f>I2/(1/3*X2*AB2)</f>
        <v>3.4528399999999954E-10</v>
      </c>
    </row>
    <row r="3" spans="1:32" x14ac:dyDescent="0.25">
      <c r="A3" t="s">
        <v>34</v>
      </c>
      <c r="B3" t="s">
        <v>32</v>
      </c>
      <c r="C3">
        <v>1268</v>
      </c>
      <c r="D3">
        <v>1276.21082621082</v>
      </c>
      <c r="E3">
        <v>0.842268101058265</v>
      </c>
      <c r="F3">
        <v>1.09852276906184</v>
      </c>
      <c r="G3">
        <v>0.53047695960528096</v>
      </c>
      <c r="H3">
        <v>0.69412779505001398</v>
      </c>
      <c r="I3">
        <v>0.88890556844360202</v>
      </c>
      <c r="J3">
        <v>1.16313074688587</v>
      </c>
      <c r="K3">
        <v>1.1792071898440299</v>
      </c>
      <c r="L3">
        <v>0.84014612189646098</v>
      </c>
      <c r="M3">
        <v>1.09441240438841</v>
      </c>
      <c r="N3">
        <v>0.52710333705454204</v>
      </c>
      <c r="O3">
        <v>0.69229700162851704</v>
      </c>
      <c r="P3" s="2">
        <v>0.88325248244829302</v>
      </c>
      <c r="Q3">
        <v>1.1600629369884301</v>
      </c>
      <c r="R3">
        <v>1.17623647770728</v>
      </c>
      <c r="S3">
        <v>1.17915204552163</v>
      </c>
      <c r="T3">
        <v>1.2144361992027299</v>
      </c>
      <c r="U3" t="s">
        <v>35</v>
      </c>
      <c r="X3">
        <v>3257796.28465275</v>
      </c>
      <c r="Y3">
        <v>-1063.33238068026</v>
      </c>
      <c r="Z3">
        <v>3257796.28465275</v>
      </c>
      <c r="AA3">
        <v>-1063.33238068026</v>
      </c>
      <c r="AB3">
        <v>2078.7199999999998</v>
      </c>
      <c r="AC3">
        <v>-0.95999999999998997</v>
      </c>
      <c r="AD3">
        <v>2720</v>
      </c>
      <c r="AE3" s="1">
        <v>1.8722244613620798E-14</v>
      </c>
      <c r="AF3">
        <f t="shared" ref="AF3:AF11" si="0">I3/(1/3*X3*AB3)</f>
        <v>3.9378300000000086E-10</v>
      </c>
    </row>
    <row r="4" spans="1:32" x14ac:dyDescent="0.25">
      <c r="A4" t="s">
        <v>36</v>
      </c>
      <c r="B4" t="s">
        <v>32</v>
      </c>
      <c r="C4">
        <v>1131.2</v>
      </c>
      <c r="D4">
        <v>1130.5970149253701</v>
      </c>
      <c r="E4">
        <v>0.58268227937308503</v>
      </c>
      <c r="F4">
        <v>0.75706352087672302</v>
      </c>
      <c r="G4">
        <v>0.36409719101091298</v>
      </c>
      <c r="H4">
        <v>0.46874283783950199</v>
      </c>
      <c r="I4">
        <v>0.58812310251616595</v>
      </c>
      <c r="J4">
        <v>0.757156327701901</v>
      </c>
      <c r="K4">
        <v>0.62220126107652596</v>
      </c>
      <c r="L4">
        <v>0.58268227937308503</v>
      </c>
      <c r="M4">
        <v>0.75706352087672302</v>
      </c>
      <c r="N4">
        <v>0.36409719101091298</v>
      </c>
      <c r="O4">
        <v>0.46874283783950199</v>
      </c>
      <c r="P4" s="2">
        <v>0.58812310251616595</v>
      </c>
      <c r="Q4">
        <v>0.757156327701901</v>
      </c>
      <c r="R4">
        <v>0.62220126107652596</v>
      </c>
      <c r="S4">
        <v>0.62277172330456099</v>
      </c>
      <c r="T4">
        <v>0.62200825361355605</v>
      </c>
      <c r="U4" t="s">
        <v>37</v>
      </c>
      <c r="X4">
        <v>2198743.6886586202</v>
      </c>
      <c r="Y4">
        <v>-750.21687866842797</v>
      </c>
      <c r="Z4">
        <v>2198743.6886586202</v>
      </c>
      <c r="AA4">
        <v>-750.21687866842797</v>
      </c>
      <c r="AB4">
        <v>1833.136</v>
      </c>
      <c r="AC4">
        <v>-0.84499999999999897</v>
      </c>
      <c r="AD4">
        <v>2360</v>
      </c>
      <c r="AE4" s="1">
        <v>-1.49875837417989E-15</v>
      </c>
      <c r="AF4">
        <f t="shared" si="0"/>
        <v>4.3774400000000007E-10</v>
      </c>
    </row>
    <row r="5" spans="1:32" x14ac:dyDescent="0.25">
      <c r="A5" t="s">
        <v>38</v>
      </c>
      <c r="B5" t="s">
        <v>32</v>
      </c>
      <c r="C5">
        <v>883</v>
      </c>
      <c r="D5">
        <v>965.57734204792996</v>
      </c>
      <c r="E5">
        <v>0.68631947375037605</v>
      </c>
      <c r="F5">
        <v>1.1786008400558901</v>
      </c>
      <c r="G5">
        <v>0.41038418590950398</v>
      </c>
      <c r="H5">
        <v>0.69072199709411697</v>
      </c>
      <c r="I5">
        <v>0.68096309460208704</v>
      </c>
      <c r="J5">
        <v>1.14613624208868</v>
      </c>
      <c r="K5">
        <v>0.65448434140929201</v>
      </c>
      <c r="L5">
        <v>0.66763393570969798</v>
      </c>
      <c r="M5">
        <v>1.1026958951269601</v>
      </c>
      <c r="N5">
        <v>0.38646537419784699</v>
      </c>
      <c r="O5">
        <v>0.67382288347794705</v>
      </c>
      <c r="P5" s="2">
        <v>0.64127387508141498</v>
      </c>
      <c r="Q5">
        <v>1.1180950233984499</v>
      </c>
      <c r="R5">
        <v>0.63663749729573405</v>
      </c>
      <c r="S5">
        <v>0.65551426087602205</v>
      </c>
      <c r="T5">
        <v>0.62171538406412596</v>
      </c>
      <c r="U5" t="s">
        <v>39</v>
      </c>
      <c r="X5">
        <v>2303686.4828041699</v>
      </c>
      <c r="Y5">
        <v>-663.78864933716795</v>
      </c>
      <c r="Z5">
        <v>2303686.4828041699</v>
      </c>
      <c r="AA5">
        <v>-663.78864933716795</v>
      </c>
      <c r="AB5">
        <v>2079.4830000000002</v>
      </c>
      <c r="AC5">
        <v>-0.84899999999999698</v>
      </c>
      <c r="AD5">
        <v>3500</v>
      </c>
      <c r="AE5" s="1">
        <v>1.4275705032072599E-15</v>
      </c>
      <c r="AF5">
        <f t="shared" si="0"/>
        <v>4.2644799999999999E-10</v>
      </c>
    </row>
    <row r="6" spans="1:32" x14ac:dyDescent="0.25">
      <c r="A6" t="s">
        <v>40</v>
      </c>
      <c r="B6" t="s">
        <v>41</v>
      </c>
      <c r="C6">
        <v>1073.8</v>
      </c>
      <c r="D6">
        <v>1087.31808731808</v>
      </c>
      <c r="E6">
        <v>0.48681288142144602</v>
      </c>
      <c r="F6">
        <v>0.75938878548032596</v>
      </c>
      <c r="G6">
        <v>0.310170753406454</v>
      </c>
      <c r="H6">
        <v>0.475672930079028</v>
      </c>
      <c r="I6">
        <v>0.49800380481297302</v>
      </c>
      <c r="J6">
        <v>0.76373070776105501</v>
      </c>
      <c r="K6">
        <v>0.492592095093145</v>
      </c>
      <c r="L6">
        <v>0.48405829986611099</v>
      </c>
      <c r="M6">
        <v>0.75060654781595504</v>
      </c>
      <c r="N6">
        <v>0.30664510243584298</v>
      </c>
      <c r="O6">
        <v>0.47348544960174099</v>
      </c>
      <c r="P6" s="2">
        <v>0.49234309187171799</v>
      </c>
      <c r="Q6">
        <v>0.76021853393847805</v>
      </c>
      <c r="R6">
        <v>0.489813580124773</v>
      </c>
      <c r="S6">
        <v>0.49104259587103499</v>
      </c>
      <c r="T6">
        <v>0.48678483778454201</v>
      </c>
      <c r="U6" t="s">
        <v>42</v>
      </c>
      <c r="X6">
        <v>1853848.9792105099</v>
      </c>
      <c r="Y6">
        <v>-646.84667111544604</v>
      </c>
      <c r="Z6">
        <v>1853848.9792105099</v>
      </c>
      <c r="AA6">
        <v>-646.84667111544604</v>
      </c>
      <c r="AB6">
        <v>1773.623</v>
      </c>
      <c r="AC6">
        <v>-0.91500000000000103</v>
      </c>
      <c r="AD6">
        <v>2720</v>
      </c>
      <c r="AE6" s="1">
        <v>4.33007154467006E-15</v>
      </c>
      <c r="AF6">
        <f t="shared" si="0"/>
        <v>4.5437900000000075E-10</v>
      </c>
    </row>
    <row r="7" spans="1:32" x14ac:dyDescent="0.25">
      <c r="A7" t="s">
        <v>43</v>
      </c>
      <c r="B7" t="s">
        <v>32</v>
      </c>
      <c r="C7">
        <v>1042.7</v>
      </c>
      <c r="D7">
        <v>1052.1638776687801</v>
      </c>
      <c r="E7">
        <v>0.37423569928907002</v>
      </c>
      <c r="F7">
        <v>0.55297227007739003</v>
      </c>
      <c r="G7">
        <v>0.26186834835755002</v>
      </c>
      <c r="H7">
        <v>0.37852922791111199</v>
      </c>
      <c r="I7">
        <v>0.418822713877671</v>
      </c>
      <c r="J7">
        <v>0.60540588242183602</v>
      </c>
      <c r="K7">
        <v>0.367952357032785</v>
      </c>
      <c r="L7">
        <v>0.37219191681272601</v>
      </c>
      <c r="M7">
        <v>0.54728099592400503</v>
      </c>
      <c r="N7">
        <v>0.25926783445691498</v>
      </c>
      <c r="O7">
        <v>0.37696512205354998</v>
      </c>
      <c r="P7" s="2">
        <v>0.414663546509137</v>
      </c>
      <c r="Q7">
        <v>0.602904308389827</v>
      </c>
      <c r="R7">
        <v>0.365945369422219</v>
      </c>
      <c r="S7">
        <v>0.36749821512915098</v>
      </c>
      <c r="T7">
        <v>0.36593154520815202</v>
      </c>
      <c r="U7" t="s">
        <v>44</v>
      </c>
      <c r="X7">
        <v>1508405.0843915499</v>
      </c>
      <c r="Y7">
        <v>-575.65944524106101</v>
      </c>
      <c r="Z7">
        <v>1508405.0843915499</v>
      </c>
      <c r="AA7">
        <v>-575.65944524106101</v>
      </c>
      <c r="AB7">
        <v>1632.65939999999</v>
      </c>
      <c r="AC7">
        <v>-0.878</v>
      </c>
      <c r="AD7">
        <v>2360</v>
      </c>
      <c r="AE7" s="1">
        <v>1.0673566429611301E-15</v>
      </c>
      <c r="AF7">
        <f t="shared" si="0"/>
        <v>5.1019700000000313E-10</v>
      </c>
    </row>
    <row r="8" spans="1:32" x14ac:dyDescent="0.25">
      <c r="A8" t="s">
        <v>45</v>
      </c>
      <c r="B8" t="s">
        <v>46</v>
      </c>
      <c r="C8">
        <v>987</v>
      </c>
      <c r="D8">
        <v>986.86210640607999</v>
      </c>
      <c r="E8">
        <v>0.43829220310135403</v>
      </c>
      <c r="F8">
        <v>0.70927819635630895</v>
      </c>
      <c r="G8">
        <v>0.28861057804145501</v>
      </c>
      <c r="H8">
        <v>0.46705186356066097</v>
      </c>
      <c r="I8">
        <v>0.517917956438393</v>
      </c>
      <c r="J8">
        <v>0.83813472246098797</v>
      </c>
      <c r="K8">
        <v>0.54390685800000005</v>
      </c>
      <c r="L8">
        <v>0.43829220310135403</v>
      </c>
      <c r="M8">
        <v>0.70927819635630895</v>
      </c>
      <c r="N8">
        <v>0.28861057804145501</v>
      </c>
      <c r="O8">
        <v>0.46705186356066097</v>
      </c>
      <c r="P8" s="2">
        <v>0.517917956438393</v>
      </c>
      <c r="Q8">
        <v>0.83813472246098797</v>
      </c>
      <c r="R8">
        <v>0.54390685800000005</v>
      </c>
      <c r="S8">
        <v>0.54390685781354797</v>
      </c>
      <c r="T8">
        <v>0.54366197183098497</v>
      </c>
      <c r="U8" t="s">
        <v>47</v>
      </c>
      <c r="X8">
        <v>1628871.87942569</v>
      </c>
      <c r="Y8">
        <v>-278.43236600812901</v>
      </c>
      <c r="Z8">
        <v>1628871.87942569</v>
      </c>
      <c r="AA8">
        <v>-278.43236600812901</v>
      </c>
      <c r="AB8">
        <v>2101</v>
      </c>
      <c r="AC8" s="1">
        <v>6.3893004180326898E-16</v>
      </c>
      <c r="AD8">
        <v>3400</v>
      </c>
      <c r="AE8" s="1">
        <v>-1.40155622245879E-15</v>
      </c>
      <c r="AF8">
        <f t="shared" si="0"/>
        <v>4.5401400000000165E-10</v>
      </c>
    </row>
    <row r="9" spans="1:32" x14ac:dyDescent="0.25">
      <c r="A9" t="s">
        <v>48</v>
      </c>
      <c r="B9" t="s">
        <v>49</v>
      </c>
      <c r="C9">
        <v>1045</v>
      </c>
      <c r="D9">
        <v>1070</v>
      </c>
      <c r="E9">
        <v>0.448735993317051</v>
      </c>
      <c r="F9">
        <v>0.478065299437545</v>
      </c>
      <c r="G9">
        <v>0.37311089961278099</v>
      </c>
      <c r="H9">
        <v>0.39749736282190501</v>
      </c>
      <c r="I9">
        <v>0.63132488689355803</v>
      </c>
      <c r="J9">
        <v>0.67258817119646097</v>
      </c>
      <c r="K9">
        <v>1.4838367187463</v>
      </c>
      <c r="L9">
        <v>0.44575532284339497</v>
      </c>
      <c r="M9">
        <v>0.47457362854169599</v>
      </c>
      <c r="N9">
        <v>0.37116392595798098</v>
      </c>
      <c r="O9">
        <v>0.39542313530919998</v>
      </c>
      <c r="P9" s="2">
        <v>0.62803049660992605</v>
      </c>
      <c r="Q9">
        <v>0.66907846013948302</v>
      </c>
      <c r="R9">
        <v>1.47398052632767</v>
      </c>
      <c r="S9">
        <v>0.97144261428571799</v>
      </c>
      <c r="T9">
        <v>1.17500168571428</v>
      </c>
      <c r="U9" t="s">
        <v>50</v>
      </c>
      <c r="X9">
        <v>1928974.58503027</v>
      </c>
      <c r="Y9">
        <v>-390.79019498306599</v>
      </c>
      <c r="Z9">
        <v>1928974.58503027</v>
      </c>
      <c r="AA9">
        <v>-390.79019498306599</v>
      </c>
      <c r="AB9">
        <v>2065.0300000000002</v>
      </c>
      <c r="AC9" s="1">
        <v>-4.9786333747322002E-15</v>
      </c>
      <c r="AD9">
        <v>2200</v>
      </c>
      <c r="AE9" s="1">
        <v>-4.8108588420278203E-15</v>
      </c>
      <c r="AF9">
        <f t="shared" si="0"/>
        <v>4.7546800000000082E-10</v>
      </c>
    </row>
    <row r="10" spans="1:32" x14ac:dyDescent="0.25">
      <c r="A10" t="s">
        <v>51</v>
      </c>
      <c r="B10" t="s">
        <v>52</v>
      </c>
      <c r="C10">
        <v>1146</v>
      </c>
      <c r="E10">
        <v>0.383511707903748</v>
      </c>
      <c r="F10">
        <v>0.383511707903748</v>
      </c>
      <c r="G10">
        <v>0.33599408249358698</v>
      </c>
      <c r="H10">
        <v>0.33599408249358698</v>
      </c>
      <c r="I10">
        <v>0.56875257848348404</v>
      </c>
      <c r="J10">
        <v>0.56875257848348404</v>
      </c>
      <c r="K10">
        <v>0.567551315</v>
      </c>
      <c r="P10" s="2"/>
      <c r="X10">
        <v>1799756.6027023899</v>
      </c>
      <c r="Y10">
        <v>-381.38097220645398</v>
      </c>
      <c r="Z10">
        <v>1799756.6027023899</v>
      </c>
      <c r="AA10">
        <v>-381.38097220645398</v>
      </c>
      <c r="AB10">
        <v>1873.13</v>
      </c>
      <c r="AC10" s="1">
        <v>4.1506159091356099E-15</v>
      </c>
      <c r="AD10">
        <v>1873.13</v>
      </c>
      <c r="AE10" s="1">
        <v>4.1506159091356099E-15</v>
      </c>
      <c r="AF10">
        <f t="shared" si="0"/>
        <v>5.0613100000000144E-10</v>
      </c>
    </row>
    <row r="11" spans="1:32" x14ac:dyDescent="0.25">
      <c r="A11" t="s">
        <v>53</v>
      </c>
      <c r="B11" t="s">
        <v>54</v>
      </c>
      <c r="C11">
        <v>930</v>
      </c>
      <c r="D11">
        <v>933.1</v>
      </c>
      <c r="E11">
        <v>1.0140564520567199</v>
      </c>
      <c r="F11">
        <v>1.1663014868299499</v>
      </c>
      <c r="G11">
        <v>0.79112226290135701</v>
      </c>
      <c r="H11">
        <v>0.72103392545214695</v>
      </c>
      <c r="I11">
        <v>0.82166376502886196</v>
      </c>
      <c r="J11">
        <v>0.74886964718678495</v>
      </c>
      <c r="K11">
        <v>1.3173135002951999</v>
      </c>
      <c r="L11">
        <v>1.0132574137371899</v>
      </c>
      <c r="M11">
        <v>1.1652108731167701</v>
      </c>
      <c r="N11">
        <v>0.78964285821518798</v>
      </c>
      <c r="O11">
        <v>0.71987638870492798</v>
      </c>
      <c r="P11">
        <v>0.82012724749997701</v>
      </c>
      <c r="Q11" s="2">
        <v>0.74766742340105696</v>
      </c>
      <c r="R11">
        <v>1.3163395675179701</v>
      </c>
      <c r="S11">
        <v>0.86713739237916598</v>
      </c>
      <c r="T11">
        <v>0.86544945017474995</v>
      </c>
      <c r="U11" t="s">
        <v>55</v>
      </c>
      <c r="X11">
        <v>4176953.7778954599</v>
      </c>
      <c r="Y11">
        <v>-1150.5476227031199</v>
      </c>
      <c r="Z11">
        <v>3924687.9871193399</v>
      </c>
      <c r="AA11">
        <v>-1081.6107618994599</v>
      </c>
      <c r="AB11">
        <v>2589.8139640238801</v>
      </c>
      <c r="AC11">
        <v>-1.0632372706434601</v>
      </c>
      <c r="AD11">
        <v>2512.09</v>
      </c>
      <c r="AE11">
        <v>-0.78700000000000103</v>
      </c>
      <c r="AF11">
        <f>J11/(1/3*X11*AB11)</f>
        <v>2.0768218554515304E-10</v>
      </c>
    </row>
    <row r="12" spans="1:32" x14ac:dyDescent="0.25">
      <c r="A12" t="s">
        <v>61</v>
      </c>
      <c r="B12" t="s">
        <v>62</v>
      </c>
      <c r="C12">
        <v>738</v>
      </c>
      <c r="E12">
        <v>0.43721954149500702</v>
      </c>
      <c r="F12">
        <v>0.46028091418949801</v>
      </c>
      <c r="G12">
        <v>0.37678430885796399</v>
      </c>
      <c r="H12">
        <v>0.38277518126805099</v>
      </c>
      <c r="I12">
        <v>0.353431531381871</v>
      </c>
      <c r="J12">
        <v>0.35905109451237499</v>
      </c>
      <c r="K12">
        <v>0.55469717528554296</v>
      </c>
      <c r="Q12" s="2"/>
      <c r="X12">
        <v>1957831.5031504</v>
      </c>
      <c r="Y12">
        <v>-621.21906456358101</v>
      </c>
      <c r="Z12">
        <v>1988961.0339192699</v>
      </c>
      <c r="AA12">
        <v>-640.21726396870804</v>
      </c>
      <c r="AB12">
        <v>2004.6855637414201</v>
      </c>
      <c r="AC12">
        <v>-0.88459974730231195</v>
      </c>
      <c r="AD12">
        <v>2004.6855637414201</v>
      </c>
      <c r="AE12">
        <v>-0.88459974730231195</v>
      </c>
      <c r="AF12">
        <f>J12/(1/3*Z12*AD12)</f>
        <v>2.7015000000000206E-10</v>
      </c>
    </row>
    <row r="13" spans="1:32" x14ac:dyDescent="0.25">
      <c r="A13" t="s">
        <v>63</v>
      </c>
      <c r="B13" t="s">
        <v>62</v>
      </c>
      <c r="C13">
        <v>665.15</v>
      </c>
      <c r="D13">
        <v>761.04532462229395</v>
      </c>
      <c r="E13">
        <v>0.47683591791705898</v>
      </c>
      <c r="F13">
        <v>0.51075906579980501</v>
      </c>
      <c r="G13">
        <v>0.41334207048034899</v>
      </c>
      <c r="H13">
        <v>0.43268995914955699</v>
      </c>
      <c r="I13">
        <v>0.41496878431664702</v>
      </c>
      <c r="J13">
        <v>0.43439281688808401</v>
      </c>
      <c r="K13">
        <v>0.60504533855765597</v>
      </c>
      <c r="L13">
        <v>0.458815466799743</v>
      </c>
      <c r="M13">
        <v>0.49199959132271298</v>
      </c>
      <c r="N13">
        <v>0.38517191852858301</v>
      </c>
      <c r="O13">
        <v>0.40266146772632</v>
      </c>
      <c r="P13">
        <v>0.38668776831492602</v>
      </c>
      <c r="Q13" s="2">
        <v>0.40424614789239499</v>
      </c>
      <c r="R13">
        <v>0.58560496216414804</v>
      </c>
      <c r="S13">
        <v>0.62505654136445399</v>
      </c>
      <c r="T13">
        <v>0.58342749358425805</v>
      </c>
      <c r="U13" t="s">
        <v>64</v>
      </c>
      <c r="X13">
        <v>2103028.31921147</v>
      </c>
      <c r="Y13">
        <v>-633.94520501660099</v>
      </c>
      <c r="Z13">
        <v>2201467.7491514501</v>
      </c>
      <c r="AA13">
        <v>-692.38409437973303</v>
      </c>
      <c r="AB13">
        <v>2109.5732474381998</v>
      </c>
      <c r="AC13">
        <v>-0.88190287305424497</v>
      </c>
      <c r="AD13">
        <v>2109.5732474381998</v>
      </c>
      <c r="AE13">
        <v>-0.88190287305424497</v>
      </c>
      <c r="AF13">
        <f t="shared" ref="AF13:AF30" si="1">J13/(1/3*Z13*AD13)</f>
        <v>2.8060600000000134E-10</v>
      </c>
    </row>
    <row r="14" spans="1:32" x14ac:dyDescent="0.25">
      <c r="A14" t="s">
        <v>65</v>
      </c>
      <c r="B14" t="s">
        <v>66</v>
      </c>
      <c r="C14">
        <v>930</v>
      </c>
      <c r="D14">
        <v>933.49753694581204</v>
      </c>
      <c r="E14">
        <v>0.41485046880626703</v>
      </c>
      <c r="F14">
        <v>0.425309531769268</v>
      </c>
      <c r="G14">
        <v>0.31329500700567697</v>
      </c>
      <c r="H14">
        <v>0.311450373562495</v>
      </c>
      <c r="I14">
        <v>0.300480096287225</v>
      </c>
      <c r="J14">
        <v>0.29871091509305497</v>
      </c>
      <c r="K14">
        <v>0.455875177823445</v>
      </c>
      <c r="L14">
        <v>0.41432150707874899</v>
      </c>
      <c r="M14">
        <v>0.424767234046183</v>
      </c>
      <c r="N14">
        <v>0.31256921316495001</v>
      </c>
      <c r="O14">
        <v>0.31072606308942902</v>
      </c>
      <c r="P14">
        <v>0.29978399006698703</v>
      </c>
      <c r="Q14" s="2">
        <v>0.29801623156531898</v>
      </c>
      <c r="R14">
        <v>0.45533493196231301</v>
      </c>
      <c r="S14">
        <v>0.44780365720807103</v>
      </c>
      <c r="T14">
        <v>0.44602244689130399</v>
      </c>
      <c r="U14" t="s">
        <v>67</v>
      </c>
      <c r="X14">
        <v>1735132.7336639899</v>
      </c>
      <c r="Y14">
        <v>-609.72920100677504</v>
      </c>
      <c r="Z14">
        <v>1724916.53552069</v>
      </c>
      <c r="AA14">
        <v>-611.67253032649</v>
      </c>
      <c r="AB14">
        <v>1799.5981157415599</v>
      </c>
      <c r="AC14">
        <v>-0.89755717416429004</v>
      </c>
      <c r="AD14">
        <v>1799.5981157415599</v>
      </c>
      <c r="AE14">
        <v>-0.89755717416429004</v>
      </c>
      <c r="AF14">
        <f t="shared" si="1"/>
        <v>2.8868800000000082E-10</v>
      </c>
    </row>
    <row r="15" spans="1:32" x14ac:dyDescent="0.25">
      <c r="A15" t="s">
        <v>68</v>
      </c>
      <c r="B15" t="s">
        <v>69</v>
      </c>
      <c r="C15">
        <v>771.15</v>
      </c>
      <c r="E15">
        <v>0.41872534571375503</v>
      </c>
      <c r="F15">
        <v>0.41872534571375503</v>
      </c>
      <c r="G15">
        <v>0.41213211347363599</v>
      </c>
      <c r="H15">
        <v>0.41213211347363599</v>
      </c>
      <c r="I15">
        <v>0.432128788578172</v>
      </c>
      <c r="J15">
        <v>0.432128788578172</v>
      </c>
      <c r="K15">
        <v>0.95118348789621598</v>
      </c>
      <c r="Q15" s="2"/>
      <c r="X15">
        <v>2227090.39103508</v>
      </c>
      <c r="Y15">
        <v>-538.48917629249195</v>
      </c>
      <c r="Z15">
        <v>2227090.39103508</v>
      </c>
      <c r="AA15">
        <v>-538.48917629249195</v>
      </c>
      <c r="AB15">
        <v>2101.2951277836</v>
      </c>
      <c r="AC15">
        <v>-0.60061053586828705</v>
      </c>
      <c r="AD15">
        <v>2101.2951277836</v>
      </c>
      <c r="AE15">
        <v>-0.60061053586828705</v>
      </c>
      <c r="AF15">
        <f t="shared" si="1"/>
        <v>2.770190000000005E-10</v>
      </c>
    </row>
    <row r="16" spans="1:32" x14ac:dyDescent="0.25">
      <c r="A16" t="s">
        <v>70</v>
      </c>
      <c r="B16" t="s">
        <v>71</v>
      </c>
      <c r="C16">
        <v>779.15</v>
      </c>
      <c r="D16">
        <v>822.88235294117601</v>
      </c>
      <c r="E16">
        <v>0.40278115588343499</v>
      </c>
      <c r="F16">
        <v>0.41607265300075302</v>
      </c>
      <c r="G16">
        <v>0.390665315849135</v>
      </c>
      <c r="H16">
        <v>0.43446723428452499</v>
      </c>
      <c r="I16">
        <v>0.39032228256172402</v>
      </c>
      <c r="J16">
        <v>0.43408573964550101</v>
      </c>
      <c r="K16">
        <v>1.08013624496838</v>
      </c>
      <c r="L16">
        <v>0.39726558146438001</v>
      </c>
      <c r="M16">
        <v>0.410873024249373</v>
      </c>
      <c r="N16">
        <v>0.38314242429823903</v>
      </c>
      <c r="O16">
        <v>0.42673496439027098</v>
      </c>
      <c r="P16">
        <v>0.38280599667074899</v>
      </c>
      <c r="Q16" s="2">
        <v>0.42636025926097199</v>
      </c>
      <c r="R16">
        <v>1.0675768784922901</v>
      </c>
      <c r="S16">
        <v>0.58073622386404899</v>
      </c>
      <c r="T16">
        <v>0.57194151618485101</v>
      </c>
      <c r="U16" t="s">
        <v>72</v>
      </c>
      <c r="X16">
        <v>2037424.17418427</v>
      </c>
      <c r="Y16">
        <v>-495.732882302316</v>
      </c>
      <c r="Z16">
        <v>2265862.9013385698</v>
      </c>
      <c r="AA16">
        <v>-467.40254720600302</v>
      </c>
      <c r="AB16">
        <v>2039.9777232997301</v>
      </c>
      <c r="AC16">
        <v>-0.56118159921558897</v>
      </c>
      <c r="AD16">
        <v>2039.9777232997301</v>
      </c>
      <c r="AE16">
        <v>-0.56118159921558897</v>
      </c>
      <c r="AF16">
        <f t="shared" si="1"/>
        <v>2.8173300000000185E-10</v>
      </c>
    </row>
    <row r="17" spans="1:32" x14ac:dyDescent="0.25">
      <c r="A17" t="s">
        <v>73</v>
      </c>
      <c r="B17" t="s">
        <v>71</v>
      </c>
      <c r="C17">
        <v>921.15</v>
      </c>
      <c r="E17">
        <v>0.334581271495481</v>
      </c>
      <c r="F17">
        <v>0.35071278157307501</v>
      </c>
      <c r="G17">
        <v>0.31245402733677802</v>
      </c>
      <c r="H17">
        <v>0.32276104306643799</v>
      </c>
      <c r="I17">
        <v>0.406469766167813</v>
      </c>
      <c r="J17">
        <v>0.41987810757801203</v>
      </c>
      <c r="K17">
        <v>0.71217340427593001</v>
      </c>
      <c r="Q17" s="2"/>
      <c r="X17">
        <v>1699665.49092353</v>
      </c>
      <c r="Y17">
        <v>-537.72360576109099</v>
      </c>
      <c r="Z17">
        <v>1755732.8717777</v>
      </c>
      <c r="AA17">
        <v>-474.21547585200301</v>
      </c>
      <c r="AB17">
        <v>1788.9283202763399</v>
      </c>
      <c r="AC17">
        <v>-0.82097370680551995</v>
      </c>
      <c r="AD17">
        <v>1788.9283202763399</v>
      </c>
      <c r="AE17">
        <v>-0.82097370680551995</v>
      </c>
      <c r="AF17">
        <f t="shared" si="1"/>
        <v>4.0104500000000205E-10</v>
      </c>
    </row>
    <row r="18" spans="1:32" x14ac:dyDescent="0.25">
      <c r="A18" t="s">
        <v>83</v>
      </c>
      <c r="B18" t="s">
        <v>71</v>
      </c>
      <c r="C18">
        <v>769.45</v>
      </c>
      <c r="E18">
        <v>0.419530868485185</v>
      </c>
      <c r="F18">
        <v>0.419530868485185</v>
      </c>
      <c r="G18">
        <v>0.388028966963262</v>
      </c>
      <c r="H18">
        <v>0.388028966963262</v>
      </c>
      <c r="I18">
        <v>0.381900568841189</v>
      </c>
      <c r="J18">
        <v>0.381900568841189</v>
      </c>
      <c r="K18">
        <v>1.0908155763913601</v>
      </c>
      <c r="Q18" s="2"/>
      <c r="X18">
        <v>2019238.0687336901</v>
      </c>
      <c r="Y18">
        <v>-492.590619908387</v>
      </c>
      <c r="Z18">
        <v>2019238.0687336901</v>
      </c>
      <c r="AA18">
        <v>-492.590619908387</v>
      </c>
      <c r="AB18">
        <v>2029.6512982499301</v>
      </c>
      <c r="AC18">
        <v>-0.568395641870729</v>
      </c>
      <c r="AD18">
        <v>2029.6512982499301</v>
      </c>
      <c r="AE18">
        <v>-0.568395641870729</v>
      </c>
      <c r="AF18">
        <f t="shared" si="1"/>
        <v>2.7955200000000093E-10</v>
      </c>
    </row>
    <row r="19" spans="1:32" x14ac:dyDescent="0.25">
      <c r="A19" t="s">
        <v>74</v>
      </c>
      <c r="B19" t="s">
        <v>75</v>
      </c>
      <c r="C19">
        <v>735</v>
      </c>
      <c r="D19">
        <v>742.4</v>
      </c>
      <c r="E19">
        <v>0.69546259777516795</v>
      </c>
      <c r="F19">
        <v>1.00607708330271</v>
      </c>
      <c r="G19">
        <v>0.65005468660002197</v>
      </c>
      <c r="H19">
        <v>0.83573612023111798</v>
      </c>
      <c r="I19">
        <v>0.63372890028529305</v>
      </c>
      <c r="J19">
        <v>0.81474704101109696</v>
      </c>
      <c r="K19">
        <v>1.1143618956813901</v>
      </c>
      <c r="L19">
        <v>0.69407516388877799</v>
      </c>
      <c r="M19">
        <v>1.00362047482024</v>
      </c>
      <c r="N19">
        <v>0.64755375881160904</v>
      </c>
      <c r="O19">
        <v>0.83285159466612202</v>
      </c>
      <c r="P19">
        <v>0.63129078200122501</v>
      </c>
      <c r="Q19" s="2">
        <v>0.81193495880965805</v>
      </c>
      <c r="R19">
        <v>1.1125245193373501</v>
      </c>
      <c r="S19">
        <v>0.79370363281638401</v>
      </c>
      <c r="T19">
        <v>0.79272072010587802</v>
      </c>
      <c r="U19" t="s">
        <v>76</v>
      </c>
      <c r="X19">
        <v>3402318.9027080499</v>
      </c>
      <c r="Y19">
        <v>-957.23555234657294</v>
      </c>
      <c r="Z19">
        <v>4363761.9008696601</v>
      </c>
      <c r="AA19">
        <v>-470.99426884723903</v>
      </c>
      <c r="AB19">
        <v>2408.04408679383</v>
      </c>
      <c r="AC19">
        <v>-0.94763242463505204</v>
      </c>
      <c r="AD19">
        <v>2413.7800000000002</v>
      </c>
      <c r="AE19">
        <v>-1.19999999999999</v>
      </c>
      <c r="AF19">
        <f t="shared" si="1"/>
        <v>2.3205200000000034E-10</v>
      </c>
    </row>
    <row r="20" spans="1:32" x14ac:dyDescent="0.25">
      <c r="A20" t="s">
        <v>56</v>
      </c>
      <c r="B20" t="s">
        <v>57</v>
      </c>
      <c r="C20">
        <v>654</v>
      </c>
      <c r="E20">
        <v>0.98532243773133699</v>
      </c>
      <c r="F20">
        <v>1.0427359298093</v>
      </c>
      <c r="G20">
        <v>0.70270716700737901</v>
      </c>
      <c r="H20">
        <v>0.73244829805016998</v>
      </c>
      <c r="I20">
        <v>0.73391783107393105</v>
      </c>
      <c r="J20">
        <v>0.764979911288036</v>
      </c>
      <c r="K20">
        <v>1.1824536773295899</v>
      </c>
      <c r="Q20" s="2"/>
      <c r="X20">
        <v>4146145.7563509699</v>
      </c>
      <c r="Y20">
        <v>-384.776887087847</v>
      </c>
      <c r="Z20">
        <v>4321625.7714293497</v>
      </c>
      <c r="AA20">
        <v>-884.04775939354795</v>
      </c>
      <c r="AB20">
        <v>2704.5388412365901</v>
      </c>
      <c r="AC20">
        <v>-0.28301779370997199</v>
      </c>
      <c r="AD20">
        <v>2704.5388412365901</v>
      </c>
      <c r="AE20">
        <v>-0.28301779370997199</v>
      </c>
      <c r="AF20">
        <f t="shared" si="1"/>
        <v>1.9635000000000013E-10</v>
      </c>
    </row>
    <row r="21" spans="1:32" x14ac:dyDescent="0.25">
      <c r="A21" t="s">
        <v>58</v>
      </c>
      <c r="B21" t="s">
        <v>59</v>
      </c>
      <c r="C21">
        <v>713.15</v>
      </c>
      <c r="D21">
        <v>742</v>
      </c>
      <c r="E21">
        <v>1.0026613717161601</v>
      </c>
      <c r="F21">
        <v>1.46040795739805</v>
      </c>
      <c r="G21">
        <v>0.77869667496149497</v>
      </c>
      <c r="H21">
        <v>1.126257406443</v>
      </c>
      <c r="I21">
        <v>0.83565526545798496</v>
      </c>
      <c r="J21">
        <v>1.20863869362442</v>
      </c>
      <c r="K21">
        <v>1.2457659841386699</v>
      </c>
      <c r="L21">
        <v>0.99913346997283503</v>
      </c>
      <c r="M21">
        <v>1.45335357127868</v>
      </c>
      <c r="N21">
        <v>0.77251605532610301</v>
      </c>
      <c r="O21">
        <v>1.1079629318986399</v>
      </c>
      <c r="P21">
        <v>0.82902255787339996</v>
      </c>
      <c r="Q21" s="2">
        <v>1.1890060504228399</v>
      </c>
      <c r="R21">
        <v>1.2389230427790701</v>
      </c>
      <c r="S21">
        <v>1.10003584410532</v>
      </c>
      <c r="T21">
        <v>1.1034852938728399</v>
      </c>
      <c r="U21" t="s">
        <v>60</v>
      </c>
      <c r="X21">
        <v>4334227.3380131098</v>
      </c>
      <c r="Y21">
        <v>-587.70577569964496</v>
      </c>
      <c r="Z21">
        <v>4976942.5414024098</v>
      </c>
      <c r="AA21">
        <v>-1177.8701355823</v>
      </c>
      <c r="AB21">
        <v>2768.0079108828199</v>
      </c>
      <c r="AC21">
        <v>-0.538406484156978</v>
      </c>
      <c r="AD21">
        <v>3486.4683492253998</v>
      </c>
      <c r="AE21">
        <v>-1.10192988399999</v>
      </c>
      <c r="AF21">
        <f t="shared" si="1"/>
        <v>2.0896299999999881E-10</v>
      </c>
    </row>
    <row r="22" spans="1:32" x14ac:dyDescent="0.25">
      <c r="A22" t="s">
        <v>77</v>
      </c>
      <c r="B22" t="s">
        <v>78</v>
      </c>
      <c r="C22">
        <v>958</v>
      </c>
      <c r="D22">
        <v>993.01377726750798</v>
      </c>
      <c r="E22">
        <v>0.57197134962562102</v>
      </c>
      <c r="F22">
        <v>0.60018577841634002</v>
      </c>
      <c r="G22">
        <v>0.48604519668468199</v>
      </c>
      <c r="H22">
        <v>0.49658287203232099</v>
      </c>
      <c r="I22">
        <v>0.49172773382630602</v>
      </c>
      <c r="J22">
        <v>0.50238860909847505</v>
      </c>
      <c r="K22">
        <v>0.89798273334205203</v>
      </c>
      <c r="L22">
        <v>0.56441884679958798</v>
      </c>
      <c r="M22">
        <v>0.59237573660987197</v>
      </c>
      <c r="N22">
        <v>0.474074647381036</v>
      </c>
      <c r="O22">
        <v>0.4842550732632</v>
      </c>
      <c r="P22">
        <v>0.479617232329968</v>
      </c>
      <c r="Q22" s="2">
        <v>0.48991668139883898</v>
      </c>
      <c r="R22">
        <v>0.887554442854947</v>
      </c>
      <c r="S22">
        <v>0.76602038472580902</v>
      </c>
      <c r="T22">
        <v>0.75019230769230605</v>
      </c>
      <c r="U22" t="s">
        <v>79</v>
      </c>
      <c r="X22">
        <v>2774359.2612307202</v>
      </c>
      <c r="Y22">
        <v>-854.31058856936397</v>
      </c>
      <c r="Z22">
        <v>2834508.5999999898</v>
      </c>
      <c r="AA22">
        <v>-888.300000000002</v>
      </c>
      <c r="AB22">
        <v>2066.8355831662002</v>
      </c>
      <c r="AC22">
        <v>-0.85529696508283604</v>
      </c>
      <c r="AD22">
        <v>2066.8355831662002</v>
      </c>
      <c r="AE22">
        <v>-0.85529696508283604</v>
      </c>
      <c r="AF22">
        <f t="shared" si="1"/>
        <v>2.5726300000000132E-10</v>
      </c>
    </row>
    <row r="23" spans="1:32" x14ac:dyDescent="0.25">
      <c r="A23" t="s">
        <v>80</v>
      </c>
      <c r="B23" t="s">
        <v>81</v>
      </c>
      <c r="C23">
        <v>658.15</v>
      </c>
      <c r="E23">
        <v>0.415599756638869</v>
      </c>
      <c r="F23">
        <v>0.436058077448646</v>
      </c>
      <c r="G23">
        <v>0.35068436878095199</v>
      </c>
      <c r="H23">
        <v>0.37157237009742</v>
      </c>
      <c r="I23">
        <v>0.33522705329737601</v>
      </c>
      <c r="J23">
        <v>0.35519436223370698</v>
      </c>
      <c r="K23">
        <v>0.54959787123811898</v>
      </c>
      <c r="Q23" s="2"/>
      <c r="X23">
        <v>1820781.03589645</v>
      </c>
      <c r="Y23">
        <v>-432.488345963889</v>
      </c>
      <c r="Z23">
        <v>1929233.194192</v>
      </c>
      <c r="AA23">
        <v>-625.40832</v>
      </c>
      <c r="AB23">
        <v>2082.7741277432401</v>
      </c>
      <c r="AC23">
        <v>-0.59346860746566699</v>
      </c>
      <c r="AD23">
        <v>2082.7741277432401</v>
      </c>
      <c r="AE23">
        <v>-0.59346860746566699</v>
      </c>
      <c r="AF23">
        <f t="shared" si="1"/>
        <v>2.6519200000000058E-10</v>
      </c>
    </row>
    <row r="24" spans="1:32" x14ac:dyDescent="0.25">
      <c r="A24" t="s">
        <v>82</v>
      </c>
      <c r="B24" t="s">
        <v>81</v>
      </c>
      <c r="C24">
        <v>660.15</v>
      </c>
      <c r="E24">
        <v>0.393714521475093</v>
      </c>
      <c r="F24">
        <v>0.41576528214401798</v>
      </c>
      <c r="G24">
        <v>0.34976748010176301</v>
      </c>
      <c r="H24">
        <v>0.37739704098006299</v>
      </c>
      <c r="I24">
        <v>0.33968094619102002</v>
      </c>
      <c r="J24">
        <v>0.36651373058610698</v>
      </c>
      <c r="K24">
        <v>0.52242279861864305</v>
      </c>
      <c r="Q24" s="2"/>
      <c r="X24">
        <v>1785221.7495239601</v>
      </c>
      <c r="Y24">
        <v>-456.59702382785002</v>
      </c>
      <c r="Z24">
        <v>1926243.702152</v>
      </c>
      <c r="AA24">
        <v>-624.84432000000004</v>
      </c>
      <c r="AB24">
        <v>2052.5614117156001</v>
      </c>
      <c r="AC24">
        <v>-0.67795650519888295</v>
      </c>
      <c r="AD24">
        <v>2052.5614117156001</v>
      </c>
      <c r="AE24">
        <v>-0.67795650519888295</v>
      </c>
      <c r="AF24">
        <f t="shared" si="1"/>
        <v>2.7810200000000017E-10</v>
      </c>
    </row>
    <row r="25" spans="1:32" x14ac:dyDescent="0.25">
      <c r="A25" t="s">
        <v>84</v>
      </c>
      <c r="B25" t="s">
        <v>71</v>
      </c>
      <c r="C25">
        <v>829</v>
      </c>
      <c r="D25">
        <v>849.27066450567202</v>
      </c>
      <c r="E25">
        <v>0.39282474476734103</v>
      </c>
      <c r="F25">
        <v>0.40631024128055798</v>
      </c>
      <c r="G25">
        <v>0.34861941472984098</v>
      </c>
      <c r="H25">
        <v>0.36292057126517901</v>
      </c>
      <c r="I25">
        <v>0.32019146304087298</v>
      </c>
      <c r="J25">
        <v>0.33332644072929302</v>
      </c>
      <c r="K25">
        <v>0.70307988752195505</v>
      </c>
      <c r="L25">
        <v>0.39018927790726798</v>
      </c>
      <c r="M25">
        <v>0.40366527360078203</v>
      </c>
      <c r="N25">
        <v>0.34520818206165899</v>
      </c>
      <c r="O25">
        <v>0.36026954268404998</v>
      </c>
      <c r="P25">
        <v>0.31705839720274598</v>
      </c>
      <c r="Q25" s="2">
        <v>0.330891588612372</v>
      </c>
      <c r="R25">
        <v>0.69870382482422799</v>
      </c>
      <c r="S25">
        <v>0.46754926069889302</v>
      </c>
      <c r="T25">
        <v>0.45564384563743898</v>
      </c>
      <c r="U25" t="s">
        <v>85</v>
      </c>
      <c r="X25">
        <v>1877142.0876195</v>
      </c>
      <c r="Y25">
        <v>-450.11046743046199</v>
      </c>
      <c r="Z25">
        <v>1954146.6998121999</v>
      </c>
      <c r="AA25">
        <v>-234.88797686999899</v>
      </c>
      <c r="AB25">
        <v>2038.99192746722</v>
      </c>
      <c r="AC25">
        <v>-0.55972148883248296</v>
      </c>
      <c r="AD25">
        <v>2038.99192746722</v>
      </c>
      <c r="AE25">
        <v>-0.55972148883248296</v>
      </c>
      <c r="AF25">
        <f t="shared" si="1"/>
        <v>2.5096800000000036E-10</v>
      </c>
    </row>
    <row r="26" spans="1:32" x14ac:dyDescent="0.25">
      <c r="A26" t="s">
        <v>86</v>
      </c>
      <c r="B26" t="s">
        <v>87</v>
      </c>
      <c r="C26">
        <v>1384</v>
      </c>
      <c r="E26">
        <v>0.35954645742190899</v>
      </c>
      <c r="F26">
        <v>0.35954645742190899</v>
      </c>
      <c r="G26">
        <v>0.34970883136259001</v>
      </c>
      <c r="H26">
        <v>0.34970883136259001</v>
      </c>
      <c r="I26">
        <v>0.64982371250833204</v>
      </c>
      <c r="J26">
        <v>0.64982371250833204</v>
      </c>
      <c r="K26">
        <v>0.65076191800000005</v>
      </c>
      <c r="Q26" s="2"/>
      <c r="W26">
        <f>AB26/1000</f>
        <v>1.3620000000000001</v>
      </c>
      <c r="X26">
        <v>3393320.5705776298</v>
      </c>
      <c r="Y26">
        <v>-440.68191682871299</v>
      </c>
      <c r="Z26">
        <v>3393320.5705776298</v>
      </c>
      <c r="AA26">
        <v>-440.68191682871299</v>
      </c>
      <c r="AB26">
        <v>1362</v>
      </c>
      <c r="AC26" s="1">
        <v>-6.4293322482183901E-16</v>
      </c>
      <c r="AD26">
        <v>1362</v>
      </c>
      <c r="AE26" s="1">
        <v>-6.4293322482183901E-16</v>
      </c>
      <c r="AF26">
        <f t="shared" si="1"/>
        <v>4.2180800000000077E-10</v>
      </c>
    </row>
    <row r="27" spans="1:32" x14ac:dyDescent="0.25">
      <c r="A27" t="s">
        <v>88</v>
      </c>
      <c r="B27" t="s">
        <v>89</v>
      </c>
      <c r="C27">
        <v>1309</v>
      </c>
      <c r="E27">
        <v>0.287228431194125</v>
      </c>
      <c r="F27">
        <v>0.287228431194125</v>
      </c>
      <c r="G27">
        <v>0.28603308995779603</v>
      </c>
      <c r="H27">
        <v>0.28603308995779603</v>
      </c>
      <c r="I27">
        <v>0.540848631552585</v>
      </c>
      <c r="J27">
        <v>0.540848631552585</v>
      </c>
      <c r="K27">
        <v>0.540429889</v>
      </c>
      <c r="Q27" s="2"/>
      <c r="W27">
        <f>AB27/1000</f>
        <v>1.0620000000000001</v>
      </c>
      <c r="X27">
        <v>3639653.5089046098</v>
      </c>
      <c r="Y27">
        <v>-438.29343438765801</v>
      </c>
      <c r="Z27">
        <v>3639653.5089046098</v>
      </c>
      <c r="AA27">
        <v>-438.29343438765801</v>
      </c>
      <c r="AB27">
        <v>1062</v>
      </c>
      <c r="AC27" s="1">
        <v>1.42974643663149E-15</v>
      </c>
      <c r="AD27">
        <v>1062</v>
      </c>
      <c r="AE27" s="1">
        <v>1.42974643663149E-15</v>
      </c>
      <c r="AF27">
        <f t="shared" si="1"/>
        <v>4.1977100000000041E-10</v>
      </c>
    </row>
    <row r="28" spans="1:32" x14ac:dyDescent="0.25">
      <c r="A28" t="s">
        <v>90</v>
      </c>
      <c r="B28" t="s">
        <v>91</v>
      </c>
      <c r="C28">
        <v>784.15</v>
      </c>
      <c r="D28">
        <v>802</v>
      </c>
      <c r="E28">
        <v>0.11344972549514599</v>
      </c>
      <c r="F28">
        <v>0.114505481319699</v>
      </c>
      <c r="G28">
        <v>0.30332625136784902</v>
      </c>
      <c r="H28">
        <v>0.26636049160567399</v>
      </c>
      <c r="I28">
        <v>0.30478370009682099</v>
      </c>
      <c r="J28">
        <v>0.26764032399139198</v>
      </c>
      <c r="K28">
        <v>0.45172916409439201</v>
      </c>
      <c r="L28">
        <v>0.11260979421877899</v>
      </c>
      <c r="M28">
        <v>0.113634299216617</v>
      </c>
      <c r="N28">
        <v>0.30060548666651299</v>
      </c>
      <c r="O28">
        <v>0.26417573582082698</v>
      </c>
      <c r="P28">
        <v>0.30204986242525</v>
      </c>
      <c r="Q28" s="2">
        <v>0.26544507069923201</v>
      </c>
      <c r="R28">
        <v>0.44875079670000001</v>
      </c>
      <c r="S28">
        <v>0.23481755332610399</v>
      </c>
      <c r="T28">
        <v>0.238101191892129</v>
      </c>
      <c r="U28" t="s">
        <v>92</v>
      </c>
      <c r="X28">
        <v>2153870.0263393298</v>
      </c>
      <c r="Y28">
        <v>-656.67114844170703</v>
      </c>
      <c r="Z28">
        <v>1891382.2212332201</v>
      </c>
      <c r="AA28">
        <v>-489.79669156000199</v>
      </c>
      <c r="AB28">
        <v>1466.75966237227</v>
      </c>
      <c r="AC28">
        <v>-0.38913594023806902</v>
      </c>
      <c r="AD28">
        <v>1466.75966237227</v>
      </c>
      <c r="AE28">
        <v>-0.38913594023806902</v>
      </c>
      <c r="AF28">
        <f t="shared" si="1"/>
        <v>2.8942400000000073E-10</v>
      </c>
    </row>
    <row r="29" spans="1:32" x14ac:dyDescent="0.25">
      <c r="A29" t="s">
        <v>93</v>
      </c>
      <c r="B29" t="s">
        <v>91</v>
      </c>
      <c r="C29">
        <v>784.15</v>
      </c>
      <c r="D29">
        <v>802</v>
      </c>
      <c r="E29">
        <v>0.114764850359073</v>
      </c>
      <c r="F29">
        <v>0.1150479273926</v>
      </c>
      <c r="G29">
        <v>0.30241049727157199</v>
      </c>
      <c r="H29">
        <v>0.26527106355929603</v>
      </c>
      <c r="I29">
        <v>0.302472410726145</v>
      </c>
      <c r="J29">
        <v>0.26532537334050899</v>
      </c>
      <c r="K29">
        <v>0.44889789064325702</v>
      </c>
      <c r="L29">
        <v>0.113909916940787</v>
      </c>
      <c r="M29">
        <v>0.11417382363914801</v>
      </c>
      <c r="N29">
        <v>0.299723676502481</v>
      </c>
      <c r="O29">
        <v>0.26311672756840898</v>
      </c>
      <c r="P29">
        <v>0.29978503987576699</v>
      </c>
      <c r="Q29" s="2">
        <v>0.263170596285622</v>
      </c>
      <c r="R29">
        <v>0.44593518354636003</v>
      </c>
      <c r="S29">
        <v>0.242991843580355</v>
      </c>
      <c r="T29">
        <v>0.239262577144952</v>
      </c>
      <c r="U29" t="s">
        <v>94</v>
      </c>
      <c r="X29">
        <v>2156186.3189269202</v>
      </c>
      <c r="Y29">
        <v>-656.84165009282901</v>
      </c>
      <c r="Z29">
        <v>1891382.2212332201</v>
      </c>
      <c r="AA29">
        <v>-489.79669156000199</v>
      </c>
      <c r="AB29">
        <v>1460.0508918667399</v>
      </c>
      <c r="AC29">
        <v>-0.38048687343790499</v>
      </c>
      <c r="AD29">
        <v>1460.0508918667399</v>
      </c>
      <c r="AE29">
        <v>-0.38048687343790499</v>
      </c>
      <c r="AF29">
        <f t="shared" si="1"/>
        <v>2.8823900000000162E-10</v>
      </c>
    </row>
    <row r="30" spans="1:32" x14ac:dyDescent="0.25">
      <c r="A30" t="s">
        <v>95</v>
      </c>
      <c r="B30" t="s">
        <v>91</v>
      </c>
      <c r="C30">
        <v>784.15</v>
      </c>
      <c r="D30">
        <v>869.15</v>
      </c>
      <c r="E30">
        <v>0.11122798349540799</v>
      </c>
      <c r="F30">
        <v>0.113695543362589</v>
      </c>
      <c r="G30">
        <v>0.30506451248343203</v>
      </c>
      <c r="H30">
        <v>0.26841692128983102</v>
      </c>
      <c r="I30">
        <v>0.30934704209006297</v>
      </c>
      <c r="J30">
        <v>0.27218498792920098</v>
      </c>
      <c r="K30">
        <v>0.45682545630643401</v>
      </c>
      <c r="L30">
        <v>0.107188289998012</v>
      </c>
      <c r="M30">
        <v>0.109390728826571</v>
      </c>
      <c r="N30">
        <v>0.29123914308763099</v>
      </c>
      <c r="O30">
        <v>0.25726785911806499</v>
      </c>
      <c r="P30">
        <v>0.29532759061871</v>
      </c>
      <c r="Q30" s="2">
        <v>0.260879413980801</v>
      </c>
      <c r="R30">
        <v>0.44190727064881402</v>
      </c>
      <c r="S30">
        <v>0.22664326307185201</v>
      </c>
      <c r="T30">
        <v>0.27567442291687</v>
      </c>
      <c r="U30" t="s">
        <v>96</v>
      </c>
      <c r="X30">
        <v>2149617.0676114601</v>
      </c>
      <c r="Y30">
        <v>-656.39248822418904</v>
      </c>
      <c r="Z30">
        <v>1891382.2212332201</v>
      </c>
      <c r="AA30">
        <v>-489.79669156000199</v>
      </c>
      <c r="AB30">
        <v>1479.3780206077199</v>
      </c>
      <c r="AC30">
        <v>-0.41906643234483498</v>
      </c>
      <c r="AD30">
        <v>1479.3780206077199</v>
      </c>
      <c r="AE30">
        <v>-0.41906643234483498</v>
      </c>
      <c r="AF30">
        <f t="shared" si="1"/>
        <v>2.9182800000000129E-10</v>
      </c>
    </row>
    <row r="32" spans="1:32" x14ac:dyDescent="0.25">
      <c r="A32" t="s">
        <v>97</v>
      </c>
      <c r="B32" t="s">
        <v>54</v>
      </c>
      <c r="C32">
        <v>923</v>
      </c>
      <c r="E32">
        <v>0.18974506002305899</v>
      </c>
      <c r="F32">
        <v>0.18974506002305899</v>
      </c>
      <c r="G32">
        <v>0.58214846026056399</v>
      </c>
      <c r="H32">
        <v>0.58214846026056399</v>
      </c>
      <c r="I32">
        <v>0.58083486873298995</v>
      </c>
      <c r="J32">
        <v>0.58083486873298995</v>
      </c>
      <c r="K32">
        <v>1.2488893742298901</v>
      </c>
      <c r="X32">
        <v>4101032.9018011298</v>
      </c>
      <c r="Y32">
        <v>-988.46334090989103</v>
      </c>
      <c r="Z32">
        <v>4101032.9018011298</v>
      </c>
      <c r="AA32">
        <v>-988.46334090989103</v>
      </c>
      <c r="AB32">
        <v>1938.9072837026899</v>
      </c>
      <c r="AC32">
        <v>-0.55763651166226802</v>
      </c>
      <c r="AD32">
        <v>1938.9072837026899</v>
      </c>
      <c r="AE32">
        <v>-0.55763651166226802</v>
      </c>
    </row>
    <row r="33" spans="1:31" x14ac:dyDescent="0.25">
      <c r="A33" t="s">
        <v>31</v>
      </c>
      <c r="B33" t="s">
        <v>32</v>
      </c>
      <c r="C33">
        <v>1121.2</v>
      </c>
      <c r="D33">
        <v>1121.2</v>
      </c>
      <c r="E33">
        <v>1.3498414938304</v>
      </c>
      <c r="F33">
        <v>1.8543234274300999</v>
      </c>
      <c r="G33">
        <v>0.80194503019063301</v>
      </c>
      <c r="H33">
        <v>1.09141633231103</v>
      </c>
      <c r="I33">
        <v>1.3235354497072001</v>
      </c>
      <c r="J33">
        <v>1.8012808257689299</v>
      </c>
      <c r="K33">
        <v>1.2596074449593999</v>
      </c>
      <c r="L33">
        <v>1.3498414938304</v>
      </c>
      <c r="M33">
        <v>1.8543234274300999</v>
      </c>
      <c r="N33">
        <v>0.80194503019063301</v>
      </c>
      <c r="O33">
        <v>1.09141633231103</v>
      </c>
      <c r="P33">
        <v>1.3235354497072001</v>
      </c>
      <c r="Q33">
        <v>1.8012808257689299</v>
      </c>
      <c r="R33">
        <v>1.2596074449593999</v>
      </c>
      <c r="S33">
        <v>1.26067524166442</v>
      </c>
      <c r="T33">
        <v>1.26067524166442</v>
      </c>
      <c r="U33" t="s">
        <v>33</v>
      </c>
      <c r="X33">
        <v>4476075.1837773202</v>
      </c>
      <c r="Y33">
        <v>-1213.2634257295899</v>
      </c>
      <c r="Z33">
        <v>4476075.1837773202</v>
      </c>
      <c r="AA33">
        <v>-1213.2634257295899</v>
      </c>
      <c r="AB33">
        <v>2571.7111999999902</v>
      </c>
      <c r="AC33">
        <v>-1.1739999999999999</v>
      </c>
      <c r="AD33">
        <v>3500</v>
      </c>
      <c r="AE33" s="1">
        <v>4.6456479090287202E-15</v>
      </c>
    </row>
    <row r="34" spans="1:31" x14ac:dyDescent="0.25">
      <c r="A34" t="s">
        <v>34</v>
      </c>
      <c r="B34" t="s">
        <v>32</v>
      </c>
      <c r="C34">
        <v>1268</v>
      </c>
      <c r="D34">
        <v>1276.21082621082</v>
      </c>
      <c r="E34">
        <v>0.842268101058265</v>
      </c>
      <c r="F34">
        <v>1.09852276906184</v>
      </c>
      <c r="G34">
        <v>0.53047695960528096</v>
      </c>
      <c r="H34">
        <v>0.69412779505001398</v>
      </c>
      <c r="I34">
        <v>0.887702401552242</v>
      </c>
      <c r="J34">
        <v>1.1615564059719901</v>
      </c>
      <c r="K34">
        <v>1.1792071898440299</v>
      </c>
      <c r="L34">
        <v>0.84014612189646098</v>
      </c>
      <c r="M34">
        <v>1.09441240438841</v>
      </c>
      <c r="N34">
        <v>0.52710333705454204</v>
      </c>
      <c r="O34">
        <v>0.69229700162851704</v>
      </c>
      <c r="P34">
        <v>0.88205696721999505</v>
      </c>
      <c r="Q34">
        <v>1.15849274846984</v>
      </c>
      <c r="R34">
        <v>1.17623647770728</v>
      </c>
      <c r="S34">
        <v>1.17915204552163</v>
      </c>
      <c r="T34">
        <v>1.2144361992027299</v>
      </c>
      <c r="U34" t="s">
        <v>35</v>
      </c>
      <c r="X34">
        <v>3257796.28465275</v>
      </c>
      <c r="Y34">
        <v>-1063.33238068026</v>
      </c>
      <c r="Z34">
        <v>3257796.28465275</v>
      </c>
      <c r="AA34">
        <v>-1063.33238068026</v>
      </c>
      <c r="AB34">
        <v>2078.7199999999998</v>
      </c>
      <c r="AC34">
        <v>-0.95999999999998997</v>
      </c>
      <c r="AD34">
        <v>2720</v>
      </c>
      <c r="AE34" s="1">
        <v>1.8722244613620798E-14</v>
      </c>
    </row>
    <row r="35" spans="1:31" x14ac:dyDescent="0.25">
      <c r="A35" t="s">
        <v>36</v>
      </c>
      <c r="B35" t="s">
        <v>32</v>
      </c>
      <c r="C35">
        <v>1131.2</v>
      </c>
      <c r="D35">
        <v>1130.5970149253701</v>
      </c>
      <c r="E35">
        <v>0.58268227937308503</v>
      </c>
      <c r="F35">
        <v>0.75706352087672302</v>
      </c>
      <c r="G35">
        <v>0.36409719101091298</v>
      </c>
      <c r="H35">
        <v>0.46874283783950199</v>
      </c>
      <c r="I35">
        <v>0.571365227005173</v>
      </c>
      <c r="J35">
        <v>0.735582049412705</v>
      </c>
      <c r="K35">
        <v>0.62220126107652596</v>
      </c>
      <c r="L35">
        <v>0.58268227937308503</v>
      </c>
      <c r="M35">
        <v>0.75706352087672302</v>
      </c>
      <c r="N35">
        <v>0.36409719101091298</v>
      </c>
      <c r="O35">
        <v>0.46874283783950199</v>
      </c>
      <c r="P35">
        <v>0.571365227005173</v>
      </c>
      <c r="Q35">
        <v>0.735582049412705</v>
      </c>
      <c r="R35">
        <v>0.62220126107652596</v>
      </c>
      <c r="S35">
        <v>0.62277172330456099</v>
      </c>
      <c r="T35">
        <v>0.62200825361355605</v>
      </c>
      <c r="U35" t="s">
        <v>37</v>
      </c>
      <c r="X35">
        <v>2198743.6886586202</v>
      </c>
      <c r="Y35">
        <v>-750.21687866842797</v>
      </c>
      <c r="Z35">
        <v>2198743.6886586202</v>
      </c>
      <c r="AA35">
        <v>-750.21687866842797</v>
      </c>
      <c r="AB35">
        <v>1833.136</v>
      </c>
      <c r="AC35">
        <v>-0.84499999999999897</v>
      </c>
      <c r="AD35">
        <v>2360</v>
      </c>
      <c r="AE35" s="1">
        <v>-1.49875837417989E-15</v>
      </c>
    </row>
    <row r="36" spans="1:31" x14ac:dyDescent="0.25">
      <c r="A36" t="s">
        <v>38</v>
      </c>
      <c r="B36" t="s">
        <v>32</v>
      </c>
      <c r="C36">
        <v>883</v>
      </c>
      <c r="D36">
        <v>965.57734204792996</v>
      </c>
      <c r="E36">
        <v>0.68631947375037605</v>
      </c>
      <c r="F36">
        <v>1.1786008400558901</v>
      </c>
      <c r="G36">
        <v>0.41038418590950398</v>
      </c>
      <c r="H36">
        <v>0.69072199709411697</v>
      </c>
      <c r="I36">
        <v>0.66028739639525302</v>
      </c>
      <c r="J36">
        <v>1.1113367540794401</v>
      </c>
      <c r="K36">
        <v>0.65448434140929201</v>
      </c>
      <c r="L36">
        <v>0.66763393570969798</v>
      </c>
      <c r="M36">
        <v>1.1026958951269601</v>
      </c>
      <c r="N36">
        <v>0.38646537419784699</v>
      </c>
      <c r="O36">
        <v>0.67382288347794705</v>
      </c>
      <c r="P36">
        <v>0.62180323825217798</v>
      </c>
      <c r="Q36">
        <v>1.0841469350899999</v>
      </c>
      <c r="R36">
        <v>0.63663749729573405</v>
      </c>
      <c r="S36">
        <v>0.65551426087602205</v>
      </c>
      <c r="T36">
        <v>0.62171538406412596</v>
      </c>
      <c r="U36" t="s">
        <v>39</v>
      </c>
      <c r="X36">
        <v>2303686.4828041699</v>
      </c>
      <c r="Y36">
        <v>-663.78864933716795</v>
      </c>
      <c r="Z36">
        <v>2303686.4828041699</v>
      </c>
      <c r="AA36">
        <v>-663.78864933716795</v>
      </c>
      <c r="AB36">
        <v>2079.4830000000002</v>
      </c>
      <c r="AC36">
        <v>-0.84899999999999698</v>
      </c>
      <c r="AD36">
        <v>3500</v>
      </c>
      <c r="AE36" s="1">
        <v>1.4275705032072599E-15</v>
      </c>
    </row>
    <row r="37" spans="1:31" x14ac:dyDescent="0.25">
      <c r="A37" t="s">
        <v>40</v>
      </c>
      <c r="B37" t="s">
        <v>41</v>
      </c>
      <c r="C37">
        <v>1073.8</v>
      </c>
      <c r="D37">
        <v>1087.31808731808</v>
      </c>
      <c r="E37">
        <v>0.48681288142144602</v>
      </c>
      <c r="F37">
        <v>0.75938878548032596</v>
      </c>
      <c r="G37">
        <v>0.310170753406454</v>
      </c>
      <c r="H37">
        <v>0.475672930079028</v>
      </c>
      <c r="I37">
        <v>0.50769691485935697</v>
      </c>
      <c r="J37">
        <v>0.77859590703179304</v>
      </c>
      <c r="K37">
        <v>0.492592095093145</v>
      </c>
      <c r="L37">
        <v>0.48405829986611099</v>
      </c>
      <c r="M37">
        <v>0.75060654781595504</v>
      </c>
      <c r="N37">
        <v>0.30664510243584298</v>
      </c>
      <c r="O37">
        <v>0.47348544960174099</v>
      </c>
      <c r="P37">
        <v>0.50192602221073701</v>
      </c>
      <c r="Q37">
        <v>0.775015372511898</v>
      </c>
      <c r="R37">
        <v>0.489813580124773</v>
      </c>
      <c r="S37">
        <v>0.49104259587103499</v>
      </c>
      <c r="T37">
        <v>0.48678483778454201</v>
      </c>
      <c r="U37" t="s">
        <v>42</v>
      </c>
      <c r="X37">
        <v>1853848.9792105099</v>
      </c>
      <c r="Y37">
        <v>-646.84667111544604</v>
      </c>
      <c r="Z37">
        <v>1853848.9792105099</v>
      </c>
      <c r="AA37">
        <v>-646.84667111544604</v>
      </c>
      <c r="AB37">
        <v>1773.623</v>
      </c>
      <c r="AC37">
        <v>-0.91500000000000103</v>
      </c>
      <c r="AD37">
        <v>2720</v>
      </c>
      <c r="AE37" s="1">
        <v>4.33007154467006E-15</v>
      </c>
    </row>
    <row r="38" spans="1:31" x14ac:dyDescent="0.25">
      <c r="A38" t="s">
        <v>43</v>
      </c>
      <c r="B38" t="s">
        <v>32</v>
      </c>
      <c r="C38">
        <v>1042.7</v>
      </c>
      <c r="D38">
        <v>1052.1638776687801</v>
      </c>
      <c r="E38">
        <v>0.37423569928907002</v>
      </c>
      <c r="F38">
        <v>0.55297227007739003</v>
      </c>
      <c r="G38">
        <v>0.26186834835755002</v>
      </c>
      <c r="H38">
        <v>0.37852922791111199</v>
      </c>
      <c r="I38">
        <v>0.41800345177215198</v>
      </c>
      <c r="J38">
        <v>0.60422164364611397</v>
      </c>
      <c r="K38">
        <v>0.367952357032785</v>
      </c>
      <c r="L38">
        <v>0.37219191681272601</v>
      </c>
      <c r="M38">
        <v>0.54728099592400503</v>
      </c>
      <c r="N38">
        <v>0.25926783445691498</v>
      </c>
      <c r="O38">
        <v>0.37696512205354998</v>
      </c>
      <c r="P38">
        <v>0.413852420180648</v>
      </c>
      <c r="Q38">
        <v>0.60172496296095801</v>
      </c>
      <c r="R38">
        <v>0.365945369422219</v>
      </c>
      <c r="S38">
        <v>0.36749821512915098</v>
      </c>
      <c r="T38">
        <v>0.36593154520815202</v>
      </c>
      <c r="U38" t="s">
        <v>44</v>
      </c>
      <c r="X38">
        <v>1508405.0843915499</v>
      </c>
      <c r="Y38">
        <v>-575.65944524106101</v>
      </c>
      <c r="Z38">
        <v>1508405.0843915499</v>
      </c>
      <c r="AA38">
        <v>-575.65944524106101</v>
      </c>
      <c r="AB38">
        <v>1632.65939999999</v>
      </c>
      <c r="AC38">
        <v>-0.878</v>
      </c>
      <c r="AD38">
        <v>2360</v>
      </c>
      <c r="AE38" s="1">
        <v>1.0673566429611301E-15</v>
      </c>
    </row>
    <row r="39" spans="1:31" x14ac:dyDescent="0.25">
      <c r="A39" t="s">
        <v>45</v>
      </c>
      <c r="B39" t="s">
        <v>46</v>
      </c>
      <c r="C39">
        <v>987</v>
      </c>
      <c r="D39">
        <v>986.86210640607999</v>
      </c>
      <c r="E39">
        <v>0.43829220310135403</v>
      </c>
      <c r="F39">
        <v>0.70927819635630895</v>
      </c>
      <c r="G39">
        <v>0.28861057804145501</v>
      </c>
      <c r="H39">
        <v>0.46705186356066097</v>
      </c>
      <c r="I39">
        <v>0.50482096811233002</v>
      </c>
      <c r="J39">
        <v>0.81694016734027697</v>
      </c>
      <c r="K39">
        <v>0.54390685800000005</v>
      </c>
      <c r="L39">
        <v>0.43829220310135403</v>
      </c>
      <c r="M39">
        <v>0.70927819635630895</v>
      </c>
      <c r="N39">
        <v>0.28861057804145501</v>
      </c>
      <c r="O39">
        <v>0.46705186356066097</v>
      </c>
      <c r="P39">
        <v>0.50482096811233002</v>
      </c>
      <c r="Q39">
        <v>0.81694016734027697</v>
      </c>
      <c r="R39">
        <v>0.54390685800000005</v>
      </c>
      <c r="S39">
        <v>0.54390685781354797</v>
      </c>
      <c r="T39">
        <v>0.54366197183098497</v>
      </c>
      <c r="U39" t="s">
        <v>47</v>
      </c>
      <c r="X39">
        <v>1628871.87942569</v>
      </c>
      <c r="Y39">
        <v>-278.43236600812901</v>
      </c>
      <c r="Z39">
        <v>1628871.87942569</v>
      </c>
      <c r="AA39">
        <v>-278.43236600812901</v>
      </c>
      <c r="AB39">
        <v>2101</v>
      </c>
      <c r="AC39" s="1">
        <v>6.3893004180326898E-16</v>
      </c>
      <c r="AD39">
        <v>3400</v>
      </c>
      <c r="AE39" s="1">
        <v>-1.40155622245879E-15</v>
      </c>
    </row>
    <row r="40" spans="1:31" x14ac:dyDescent="0.25">
      <c r="A40" t="s">
        <v>48</v>
      </c>
      <c r="B40" t="s">
        <v>49</v>
      </c>
      <c r="C40">
        <v>1045</v>
      </c>
      <c r="D40">
        <v>1070</v>
      </c>
      <c r="E40">
        <v>0.448735993317051</v>
      </c>
      <c r="F40">
        <v>0.478065299437545</v>
      </c>
      <c r="G40">
        <v>0.37311089961278099</v>
      </c>
      <c r="H40">
        <v>0.39749736282190501</v>
      </c>
      <c r="I40">
        <v>0.73070914926052299</v>
      </c>
      <c r="J40">
        <v>0.77846817158741</v>
      </c>
      <c r="K40">
        <v>1.4838367187463</v>
      </c>
      <c r="L40">
        <v>0.44575532284339497</v>
      </c>
      <c r="M40">
        <v>0.47457362854169599</v>
      </c>
      <c r="N40">
        <v>0.37116392595798098</v>
      </c>
      <c r="O40">
        <v>0.39542313530919998</v>
      </c>
      <c r="P40">
        <v>0.72689615032533195</v>
      </c>
      <c r="Q40">
        <v>0.77440595570801896</v>
      </c>
      <c r="R40">
        <v>1.47398052632767</v>
      </c>
      <c r="S40">
        <v>0.97144261428571799</v>
      </c>
      <c r="T40">
        <v>1.17500168571428</v>
      </c>
      <c r="U40" t="s">
        <v>50</v>
      </c>
      <c r="X40">
        <v>1928974.58503027</v>
      </c>
      <c r="Y40">
        <v>-390.79019498306599</v>
      </c>
      <c r="Z40">
        <v>1928974.58503027</v>
      </c>
      <c r="AA40">
        <v>-390.79019498306599</v>
      </c>
      <c r="AB40">
        <v>2065.0300000000002</v>
      </c>
      <c r="AC40" s="1">
        <v>-4.9786333747322002E-15</v>
      </c>
      <c r="AD40">
        <v>2200</v>
      </c>
      <c r="AE40" s="1">
        <v>-4.8108588420278203E-15</v>
      </c>
    </row>
    <row r="41" spans="1:31" x14ac:dyDescent="0.25">
      <c r="A41" t="s">
        <v>51</v>
      </c>
      <c r="B41" t="s">
        <v>52</v>
      </c>
      <c r="C41">
        <v>1146</v>
      </c>
      <c r="E41">
        <v>0.383511707903748</v>
      </c>
      <c r="F41">
        <v>0.383511707903748</v>
      </c>
      <c r="G41">
        <v>0.33599408249358698</v>
      </c>
      <c r="H41">
        <v>0.33599408249358698</v>
      </c>
      <c r="I41">
        <v>0.56755131535911696</v>
      </c>
      <c r="J41">
        <v>0.56755131535911696</v>
      </c>
      <c r="K41">
        <v>0.567551315</v>
      </c>
      <c r="X41">
        <v>1799756.6027023899</v>
      </c>
      <c r="Y41">
        <v>-381.38097220645398</v>
      </c>
      <c r="Z41">
        <v>1799756.6027023899</v>
      </c>
      <c r="AA41">
        <v>-381.38097220645398</v>
      </c>
      <c r="AB41">
        <v>1873.13</v>
      </c>
      <c r="AC41" s="1">
        <v>4.1506159091356099E-15</v>
      </c>
      <c r="AD41">
        <v>1873.13</v>
      </c>
      <c r="AE41" s="1">
        <v>4.1506159091356099E-15</v>
      </c>
    </row>
    <row r="42" spans="1:31" x14ac:dyDescent="0.25">
      <c r="A42" t="s">
        <v>53</v>
      </c>
      <c r="B42" t="s">
        <v>54</v>
      </c>
      <c r="C42">
        <v>930</v>
      </c>
      <c r="D42">
        <v>933.1</v>
      </c>
      <c r="E42">
        <v>1.0140564520567199</v>
      </c>
      <c r="F42">
        <v>1.1663014868299499</v>
      </c>
      <c r="G42">
        <v>0.79112226290135701</v>
      </c>
      <c r="H42">
        <v>0.72103392545214695</v>
      </c>
      <c r="I42">
        <v>0.82283927030555204</v>
      </c>
      <c r="J42">
        <v>0.74994101026653603</v>
      </c>
      <c r="K42">
        <v>1.3173135002951999</v>
      </c>
      <c r="L42">
        <v>1.0132574137371899</v>
      </c>
      <c r="M42">
        <v>1.1652108731167701</v>
      </c>
      <c r="N42">
        <v>0.78964285821518798</v>
      </c>
      <c r="O42">
        <v>0.71987638870492798</v>
      </c>
      <c r="P42">
        <v>0.82130055457280304</v>
      </c>
      <c r="Q42">
        <v>0.748737066531038</v>
      </c>
      <c r="R42">
        <v>1.3163395675179701</v>
      </c>
      <c r="S42">
        <v>0.86713739237916598</v>
      </c>
      <c r="T42">
        <v>0.86544945017474995</v>
      </c>
      <c r="U42" t="s">
        <v>55</v>
      </c>
      <c r="X42">
        <v>4176953.7778954599</v>
      </c>
      <c r="Y42">
        <v>-1150.5476227031199</v>
      </c>
      <c r="Z42">
        <v>3924687.9871193399</v>
      </c>
      <c r="AA42">
        <v>-1081.6107618994599</v>
      </c>
      <c r="AB42">
        <v>2589.8139640238801</v>
      </c>
      <c r="AC42">
        <v>-1.0632372706434601</v>
      </c>
      <c r="AD42">
        <v>2512.09</v>
      </c>
      <c r="AE42">
        <v>-0.78700000000000103</v>
      </c>
    </row>
    <row r="43" spans="1:31" x14ac:dyDescent="0.25">
      <c r="A43" t="s">
        <v>56</v>
      </c>
      <c r="B43" t="s">
        <v>57</v>
      </c>
      <c r="C43">
        <v>654</v>
      </c>
      <c r="E43">
        <v>0.98532243773133699</v>
      </c>
      <c r="F43">
        <v>1.0427359298093</v>
      </c>
      <c r="G43">
        <v>0.70270716700737901</v>
      </c>
      <c r="H43">
        <v>0.73244829805016998</v>
      </c>
      <c r="I43">
        <v>0.73235169116448295</v>
      </c>
      <c r="J43">
        <v>0.76334748662376495</v>
      </c>
      <c r="K43">
        <v>1.1824536773295899</v>
      </c>
      <c r="X43">
        <v>4146145.7563509699</v>
      </c>
      <c r="Y43">
        <v>-384.776887087847</v>
      </c>
      <c r="Z43">
        <v>4321625.7714293497</v>
      </c>
      <c r="AA43">
        <v>-884.04775939354795</v>
      </c>
      <c r="AB43">
        <v>2704.5388412365901</v>
      </c>
      <c r="AC43">
        <v>-0.28301779370997199</v>
      </c>
      <c r="AD43">
        <v>2704.5388412365901</v>
      </c>
      <c r="AE43">
        <v>-0.28301779370997199</v>
      </c>
    </row>
    <row r="44" spans="1:31" x14ac:dyDescent="0.25">
      <c r="A44" t="s">
        <v>58</v>
      </c>
      <c r="B44" t="s">
        <v>59</v>
      </c>
      <c r="C44">
        <v>713.15</v>
      </c>
      <c r="D44">
        <v>742</v>
      </c>
      <c r="E44">
        <v>1.0026613717161601</v>
      </c>
      <c r="F44">
        <v>1.46040795739805</v>
      </c>
      <c r="G44">
        <v>0.77869667496149497</v>
      </c>
      <c r="H44">
        <v>1.126257406443</v>
      </c>
      <c r="I44">
        <v>0.79402106720909404</v>
      </c>
      <c r="J44">
        <v>1.1484216339568101</v>
      </c>
      <c r="K44">
        <v>1.2457659841386699</v>
      </c>
      <c r="L44">
        <v>0.99913346997283503</v>
      </c>
      <c r="M44">
        <v>1.45335357127868</v>
      </c>
      <c r="N44">
        <v>0.77251605532610301</v>
      </c>
      <c r="O44">
        <v>1.1079629318986399</v>
      </c>
      <c r="P44">
        <v>0.78771881582327596</v>
      </c>
      <c r="Q44">
        <v>1.1297671325715799</v>
      </c>
      <c r="R44">
        <v>1.2389230427790701</v>
      </c>
      <c r="S44">
        <v>1.10003584410532</v>
      </c>
      <c r="T44">
        <v>1.1034852938728399</v>
      </c>
      <c r="U44" t="s">
        <v>60</v>
      </c>
      <c r="X44">
        <v>4334227.3380131098</v>
      </c>
      <c r="Y44">
        <v>-587.70577569964496</v>
      </c>
      <c r="Z44">
        <v>4976942.5414024098</v>
      </c>
      <c r="AA44">
        <v>-1177.8701355823</v>
      </c>
      <c r="AB44">
        <v>2768.0079108828199</v>
      </c>
      <c r="AC44">
        <v>-0.538406484156978</v>
      </c>
      <c r="AD44">
        <v>3486.4683492253998</v>
      </c>
      <c r="AE44">
        <v>-1.10192988399999</v>
      </c>
    </row>
    <row r="45" spans="1:31" x14ac:dyDescent="0.25">
      <c r="A45" t="s">
        <v>61</v>
      </c>
      <c r="B45" t="s">
        <v>62</v>
      </c>
      <c r="C45">
        <v>738</v>
      </c>
      <c r="E45">
        <v>0.43721954149500702</v>
      </c>
      <c r="F45">
        <v>0.46028091418949801</v>
      </c>
      <c r="G45">
        <v>0.37678430885796399</v>
      </c>
      <c r="H45">
        <v>0.38277518126805099</v>
      </c>
      <c r="I45">
        <v>0.35060957390198699</v>
      </c>
      <c r="J45">
        <v>0.35618426789433599</v>
      </c>
      <c r="K45">
        <v>0.55469717528554296</v>
      </c>
      <c r="X45">
        <v>1957831.5031504</v>
      </c>
      <c r="Y45">
        <v>-621.21906456358101</v>
      </c>
      <c r="Z45">
        <v>1988961.0339192699</v>
      </c>
      <c r="AA45">
        <v>-640.21726396870804</v>
      </c>
      <c r="AB45">
        <v>2004.6855637414201</v>
      </c>
      <c r="AC45">
        <v>-0.88459974730231195</v>
      </c>
      <c r="AD45">
        <v>2004.6855637414201</v>
      </c>
      <c r="AE45">
        <v>-0.88459974730231195</v>
      </c>
    </row>
    <row r="46" spans="1:31" x14ac:dyDescent="0.25">
      <c r="A46" t="s">
        <v>63</v>
      </c>
      <c r="B46" t="s">
        <v>62</v>
      </c>
      <c r="C46">
        <v>665.15</v>
      </c>
      <c r="D46">
        <v>761.04532462229395</v>
      </c>
      <c r="E46">
        <v>0.47683591791705898</v>
      </c>
      <c r="F46">
        <v>0.51075906579980501</v>
      </c>
      <c r="G46">
        <v>0.41334207048034899</v>
      </c>
      <c r="H46">
        <v>0.43268995914955699</v>
      </c>
      <c r="I46">
        <v>0.41496878431664702</v>
      </c>
      <c r="J46">
        <v>0.43439281688808401</v>
      </c>
      <c r="K46">
        <v>0.60504533855765597</v>
      </c>
      <c r="L46">
        <v>0.458815466799743</v>
      </c>
      <c r="M46">
        <v>0.49199959132271298</v>
      </c>
      <c r="N46">
        <v>0.38517191852858301</v>
      </c>
      <c r="O46">
        <v>0.40266146772632</v>
      </c>
      <c r="P46">
        <v>0.38668776831492602</v>
      </c>
      <c r="Q46">
        <v>0.40424614789239499</v>
      </c>
      <c r="R46">
        <v>0.58560496216414804</v>
      </c>
      <c r="S46">
        <v>0.62505654136445399</v>
      </c>
      <c r="T46">
        <v>0.58342749358425805</v>
      </c>
      <c r="U46" t="s">
        <v>64</v>
      </c>
      <c r="X46">
        <v>2103028.31921147</v>
      </c>
      <c r="Y46">
        <v>-633.94520501660099</v>
      </c>
      <c r="Z46">
        <v>2201467.7491514501</v>
      </c>
      <c r="AA46">
        <v>-692.38409437973303</v>
      </c>
      <c r="AB46">
        <v>2109.5732474381998</v>
      </c>
      <c r="AC46">
        <v>-0.88190287305424497</v>
      </c>
      <c r="AD46">
        <v>2109.5732474381998</v>
      </c>
      <c r="AE46">
        <v>-0.88190287305424497</v>
      </c>
    </row>
    <row r="47" spans="1:31" x14ac:dyDescent="0.25">
      <c r="A47" t="s">
        <v>65</v>
      </c>
      <c r="B47" t="s">
        <v>66</v>
      </c>
      <c r="C47">
        <v>930</v>
      </c>
      <c r="D47">
        <v>933.49753694581204</v>
      </c>
      <c r="E47">
        <v>0.41485046880626703</v>
      </c>
      <c r="F47">
        <v>0.425309531769268</v>
      </c>
      <c r="G47">
        <v>0.31329500700567697</v>
      </c>
      <c r="H47">
        <v>0.311450373562495</v>
      </c>
      <c r="I47">
        <v>0.299864955592407</v>
      </c>
      <c r="J47">
        <v>0.29809939625326898</v>
      </c>
      <c r="K47">
        <v>0.455875177823445</v>
      </c>
      <c r="L47">
        <v>0.41432150707874899</v>
      </c>
      <c r="M47">
        <v>0.424767234046183</v>
      </c>
      <c r="N47">
        <v>0.31256921316495001</v>
      </c>
      <c r="O47">
        <v>0.31072606308942902</v>
      </c>
      <c r="P47">
        <v>0.299170274435823</v>
      </c>
      <c r="Q47">
        <v>0.29740613487666101</v>
      </c>
      <c r="R47">
        <v>0.45533493196231301</v>
      </c>
      <c r="S47">
        <v>0.44780365720807103</v>
      </c>
      <c r="T47">
        <v>0.44602244689130399</v>
      </c>
      <c r="U47" t="s">
        <v>67</v>
      </c>
      <c r="X47">
        <v>1735132.7336639899</v>
      </c>
      <c r="Y47">
        <v>-609.72920100677504</v>
      </c>
      <c r="Z47">
        <v>1724916.53552069</v>
      </c>
      <c r="AA47">
        <v>-611.67253032649</v>
      </c>
      <c r="AB47">
        <v>1799.5981157415599</v>
      </c>
      <c r="AC47">
        <v>-0.89755717416429004</v>
      </c>
      <c r="AD47">
        <v>1799.5981157415599</v>
      </c>
      <c r="AE47">
        <v>-0.89755717416429004</v>
      </c>
    </row>
    <row r="48" spans="1:31" x14ac:dyDescent="0.25">
      <c r="A48" t="s">
        <v>68</v>
      </c>
      <c r="B48" t="s">
        <v>69</v>
      </c>
      <c r="C48">
        <v>771.15</v>
      </c>
      <c r="E48">
        <v>0.41872534571375503</v>
      </c>
      <c r="F48">
        <v>0.41872534571375503</v>
      </c>
      <c r="G48">
        <v>0.41213211347363599</v>
      </c>
      <c r="H48">
        <v>0.41213211347363599</v>
      </c>
      <c r="I48">
        <v>0.43162181304115899</v>
      </c>
      <c r="J48">
        <v>0.43162181304115899</v>
      </c>
      <c r="K48">
        <v>0.95118348789621598</v>
      </c>
      <c r="X48">
        <v>2227090.39103508</v>
      </c>
      <c r="Y48">
        <v>-538.48917629249195</v>
      </c>
      <c r="Z48">
        <v>2227090.39103508</v>
      </c>
      <c r="AA48">
        <v>-538.48917629249195</v>
      </c>
      <c r="AB48">
        <v>2101.2951277836</v>
      </c>
      <c r="AC48">
        <v>-0.60061053586828705</v>
      </c>
      <c r="AD48">
        <v>2101.2951277836</v>
      </c>
      <c r="AE48">
        <v>-0.60061053586828705</v>
      </c>
    </row>
    <row r="49" spans="1:31" x14ac:dyDescent="0.25">
      <c r="A49" t="s">
        <v>70</v>
      </c>
      <c r="B49" t="s">
        <v>71</v>
      </c>
      <c r="C49">
        <v>779.15</v>
      </c>
      <c r="D49">
        <v>822.88235294117601</v>
      </c>
      <c r="E49">
        <v>0.40278115588343499</v>
      </c>
      <c r="F49">
        <v>0.41607265300075302</v>
      </c>
      <c r="G49">
        <v>0.390665315849135</v>
      </c>
      <c r="H49">
        <v>0.43446723428452499</v>
      </c>
      <c r="I49">
        <v>0.37148177498697399</v>
      </c>
      <c r="J49">
        <v>0.41313280912817002</v>
      </c>
      <c r="K49">
        <v>1.08013624496838</v>
      </c>
      <c r="L49">
        <v>0.39726558146438001</v>
      </c>
      <c r="M49">
        <v>0.410873024249373</v>
      </c>
      <c r="N49">
        <v>0.38314242429823903</v>
      </c>
      <c r="O49">
        <v>0.42673496439027098</v>
      </c>
      <c r="P49">
        <v>0.36432829349531098</v>
      </c>
      <c r="Q49">
        <v>0.40578023077410602</v>
      </c>
      <c r="R49">
        <v>1.0675768784922901</v>
      </c>
      <c r="S49">
        <v>0.58073622386404899</v>
      </c>
      <c r="T49">
        <v>0.57194151618485101</v>
      </c>
      <c r="U49" t="s">
        <v>72</v>
      </c>
      <c r="X49">
        <v>2037424.17418427</v>
      </c>
      <c r="Y49">
        <v>-495.732882302316</v>
      </c>
      <c r="Z49">
        <v>2265862.9013385698</v>
      </c>
      <c r="AA49">
        <v>-467.40254720600302</v>
      </c>
      <c r="AB49">
        <v>2039.9777232997301</v>
      </c>
      <c r="AC49">
        <v>-0.56118159921558897</v>
      </c>
      <c r="AD49">
        <v>2039.9777232997301</v>
      </c>
      <c r="AE49">
        <v>-0.56118159921558897</v>
      </c>
    </row>
    <row r="50" spans="1:31" x14ac:dyDescent="0.25">
      <c r="A50" t="s">
        <v>73</v>
      </c>
      <c r="B50" t="s">
        <v>71</v>
      </c>
      <c r="C50">
        <v>921.15</v>
      </c>
      <c r="E50">
        <v>0.334581271495481</v>
      </c>
      <c r="F50">
        <v>0.35071278157307501</v>
      </c>
      <c r="G50">
        <v>0.31245402733677802</v>
      </c>
      <c r="H50">
        <v>0.32276104306643799</v>
      </c>
      <c r="I50">
        <v>0.40601469273463398</v>
      </c>
      <c r="J50">
        <v>0.41940802249952303</v>
      </c>
      <c r="K50">
        <v>0.71217340427593001</v>
      </c>
      <c r="X50">
        <v>1699665.49092353</v>
      </c>
      <c r="Y50">
        <v>-537.72360576109099</v>
      </c>
      <c r="Z50">
        <v>1755732.8717777</v>
      </c>
      <c r="AA50">
        <v>-474.21547585200301</v>
      </c>
      <c r="AB50">
        <v>1788.9283202763399</v>
      </c>
      <c r="AC50">
        <v>-0.82097370680551995</v>
      </c>
      <c r="AD50">
        <v>1788.9283202763399</v>
      </c>
      <c r="AE50">
        <v>-0.82097370680551995</v>
      </c>
    </row>
    <row r="51" spans="1:31" x14ac:dyDescent="0.25">
      <c r="A51" t="s">
        <v>74</v>
      </c>
      <c r="B51" t="s">
        <v>75</v>
      </c>
      <c r="C51">
        <v>735</v>
      </c>
      <c r="D51">
        <v>742.4</v>
      </c>
      <c r="E51">
        <v>0.69546259777516795</v>
      </c>
      <c r="F51">
        <v>1.00607708330271</v>
      </c>
      <c r="G51">
        <v>0.65005468660002197</v>
      </c>
      <c r="H51">
        <v>0.83573612023111798</v>
      </c>
      <c r="I51">
        <v>0.60826799265527998</v>
      </c>
      <c r="J51">
        <v>0.78201348705187002</v>
      </c>
      <c r="K51">
        <v>1.1143618956813901</v>
      </c>
      <c r="L51">
        <v>0.69407516388877799</v>
      </c>
      <c r="M51">
        <v>1.00362047482024</v>
      </c>
      <c r="N51">
        <v>0.64755375881160904</v>
      </c>
      <c r="O51">
        <v>0.83285159466612202</v>
      </c>
      <c r="P51">
        <v>0.605927829039831</v>
      </c>
      <c r="Q51">
        <v>0.77931438402046205</v>
      </c>
      <c r="R51">
        <v>1.1125245193373501</v>
      </c>
      <c r="S51">
        <v>0.79370363281638401</v>
      </c>
      <c r="T51">
        <v>0.79272072010587802</v>
      </c>
      <c r="U51" t="s">
        <v>76</v>
      </c>
      <c r="X51">
        <v>3402318.9027080499</v>
      </c>
      <c r="Y51">
        <v>-957.23555234657294</v>
      </c>
      <c r="Z51">
        <v>4363761.9008696601</v>
      </c>
      <c r="AA51">
        <v>-470.99426884723903</v>
      </c>
      <c r="AB51">
        <v>2408.04408679383</v>
      </c>
      <c r="AC51">
        <v>-0.94763242463505204</v>
      </c>
      <c r="AD51">
        <v>2413.7800000000002</v>
      </c>
      <c r="AE51">
        <v>-1.19999999999999</v>
      </c>
    </row>
    <row r="52" spans="1:31" x14ac:dyDescent="0.25">
      <c r="A52" t="s">
        <v>77</v>
      </c>
      <c r="B52" t="s">
        <v>78</v>
      </c>
      <c r="C52">
        <v>958</v>
      </c>
      <c r="D52">
        <v>993.01377726750798</v>
      </c>
      <c r="E52">
        <v>0.57197134962562102</v>
      </c>
      <c r="F52">
        <v>0.60018577841634002</v>
      </c>
      <c r="G52">
        <v>0.48604519668468199</v>
      </c>
      <c r="H52">
        <v>0.49658287203232099</v>
      </c>
      <c r="I52">
        <v>0.49005527503084001</v>
      </c>
      <c r="J52">
        <v>0.50067989065485397</v>
      </c>
      <c r="K52">
        <v>0.89798273334205203</v>
      </c>
      <c r="L52">
        <v>0.56441884679958798</v>
      </c>
      <c r="M52">
        <v>0.59237573660987197</v>
      </c>
      <c r="N52">
        <v>0.474074647381036</v>
      </c>
      <c r="O52">
        <v>0.4842550732632</v>
      </c>
      <c r="P52">
        <v>0.477985963634941</v>
      </c>
      <c r="Q52">
        <v>0.48825038233436402</v>
      </c>
      <c r="R52">
        <v>0.887554442854947</v>
      </c>
      <c r="S52">
        <v>0.76602038472580902</v>
      </c>
      <c r="T52">
        <v>0.75019230769230605</v>
      </c>
      <c r="U52" t="s">
        <v>79</v>
      </c>
      <c r="X52">
        <v>2774359.2612307202</v>
      </c>
      <c r="Y52">
        <v>-854.31058856936397</v>
      </c>
      <c r="Z52">
        <v>2834508.5999999898</v>
      </c>
      <c r="AA52">
        <v>-888.300000000002</v>
      </c>
      <c r="AB52">
        <v>2066.8355831662002</v>
      </c>
      <c r="AC52">
        <v>-0.85529696508283604</v>
      </c>
      <c r="AD52">
        <v>2066.8355831662002</v>
      </c>
      <c r="AE52">
        <v>-0.85529696508283604</v>
      </c>
    </row>
    <row r="53" spans="1:31" x14ac:dyDescent="0.25">
      <c r="A53" t="s">
        <v>80</v>
      </c>
      <c r="B53" t="s">
        <v>81</v>
      </c>
      <c r="C53">
        <v>658.15</v>
      </c>
      <c r="E53">
        <v>0.415599756638869</v>
      </c>
      <c r="F53">
        <v>0.436058077448646</v>
      </c>
      <c r="G53">
        <v>0.35068436878095199</v>
      </c>
      <c r="H53">
        <v>0.37157237009742</v>
      </c>
      <c r="I53">
        <v>0.33193788623095</v>
      </c>
      <c r="J53">
        <v>0.351709280743571</v>
      </c>
      <c r="K53">
        <v>0.54959787123811898</v>
      </c>
      <c r="X53">
        <v>1820781.03589645</v>
      </c>
      <c r="Y53">
        <v>-432.488345963889</v>
      </c>
      <c r="Z53">
        <v>1929233.194192</v>
      </c>
      <c r="AA53">
        <v>-625.40832</v>
      </c>
      <c r="AB53">
        <v>2082.7741277432401</v>
      </c>
      <c r="AC53">
        <v>-0.59346860746566699</v>
      </c>
      <c r="AD53">
        <v>2082.7741277432401</v>
      </c>
      <c r="AE53">
        <v>-0.59346860746566699</v>
      </c>
    </row>
    <row r="54" spans="1:31" x14ac:dyDescent="0.25">
      <c r="A54" t="s">
        <v>82</v>
      </c>
      <c r="B54" t="s">
        <v>81</v>
      </c>
      <c r="C54">
        <v>660.15</v>
      </c>
      <c r="E54">
        <v>0.393714521475093</v>
      </c>
      <c r="F54">
        <v>0.41576528214401798</v>
      </c>
      <c r="G54">
        <v>0.34976748010176301</v>
      </c>
      <c r="H54">
        <v>0.37739704098006299</v>
      </c>
      <c r="I54">
        <v>0.33962842488341999</v>
      </c>
      <c r="J54">
        <v>0.36645706040604598</v>
      </c>
      <c r="K54">
        <v>0.52242279861864305</v>
      </c>
      <c r="X54">
        <v>1785221.7495239601</v>
      </c>
      <c r="Y54">
        <v>-456.59702382785002</v>
      </c>
      <c r="Z54">
        <v>1926243.702152</v>
      </c>
      <c r="AA54">
        <v>-624.84432000000004</v>
      </c>
      <c r="AB54">
        <v>2052.5614117156001</v>
      </c>
      <c r="AC54">
        <v>-0.67795650519888295</v>
      </c>
      <c r="AD54">
        <v>2052.5614117156001</v>
      </c>
      <c r="AE54">
        <v>-0.67795650519888295</v>
      </c>
    </row>
    <row r="55" spans="1:31" x14ac:dyDescent="0.25">
      <c r="A55" t="s">
        <v>83</v>
      </c>
      <c r="B55" t="s">
        <v>71</v>
      </c>
      <c r="C55">
        <v>769.45</v>
      </c>
      <c r="E55">
        <v>0.419530868485185</v>
      </c>
      <c r="F55">
        <v>0.419530868485185</v>
      </c>
      <c r="G55">
        <v>0.388028966963262</v>
      </c>
      <c r="H55">
        <v>0.388028966963262</v>
      </c>
      <c r="I55">
        <v>0.38099483367513198</v>
      </c>
      <c r="J55">
        <v>0.38099483367513198</v>
      </c>
      <c r="K55">
        <v>1.0908155763913601</v>
      </c>
      <c r="X55">
        <v>2019238.0687336901</v>
      </c>
      <c r="Y55">
        <v>-492.590619908387</v>
      </c>
      <c r="Z55">
        <v>2019238.0687336901</v>
      </c>
      <c r="AA55">
        <v>-492.590619908387</v>
      </c>
      <c r="AB55">
        <v>2029.6512982499301</v>
      </c>
      <c r="AC55">
        <v>-0.568395641870729</v>
      </c>
      <c r="AD55">
        <v>2029.6512982499301</v>
      </c>
      <c r="AE55">
        <v>-0.568395641870729</v>
      </c>
    </row>
    <row r="56" spans="1:31" x14ac:dyDescent="0.25">
      <c r="A56" t="s">
        <v>84</v>
      </c>
      <c r="B56" t="s">
        <v>71</v>
      </c>
      <c r="C56">
        <v>829</v>
      </c>
      <c r="D56">
        <v>849.27066450567202</v>
      </c>
      <c r="E56">
        <v>0.39282474476734103</v>
      </c>
      <c r="F56">
        <v>0.40631024128055798</v>
      </c>
      <c r="G56">
        <v>0.34861941472984098</v>
      </c>
      <c r="H56">
        <v>0.36292057126517901</v>
      </c>
      <c r="I56">
        <v>0.31118158085671199</v>
      </c>
      <c r="J56">
        <v>0.32394695280879998</v>
      </c>
      <c r="K56">
        <v>0.70307988752195505</v>
      </c>
      <c r="L56">
        <v>0.39018927790726798</v>
      </c>
      <c r="M56">
        <v>0.40366527360078203</v>
      </c>
      <c r="N56">
        <v>0.34520818206165899</v>
      </c>
      <c r="O56">
        <v>0.36026954268404998</v>
      </c>
      <c r="P56">
        <v>0.30813667650111898</v>
      </c>
      <c r="Q56">
        <v>0.32158061510666403</v>
      </c>
      <c r="R56">
        <v>0.69870382482422799</v>
      </c>
      <c r="S56">
        <v>0.46754926069889302</v>
      </c>
      <c r="T56">
        <v>0.45564384563743898</v>
      </c>
      <c r="U56" t="s">
        <v>85</v>
      </c>
      <c r="X56">
        <v>1877142.0876195</v>
      </c>
      <c r="Y56">
        <v>-450.11046743046199</v>
      </c>
      <c r="Z56">
        <v>1954146.6998121999</v>
      </c>
      <c r="AA56">
        <v>-234.88797686999899</v>
      </c>
      <c r="AB56">
        <v>2038.99192746722</v>
      </c>
      <c r="AC56">
        <v>-0.55972148883248296</v>
      </c>
      <c r="AD56">
        <v>2038.99192746722</v>
      </c>
      <c r="AE56">
        <v>-0.55972148883248296</v>
      </c>
    </row>
    <row r="57" spans="1:31" x14ac:dyDescent="0.25">
      <c r="A57" t="s">
        <v>86</v>
      </c>
      <c r="B57" t="s">
        <v>87</v>
      </c>
      <c r="C57">
        <v>1384</v>
      </c>
      <c r="E57">
        <v>0.35954645742190899</v>
      </c>
      <c r="F57">
        <v>0.35954645742190899</v>
      </c>
      <c r="G57">
        <v>0.34970883136259001</v>
      </c>
      <c r="H57">
        <v>0.34970883136259001</v>
      </c>
      <c r="I57">
        <v>0.65076191813960904</v>
      </c>
      <c r="J57">
        <v>0.65076191813960904</v>
      </c>
      <c r="K57">
        <v>0.65076191800000005</v>
      </c>
      <c r="X57">
        <v>3393320.5705776298</v>
      </c>
      <c r="Y57">
        <v>-440.68191682871299</v>
      </c>
      <c r="Z57">
        <v>3393320.5705776298</v>
      </c>
      <c r="AA57">
        <v>-440.68191682871299</v>
      </c>
      <c r="AB57">
        <v>1362</v>
      </c>
      <c r="AC57" s="1">
        <v>-6.4293322482183901E-16</v>
      </c>
      <c r="AD57">
        <v>1362</v>
      </c>
      <c r="AE57" s="1">
        <v>-6.4293322482183901E-16</v>
      </c>
    </row>
    <row r="58" spans="1:31" x14ac:dyDescent="0.25">
      <c r="A58" t="s">
        <v>88</v>
      </c>
      <c r="B58" t="s">
        <v>89</v>
      </c>
      <c r="C58">
        <v>1309</v>
      </c>
      <c r="E58">
        <v>0.287228431194125</v>
      </c>
      <c r="F58">
        <v>0.287228431194125</v>
      </c>
      <c r="G58">
        <v>0.28603308995779603</v>
      </c>
      <c r="H58">
        <v>0.28603308995779603</v>
      </c>
      <c r="I58">
        <v>0.54042988941638603</v>
      </c>
      <c r="J58">
        <v>0.54042988941638603</v>
      </c>
      <c r="K58">
        <v>0.540429889</v>
      </c>
      <c r="X58">
        <v>3639653.5089046098</v>
      </c>
      <c r="Y58">
        <v>-438.29343438765801</v>
      </c>
      <c r="Z58">
        <v>3639653.5089046098</v>
      </c>
      <c r="AA58">
        <v>-438.29343438765801</v>
      </c>
      <c r="AB58">
        <v>1062</v>
      </c>
      <c r="AC58" s="1">
        <v>1.42974643663149E-15</v>
      </c>
      <c r="AD58">
        <v>1062</v>
      </c>
      <c r="AE58" s="1">
        <v>1.42974643663149E-15</v>
      </c>
    </row>
    <row r="59" spans="1:31" x14ac:dyDescent="0.25">
      <c r="A59" t="s">
        <v>90</v>
      </c>
      <c r="B59" t="s">
        <v>91</v>
      </c>
      <c r="C59">
        <v>784.15</v>
      </c>
      <c r="D59">
        <v>802</v>
      </c>
      <c r="E59">
        <v>0.11344972549514599</v>
      </c>
      <c r="F59">
        <v>0.114505481319699</v>
      </c>
      <c r="G59">
        <v>0.30332625136784902</v>
      </c>
      <c r="H59">
        <v>0.26636049160567399</v>
      </c>
      <c r="I59">
        <v>0.304140274393496</v>
      </c>
      <c r="J59">
        <v>0.26707531128353501</v>
      </c>
      <c r="K59">
        <v>0.45172916409439201</v>
      </c>
      <c r="L59">
        <v>0.11260979421877899</v>
      </c>
      <c r="M59">
        <v>0.113634299216617</v>
      </c>
      <c r="N59">
        <v>0.30060548666651299</v>
      </c>
      <c r="O59">
        <v>0.26417573582082698</v>
      </c>
      <c r="P59">
        <v>0.30141220809823499</v>
      </c>
      <c r="Q59">
        <v>0.26488469236779699</v>
      </c>
      <c r="R59">
        <v>0.44875079670000001</v>
      </c>
      <c r="S59">
        <v>0.23481755332610399</v>
      </c>
      <c r="T59">
        <v>0.238101191892129</v>
      </c>
      <c r="U59" t="s">
        <v>92</v>
      </c>
      <c r="X59">
        <v>2153870.0263393298</v>
      </c>
      <c r="Y59">
        <v>-656.67114844170703</v>
      </c>
      <c r="Z59">
        <v>1891382.2212332201</v>
      </c>
      <c r="AA59">
        <v>-489.79669156000199</v>
      </c>
      <c r="AB59">
        <v>1466.75966237227</v>
      </c>
      <c r="AC59">
        <v>-0.38913594023806902</v>
      </c>
      <c r="AD59">
        <v>1466.75966237227</v>
      </c>
      <c r="AE59">
        <v>-0.38913594023806902</v>
      </c>
    </row>
    <row r="60" spans="1:31" x14ac:dyDescent="0.25">
      <c r="A60" t="s">
        <v>93</v>
      </c>
      <c r="B60" t="s">
        <v>91</v>
      </c>
      <c r="C60">
        <v>784.15</v>
      </c>
      <c r="D60">
        <v>802</v>
      </c>
      <c r="E60">
        <v>0.114764850359073</v>
      </c>
      <c r="F60">
        <v>0.1150479273926</v>
      </c>
      <c r="G60">
        <v>0.30241049727157199</v>
      </c>
      <c r="H60">
        <v>0.26527106355929603</v>
      </c>
      <c r="I60">
        <v>0.30351444564803698</v>
      </c>
      <c r="J60">
        <v>0.26623943457346899</v>
      </c>
      <c r="K60">
        <v>0.44889789064325702</v>
      </c>
      <c r="L60">
        <v>0.113909916940787</v>
      </c>
      <c r="M60">
        <v>0.11417382363914801</v>
      </c>
      <c r="N60">
        <v>0.299723676502481</v>
      </c>
      <c r="O60">
        <v>0.26311672756840898</v>
      </c>
      <c r="P60">
        <v>0.30081781664989099</v>
      </c>
      <c r="Q60">
        <v>0.26407723418719597</v>
      </c>
      <c r="R60">
        <v>0.44593518354636003</v>
      </c>
      <c r="S60">
        <v>0.242991843580355</v>
      </c>
      <c r="T60">
        <v>0.239262577144952</v>
      </c>
      <c r="U60" t="s">
        <v>94</v>
      </c>
      <c r="X60">
        <v>2156186.3189269202</v>
      </c>
      <c r="Y60">
        <v>-656.84165009282901</v>
      </c>
      <c r="Z60">
        <v>1891382.2212332201</v>
      </c>
      <c r="AA60">
        <v>-489.79669156000199</v>
      </c>
      <c r="AB60">
        <v>1460.0508918667399</v>
      </c>
      <c r="AC60">
        <v>-0.38048687343790499</v>
      </c>
      <c r="AD60">
        <v>1460.0508918667399</v>
      </c>
      <c r="AE60">
        <v>-0.38048687343790499</v>
      </c>
    </row>
    <row r="61" spans="1:31" x14ac:dyDescent="0.25">
      <c r="A61" t="s">
        <v>95</v>
      </c>
      <c r="B61" t="s">
        <v>91</v>
      </c>
      <c r="C61">
        <v>784.15</v>
      </c>
      <c r="D61">
        <v>869.15</v>
      </c>
      <c r="E61">
        <v>0.11122798349540799</v>
      </c>
      <c r="F61">
        <v>0.113695543362589</v>
      </c>
      <c r="G61">
        <v>0.30506451248343203</v>
      </c>
      <c r="H61">
        <v>0.26841692128983102</v>
      </c>
      <c r="I61">
        <v>0.30659519880817798</v>
      </c>
      <c r="J61">
        <v>0.26976372530647702</v>
      </c>
      <c r="K61">
        <v>0.45682545630643401</v>
      </c>
      <c r="L61">
        <v>0.107188289998012</v>
      </c>
      <c r="M61">
        <v>0.109390728826571</v>
      </c>
      <c r="N61">
        <v>0.29123914308763099</v>
      </c>
      <c r="O61">
        <v>0.25726785911806499</v>
      </c>
      <c r="P61">
        <v>0.29270045948240297</v>
      </c>
      <c r="Q61">
        <v>0.25855872179672601</v>
      </c>
      <c r="R61">
        <v>0.44190727064881402</v>
      </c>
      <c r="S61">
        <v>0.22664326307185201</v>
      </c>
      <c r="T61">
        <v>0.27567442291687</v>
      </c>
      <c r="U61" t="s">
        <v>96</v>
      </c>
      <c r="X61">
        <v>2149617.0676114601</v>
      </c>
      <c r="Y61">
        <v>-656.39248822418904</v>
      </c>
      <c r="Z61">
        <v>1891382.2212332201</v>
      </c>
      <c r="AA61">
        <v>-489.79669156000199</v>
      </c>
      <c r="AB61">
        <v>1479.3780206077199</v>
      </c>
      <c r="AC61">
        <v>-0.41906643234483498</v>
      </c>
      <c r="AD61">
        <v>1479.3780206077199</v>
      </c>
      <c r="AE61">
        <v>-0.41906643234483498</v>
      </c>
    </row>
    <row r="62" spans="1:31" x14ac:dyDescent="0.25">
      <c r="A62" t="s">
        <v>97</v>
      </c>
      <c r="B62" t="s">
        <v>54</v>
      </c>
      <c r="C62">
        <v>923</v>
      </c>
      <c r="E62">
        <v>0.18974506002305899</v>
      </c>
      <c r="F62">
        <v>0.18974506002305899</v>
      </c>
      <c r="G62">
        <v>0.58214846026056399</v>
      </c>
      <c r="H62">
        <v>0.58214846026056399</v>
      </c>
      <c r="I62">
        <v>0.58041078752957698</v>
      </c>
      <c r="J62">
        <v>0.58041078752957698</v>
      </c>
      <c r="K62">
        <v>1.2488893742298901</v>
      </c>
      <c r="X62">
        <v>4101032.9018011298</v>
      </c>
      <c r="Y62">
        <v>-988.46334090989103</v>
      </c>
      <c r="Z62">
        <v>4101032.9018011298</v>
      </c>
      <c r="AA62">
        <v>-988.46334090989103</v>
      </c>
      <c r="AB62">
        <v>1938.9072837026899</v>
      </c>
      <c r="AC62">
        <v>-0.55763651166226802</v>
      </c>
      <c r="AD62">
        <v>1938.9072837026899</v>
      </c>
      <c r="AE62">
        <v>-0.55763651166226802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TC_calc_results_V2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Numbers, Jacob Clay</cp:lastModifiedBy>
  <dcterms:created xsi:type="dcterms:W3CDTF">2026-02-17T22:27:11Z</dcterms:created>
  <dcterms:modified xsi:type="dcterms:W3CDTF">2026-02-18T11:01:46Z</dcterms:modified>
</cp:coreProperties>
</file>